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75" windowWidth="25590" windowHeight="20970" tabRatio="570" firstSheet="1" activeTab="6" autoFilterDateGrouping="1"/>
  </bookViews>
  <sheets>
    <sheet name="Cover" sheetId="1" state="visible" r:id="rId1"/>
    <sheet name="Dashboard" sheetId="2" state="visible" r:id="rId2"/>
    <sheet name="T12 Analytics" sheetId="3" state="visible" r:id="rId3"/>
    <sheet name="T12 Input" sheetId="4" state="visible" r:id="rId4"/>
    <sheet name="T12 Raw Data" sheetId="5" state="visible" r:id="rId5"/>
    <sheet name="Rent Roll Input" sheetId="6" state="visible" r:id="rId6"/>
    <sheet name="Rent Roll Recon" sheetId="7" state="visible" r:id="rId7"/>
    <sheet name="Monthly Trending" sheetId="8" state="visible" r:id="rId8"/>
    <sheet name="UW Output" sheetId="9" state="visible" r:id="rId9"/>
    <sheet name="UW Export" sheetId="10" state="visible" r:id="rId10"/>
    <sheet name="Mapping Review" sheetId="11" state="visible" r:id="rId11"/>
    <sheet name="Description_Map" sheetId="12" state="visible" r:id="rId12"/>
    <sheet name="RR_Calc" sheetId="13" state="hidden" r:id="rId13"/>
    <sheet name="T12_Calc" sheetId="14" state="hidden" r:id="rId14"/>
    <sheet name="Workbook Health" sheetId="15" state="hidden" r:id="rId15"/>
  </sheets>
  <definedNames>
    <definedName name="DescMap_Description">Description_Map!$A$5:INDEX(Description_Map!$A:$A, MAX(5, COUNTA(Description_Map!$A:$A)+4))</definedName>
    <definedName name="DescMap_Label">Description_Map!$B$5:INDEX(Description_Map!$B:$B, MAX(5, COUNTA(Description_Map!$A:$A)+4))</definedName>
    <definedName name="RR_Period_Date">'Rent Roll Recon'!$B$2</definedName>
    <definedName name="T12_Period_Date">'T12 Analytics'!$E$2</definedName>
    <definedName name="RR_Input_Data">'Rent Roll Input'!$A$7:$S$606</definedName>
    <definedName name="T12_Input_Data">'T12 Input'!$A$12:$O$511</definedName>
    <definedName name="Property_Name">Cover!$B$5</definedName>
  </definedNames>
  <calcPr calcId="191029" fullCalcOnLoad="1" iterateDelta="0.0001"/>
</workbook>
</file>

<file path=xl/styles.xml><?xml version="1.0" encoding="utf-8"?>
<styleSheet xmlns="http://schemas.openxmlformats.org/spreadsheetml/2006/main">
  <numFmts count="32">
    <numFmt numFmtId="164" formatCode="mm/dd/yyyy"/>
    <numFmt numFmtId="165" formatCode="#,##0.0"/>
    <numFmt numFmtId="166" formatCode="0.0%;\(0.0%\);\-"/>
    <numFmt numFmtId="167" formatCode="\$#,##0;&quot;($&quot;#,##0\);\-"/>
    <numFmt numFmtId="168" formatCode="\$#,##0.00;&quot;($&quot;#,##0.00\);\-"/>
    <numFmt numFmtId="169" formatCode="0.00\x"/>
    <numFmt numFmtId="170" formatCode="\$#,##0.00_);[Red]&quot;($&quot;#,##0.00\)"/>
    <numFmt numFmtId="171" formatCode="\$#,##0_);[Red]&quot;($&quot;#,##0\)"/>
    <numFmt numFmtId="172" formatCode="#,##0;\(#,##0\);\-"/>
    <numFmt numFmtId="173" formatCode="mmm yyyy"/>
    <numFmt numFmtId="174" formatCode="0.0%"/>
    <numFmt numFmtId="175" formatCode="$#,##0"/>
    <numFmt numFmtId="176" formatCode="$#,##0.00"/>
    <numFmt numFmtId="177" formatCode="$#,##0;($#,##0);&quot;&quot;"/>
    <numFmt numFmtId="178" formatCode="0.0%;(0.0%);&quot;&quot;"/>
    <numFmt numFmtId="179" formatCode="$#,##0.00;($#,##0.00);&quot;-&quot;"/>
    <numFmt numFmtId="180" formatCode="$#,##0.00;&quot;($&quot;#,##0.00);-"/>
    <numFmt numFmtId="181" formatCode="&quot;$&quot;#,##0"/>
    <numFmt numFmtId="182" formatCode="0.0%;\-0.0%;\-"/>
    <numFmt numFmtId="183" formatCode="&quot;$&quot;#,##0;\-&quot;$&quot;#,##0;\-"/>
    <numFmt numFmtId="184" formatCode="&quot;$&quot;#,##0;[Red]\-&quot;$&quot;#,##0"/>
    <numFmt numFmtId="185" formatCode="0.0%;[Red]\-0.0%"/>
    <numFmt numFmtId="186" formatCode="&quot;$&quot;0.00"/>
    <numFmt numFmtId="187" formatCode="0.00%;[Red]\-0.00%"/>
    <numFmt numFmtId="188" formatCode="0.00&quot;x&quot;"/>
    <numFmt numFmtId="189" formatCode="0.00&quot;x&quot;;[Red]\-0.00&quot;x&quot;"/>
    <numFmt numFmtId="190" formatCode="&quot;$&quot;#,##0;\(&quot;$&quot;#,##0\);\-"/>
    <numFmt numFmtId="191" formatCode="0.00%;\(0.00%\);\-"/>
    <numFmt numFmtId="192" formatCode="&quot;$&quot;#,##0.00"/>
    <numFmt numFmtId="193" formatCode="#,##0;\-#,##0;\-"/>
    <numFmt numFmtId="194" formatCode="\+0.0%;\-0.0%;\-"/>
    <numFmt numFmtId="195" formatCode="0.00%;\-0.00%;\-"/>
  </numFmts>
  <fonts count="109">
    <font>
      <name val="Calibri"/>
      <charset val="1"/>
      <family val="2"/>
      <color theme="1"/>
      <sz val="11"/>
    </font>
    <font>
      <name val="Arial"/>
      <charset val="1"/>
      <b val="1"/>
      <color rgb="FFFFFFFF"/>
      <sz val="14"/>
    </font>
    <font>
      <name val="Arial"/>
      <charset val="1"/>
      <b val="1"/>
      <sz val="10"/>
    </font>
    <font>
      <name val="Arial"/>
      <charset val="1"/>
      <color rgb="FF0000FF"/>
      <sz val="10"/>
    </font>
    <font>
      <name val="Arial"/>
      <charset val="1"/>
      <b val="1"/>
      <color rgb="FFFFFFFF"/>
      <sz val="10"/>
    </font>
    <font>
      <name val="Arial"/>
      <charset val="1"/>
      <b val="1"/>
      <color rgb="FFFFFFFF"/>
      <sz val="9"/>
    </font>
    <font>
      <name val="Arial"/>
      <charset val="1"/>
      <color rgb="FF000000"/>
      <sz val="10"/>
    </font>
    <font>
      <name val="Arial"/>
      <charset val="1"/>
      <color rgb="FF595959"/>
      <sz val="10"/>
    </font>
    <font>
      <name val="Arial"/>
      <charset val="1"/>
      <i val="1"/>
      <color rgb="FF595959"/>
      <sz val="9"/>
    </font>
    <font>
      <name val="Arial"/>
      <charset val="1"/>
      <i val="1"/>
      <color rgb="FF7F6000"/>
      <sz val="9"/>
    </font>
    <font>
      <name val="Arial"/>
      <charset val="1"/>
      <b val="1"/>
      <color rgb="FF595959"/>
      <sz val="9"/>
    </font>
    <font>
      <name val="Arial"/>
      <charset val="1"/>
      <b val="1"/>
      <color rgb="FF1F3864"/>
      <sz val="10"/>
    </font>
    <font>
      <name val="Arial"/>
      <charset val="1"/>
      <color rgb="FF7F4F00"/>
      <sz val="10"/>
    </font>
    <font>
      <name val="Arial"/>
      <charset val="1"/>
      <i val="1"/>
      <color rgb="FF7F4F00"/>
      <sz val="9"/>
    </font>
    <font>
      <name val="Arial"/>
      <charset val="1"/>
      <b val="1"/>
      <color rgb="FFFFFFFF"/>
      <sz val="11"/>
    </font>
    <font>
      <name val="Arial"/>
      <charset val="1"/>
      <b val="1"/>
      <i val="1"/>
      <color rgb="FFFFFFFF"/>
      <sz val="9"/>
    </font>
    <font>
      <name val="Arial"/>
      <charset val="1"/>
      <b val="1"/>
      <color rgb="FF1B5E20"/>
      <sz val="11"/>
    </font>
    <font>
      <name val="Arial"/>
      <charset val="1"/>
      <b val="1"/>
      <color rgb="FF444441"/>
      <sz val="11"/>
    </font>
    <font>
      <name val="Arial"/>
      <charset val="1"/>
      <i val="1"/>
      <color rgb="FF595959"/>
      <sz val="10"/>
    </font>
    <font>
      <name val="Arial"/>
      <charset val="1"/>
      <b val="1"/>
      <color rgb="FF000000"/>
      <sz val="10"/>
    </font>
    <font>
      <name val="Arial"/>
      <charset val="1"/>
      <b val="1"/>
      <color rgb="FFFFFFFF"/>
      <sz val="13"/>
    </font>
    <font>
      <name val="Arial"/>
      <charset val="1"/>
      <color rgb="FF7F6000"/>
      <sz val="10"/>
    </font>
    <font>
      <name val="Arial"/>
      <charset val="1"/>
      <sz val="10"/>
    </font>
    <font>
      <name val="Arial"/>
      <charset val="1"/>
      <b val="1"/>
      <color rgb="FFFFFFFF"/>
      <sz val="12"/>
    </font>
    <font>
      <name val="Arial"/>
      <charset val="1"/>
      <color rgb="FF595959"/>
      <sz val="9"/>
    </font>
    <font>
      <name val="Arial"/>
      <charset val="1"/>
      <color rgb="FF595959"/>
      <sz val="8"/>
    </font>
    <font>
      <name val="Arial"/>
      <charset val="1"/>
      <b val="1"/>
      <color rgb="FF595959"/>
      <sz val="10"/>
    </font>
    <font>
      <name val="Arial"/>
      <charset val="1"/>
      <b val="1"/>
      <color rgb="FF7F4F00"/>
      <sz val="10"/>
    </font>
    <font>
      <name val="Arial"/>
      <charset val="1"/>
      <b val="1"/>
      <color rgb="FFFFFFFF"/>
      <sz val="8"/>
    </font>
    <font>
      <name val="Arial"/>
      <charset val="1"/>
      <i val="1"/>
      <color rgb="FF7F4F00"/>
      <sz val="8"/>
    </font>
    <font>
      <name val="Arial"/>
      <charset val="1"/>
      <color rgb="FF0000FF"/>
      <sz val="9"/>
    </font>
    <font>
      <name val="Arial"/>
      <charset val="1"/>
      <b val="1"/>
      <sz val="11"/>
    </font>
    <font>
      <name val="Arial"/>
      <charset val="1"/>
      <b val="1"/>
      <color rgb="FF0000FF"/>
      <sz val="11"/>
    </font>
    <font>
      <name val="Arial"/>
      <charset val="1"/>
      <b val="1"/>
      <color rgb="FF1B5E20"/>
      <sz val="10"/>
    </font>
    <font>
      <name val="Arial"/>
      <charset val="1"/>
      <color rgb="FF000000"/>
      <sz val="9"/>
    </font>
    <font>
      <name val="Arial"/>
      <charset val="1"/>
      <sz val="9"/>
    </font>
    <font>
      <name val="Arial"/>
      <b val="1"/>
      <color rgb="FFFFFFFF"/>
      <sz val="10"/>
    </font>
    <font>
      <name val="Arial"/>
      <b val="1"/>
      <sz val="18"/>
    </font>
    <font>
      <name val="Arial"/>
      <i val="1"/>
      <sz val="10"/>
    </font>
    <font>
      <name val="Arial"/>
      <b val="1"/>
      <sz val="14"/>
    </font>
    <font>
      <i val="1"/>
      <sz val="9"/>
    </font>
    <font>
      <b val="1"/>
    </font>
    <font>
      <name val="Arial"/>
      <b val="1"/>
      <sz val="10"/>
    </font>
    <font>
      <name val="Arial"/>
      <i val="1"/>
      <color rgb="FF808080"/>
      <sz val="9"/>
    </font>
    <font>
      <name val="Arial"/>
      <sz val="10"/>
    </font>
    <font>
      <name val="Calibri"/>
      <b val="1"/>
      <color rgb="FFFFFFFF"/>
      <sz val="11"/>
    </font>
    <font>
      <name val="Calibri"/>
      <b val="1"/>
      <color rgb="FFFFFFFF"/>
      <sz val="10"/>
    </font>
    <font>
      <name val="Calibri"/>
      <b val="1"/>
      <color rgb="FF1F1F1F"/>
      <sz val="10"/>
    </font>
    <font>
      <name val="Calibri"/>
      <color rgb="FF1F1F1F"/>
      <sz val="10"/>
    </font>
    <font>
      <name val="Calibri"/>
      <i val="1"/>
      <color rgb="FF7F7F7F"/>
      <sz val="9"/>
    </font>
    <font>
      <name val="Calibri"/>
      <b val="1"/>
      <color rgb="FFFFFFFF"/>
      <sz val="12"/>
    </font>
    <font>
      <name val="Calibri"/>
      <b val="1"/>
      <color rgb="FF1F1F1F"/>
      <sz val="11"/>
    </font>
    <font>
      <name val="Arial"/>
      <b val="1"/>
      <color rgb="FFFFFFFF"/>
      <sz val="8"/>
    </font>
    <font>
      <name val="Calibri"/>
      <charset val="1"/>
      <family val="2"/>
      <b val="1"/>
      <color rgb="FFFFFFFF"/>
      <sz val="18"/>
    </font>
    <font>
      <name val="Calibri"/>
      <charset val="1"/>
      <family val="2"/>
      <i val="1"/>
      <color rgb="FFFFFFFF"/>
      <sz val="11"/>
    </font>
    <font>
      <name val="Calibri"/>
      <charset val="1"/>
      <family val="2"/>
      <i val="1"/>
      <color rgb="FF595959"/>
      <sz val="9"/>
    </font>
    <font>
      <name val="Calibri"/>
      <charset val="1"/>
      <family val="2"/>
      <b val="1"/>
      <color rgb="FF1F3864"/>
      <sz val="11"/>
    </font>
    <font>
      <name val="Calibri"/>
      <charset val="1"/>
      <family val="2"/>
      <b val="1"/>
      <color rgb="FFFFFFFF"/>
      <sz val="9"/>
    </font>
    <font>
      <name val="Calibri"/>
      <charset val="1"/>
      <family val="2"/>
      <b val="1"/>
      <color theme="1"/>
      <sz val="20"/>
    </font>
    <font>
      <name val="Calibri"/>
      <charset val="1"/>
      <family val="2"/>
      <b val="1"/>
      <color rgb="FFC00000"/>
      <sz val="20"/>
    </font>
    <font>
      <name val="Calibri"/>
      <charset val="1"/>
      <family val="2"/>
      <i val="1"/>
      <color rgb="FF595959"/>
      <sz val="8"/>
    </font>
    <font>
      <name val="Calibri"/>
      <charset val="1"/>
      <family val="2"/>
      <i val="1"/>
      <color rgb="FFC00000"/>
      <sz val="8"/>
    </font>
    <font>
      <name val="Calibri"/>
      <charset val="1"/>
      <family val="2"/>
      <i val="1"/>
      <color rgb="FF00B050"/>
      <sz val="8"/>
    </font>
    <font>
      <name val="Calibri"/>
      <charset val="1"/>
      <family val="2"/>
      <b val="1"/>
      <color rgb="FFFFFFFF"/>
      <sz val="12"/>
    </font>
    <font>
      <name val="Calibri"/>
      <charset val="1"/>
      <family val="2"/>
      <b val="1"/>
      <color rgb="FF1F3864"/>
      <sz val="10"/>
    </font>
    <font>
      <name val="Calibri"/>
      <charset val="1"/>
      <family val="2"/>
      <b val="1"/>
      <color theme="1"/>
      <sz val="11"/>
    </font>
    <font>
      <name val="Calibri"/>
      <charset val="1"/>
      <family val="2"/>
      <color rgb="FF595959"/>
      <sz val="11"/>
    </font>
    <font>
      <name val="Calibri"/>
      <charset val="1"/>
      <family val="2"/>
      <b val="1"/>
      <color rgb="FFC00000"/>
      <sz val="11"/>
    </font>
    <font>
      <name val="Calibri"/>
      <charset val="1"/>
      <family val="2"/>
      <i val="1"/>
      <color theme="1"/>
      <sz val="11"/>
    </font>
    <font>
      <name val="Calibri"/>
      <charset val="1"/>
      <family val="2"/>
      <i val="1"/>
      <color rgb="FF595959"/>
      <sz val="11"/>
    </font>
    <font>
      <name val="Calibri"/>
      <charset val="1"/>
      <family val="2"/>
      <color rgb="FF00B050"/>
      <sz val="11"/>
    </font>
    <font>
      <name val="Calibri"/>
      <charset val="1"/>
      <family val="2"/>
      <b val="1"/>
      <color rgb="FF00B050"/>
      <sz val="11"/>
    </font>
    <font>
      <name val="Calibri"/>
      <charset val="1"/>
      <family val="2"/>
      <color rgb="FFC00000"/>
      <sz val="11"/>
    </font>
    <font>
      <name val="Calibri"/>
      <charset val="1"/>
      <family val="2"/>
      <i val="1"/>
      <color rgb="FF00B050"/>
      <sz val="11"/>
    </font>
    <font>
      <name val="Calibri"/>
      <charset val="1"/>
      <family val="2"/>
      <color theme="1"/>
      <sz val="10"/>
    </font>
    <font>
      <name val="Calibri"/>
      <charset val="1"/>
      <family val="2"/>
      <b val="1"/>
      <color theme="1"/>
      <sz val="10"/>
    </font>
    <font>
      <name val="Calibri"/>
      <family val="2"/>
      <b val="1"/>
      <color rgb="FFFFFFFF"/>
      <sz val="12"/>
    </font>
    <font>
      <name val="Calibri"/>
      <charset val="1"/>
      <family val="2"/>
      <b val="1"/>
      <color rgb="FFC00000"/>
      <sz val="10"/>
    </font>
    <font>
      <name val="Calibri"/>
      <charset val="1"/>
      <family val="2"/>
      <b val="1"/>
      <color rgb="FFBF8F00"/>
      <sz val="10"/>
    </font>
    <font>
      <name val="Calibri"/>
      <charset val="1"/>
      <family val="2"/>
      <b val="1"/>
      <color rgb="FF548235"/>
      <sz val="10"/>
    </font>
    <font>
      <name val="Arial"/>
      <color rgb="FFA0A0A0"/>
      <sz val="10"/>
    </font>
    <font>
      <name val="Calibri"/>
      <family val="2"/>
      <color rgb="FFA0A0A0"/>
      <sz val="11"/>
    </font>
    <font>
      <name val="Arial"/>
      <b val="1"/>
      <color rgb="FFA0A0A0"/>
      <sz val="10"/>
    </font>
    <font>
      <name val="Calibri"/>
      <color rgb="FFBFBFBF"/>
      <sz val="8"/>
    </font>
    <font>
      <name val="Calibri"/>
      <b val="1"/>
      <color rgb="FFFFFFFF"/>
      <sz val="20"/>
    </font>
    <font>
      <name val="Calibri"/>
      <i val="1"/>
      <color rgb="FFFFFFFF"/>
      <sz val="10"/>
    </font>
    <font>
      <name val="Calibri"/>
      <b val="1"/>
      <color rgb="FFFFFFFF"/>
      <sz val="9"/>
    </font>
    <font>
      <name val="Calibri"/>
      <b val="1"/>
      <color rgb="FF1F4E79"/>
      <sz val="28"/>
    </font>
    <font>
      <name val="Calibri"/>
      <i val="1"/>
      <color rgb="FF595959"/>
      <sz val="9"/>
    </font>
    <font>
      <name val="Calibri"/>
      <b val="1"/>
      <color rgb="FFBFBFBF"/>
      <sz val="8"/>
    </font>
    <font>
      <name val="Calibri"/>
      <charset val="1"/>
      <family val="2"/>
      <b val="1"/>
      <color rgb="FFBFBFBF"/>
      <sz val="8"/>
    </font>
    <font>
      <name val="Calibri"/>
      <b val="1"/>
      <color rgb="FF1F4E79"/>
      <sz val="9"/>
    </font>
    <font>
      <name val="Calibri"/>
      <charset val="1"/>
      <family val="2"/>
      <color rgb="FFBFBFBF"/>
      <sz val="8"/>
    </font>
    <font>
      <name val="Calibri"/>
      <b val="1"/>
      <i val="1"/>
      <color rgb="FF595959"/>
      <sz val="9"/>
    </font>
    <font>
      <name val="Calibri"/>
      <color theme="1"/>
      <sz val="10"/>
    </font>
    <font>
      <name val="Calibri"/>
      <b val="1"/>
      <color theme="1"/>
      <sz val="10"/>
    </font>
    <font>
      <name val="Calibri"/>
      <i val="1"/>
      <color rgb="FF595959"/>
      <sz val="10"/>
    </font>
    <font>
      <name val="Calibri"/>
      <color rgb="FFA6A6A6"/>
      <sz val="10"/>
    </font>
    <font>
      <name val="Calibri"/>
      <color rgb="FF595959"/>
      <sz val="10"/>
    </font>
    <font>
      <name val="Calibri"/>
      <b val="1"/>
      <color rgb="FFFFFFFF"/>
      <sz val="13"/>
    </font>
    <font>
      <name val="Calibri"/>
      <b val="1"/>
      <color rgb="FF1F4E79"/>
      <sz val="10"/>
    </font>
    <font>
      <name val="Calibri"/>
      <color rgb="FF595959"/>
      <sz val="9"/>
    </font>
    <font>
      <name val="Calibri"/>
      <charset val="1"/>
      <family val="2"/>
      <color theme="1"/>
      <sz val="14"/>
    </font>
    <font>
      <name val="Calibri"/>
      <charset val="1"/>
      <family val="2"/>
      <b val="1"/>
      <color rgb="FFFFFFFF"/>
      <sz val="10"/>
    </font>
    <font>
      <name val="Calibri"/>
      <charset val="1"/>
      <family val="2"/>
      <color rgb="FF666666"/>
      <sz val="11"/>
    </font>
    <font>
      <name val="Calibri"/>
      <charset val="1"/>
      <family val="2"/>
      <b val="1"/>
      <color rgb="FF1F4E79"/>
      <sz val="11"/>
    </font>
    <font>
      <name val="Calibri"/>
      <charset val="1"/>
      <family val="2"/>
      <b val="1"/>
      <color rgb="FF666666"/>
      <sz val="11"/>
    </font>
    <font>
      <name val="Calibri"/>
      <charset val="1"/>
      <family val="2"/>
      <color rgb="FF666666"/>
      <sz val="9"/>
    </font>
    <font>
      <name val="Calibri"/>
      <charset val="1"/>
      <family val="2"/>
      <b val="1"/>
      <color rgb="FFFFFFFF"/>
      <sz val="11"/>
    </font>
  </fonts>
  <fills count="36">
    <fill>
      <patternFill/>
    </fill>
    <fill>
      <patternFill patternType="gray125"/>
    </fill>
    <fill>
      <patternFill patternType="solid">
        <fgColor rgb="FF1F3864"/>
        <bgColor rgb="FF4A3869"/>
      </patternFill>
    </fill>
    <fill>
      <patternFill patternType="solid">
        <fgColor rgb="FFFFFFC7"/>
        <bgColor rgb="FFFFF2CC"/>
      </patternFill>
    </fill>
    <fill>
      <patternFill patternType="solid">
        <fgColor rgb="FF2F5597"/>
        <bgColor rgb="FF1F3864"/>
      </patternFill>
    </fill>
    <fill>
      <patternFill patternType="solid">
        <fgColor rgb="FFF7F7F7"/>
        <bgColor rgb="FFEEF2FF"/>
      </patternFill>
    </fill>
    <fill>
      <patternFill patternType="solid">
        <fgColor rgb="FF1F6B52"/>
        <bgColor rgb="FF1B5E20"/>
      </patternFill>
    </fill>
    <fill>
      <patternFill patternType="solid">
        <fgColor rgb="FFEDEDED"/>
        <bgColor rgb="FFEEF2FF"/>
      </patternFill>
    </fill>
    <fill>
      <patternFill patternType="solid">
        <fgColor rgb="FFD6E4F0"/>
        <bgColor rgb="FFD8D8D8"/>
      </patternFill>
    </fill>
    <fill>
      <patternFill patternType="solid">
        <fgColor rgb="FF4A3869"/>
        <bgColor rgb="FF444441"/>
      </patternFill>
    </fill>
    <fill>
      <patternFill patternType="solid">
        <fgColor rgb="FFFFF2CC"/>
        <bgColor rgb="FFFFFFC7"/>
      </patternFill>
    </fill>
    <fill>
      <patternFill patternType="solid">
        <fgColor rgb="FFE2EFDA"/>
        <bgColor rgb="FFEDEDED"/>
      </patternFill>
    </fill>
    <fill>
      <patternFill patternType="solid">
        <fgColor rgb="FFD8D8D8"/>
        <bgColor rgb="FFD6E4F0"/>
      </patternFill>
    </fill>
    <fill>
      <patternFill patternType="solid">
        <fgColor rgb="FFC8E6C9"/>
        <bgColor rgb="FFD8D8D8"/>
      </patternFill>
    </fill>
    <fill>
      <patternFill patternType="solid">
        <fgColor rgb="FFEEF2FF"/>
        <bgColor rgb="FFF7F7F7"/>
      </patternFill>
    </fill>
    <fill>
      <patternFill patternType="solid">
        <fgColor rgb="FF2F5597"/>
      </patternFill>
    </fill>
    <fill>
      <patternFill patternType="solid">
        <fgColor rgb="FF1F3864"/>
      </patternFill>
    </fill>
    <fill>
      <patternFill patternType="solid">
        <fgColor rgb="FF4A3869"/>
      </patternFill>
    </fill>
    <fill>
      <patternFill patternType="solid">
        <fgColor rgb="FF305496"/>
      </patternFill>
    </fill>
    <fill>
      <patternFill patternType="solid">
        <fgColor rgb="FFF2F2F2"/>
      </patternFill>
    </fill>
    <fill>
      <patternFill patternType="solid">
        <fgColor rgb="FFFFF2CC"/>
      </patternFill>
    </fill>
    <fill>
      <patternFill patternType="solid">
        <fgColor rgb="FFE2EFDA"/>
      </patternFill>
    </fill>
    <fill>
      <patternFill patternType="solid">
        <fgColor rgb="FF1F3864"/>
        <bgColor indexed="64"/>
      </patternFill>
    </fill>
    <fill>
      <patternFill patternType="solid">
        <fgColor rgb="FFD9E1F2"/>
        <bgColor indexed="64"/>
      </patternFill>
    </fill>
    <fill>
      <patternFill patternType="solid">
        <fgColor rgb="FF2E5597"/>
        <bgColor indexed="64"/>
      </patternFill>
    </fill>
    <fill>
      <patternFill patternType="solid">
        <fgColor rgb="FFFFF2CC"/>
        <bgColor indexed="64"/>
      </patternFill>
    </fill>
    <fill>
      <patternFill patternType="solid">
        <fgColor rgb="FFE2EFDA"/>
        <bgColor indexed="64"/>
      </patternFill>
    </fill>
    <fill>
      <patternFill patternType="solid">
        <fgColor rgb="FF1F4E78"/>
        <bgColor indexed="64"/>
      </patternFill>
    </fill>
    <fill>
      <patternFill patternType="solid">
        <fgColor rgb="FFF2F2F2"/>
        <bgColor indexed="64"/>
      </patternFill>
    </fill>
    <fill>
      <patternFill patternType="solid">
        <fgColor rgb="FF1F6B52"/>
        <bgColor rgb="FF1F6B52"/>
      </patternFill>
    </fill>
    <fill>
      <patternFill patternType="solid">
        <fgColor rgb="FFF2F2F2"/>
        <bgColor rgb="FFF2F2F2"/>
      </patternFill>
    </fill>
    <fill>
      <patternFill patternType="solid">
        <fgColor rgb="FF1F4E79"/>
        <bgColor indexed="64"/>
      </patternFill>
    </fill>
    <fill>
      <patternFill patternType="solid">
        <fgColor rgb="FF5B9BD5"/>
        <bgColor indexed="64"/>
      </patternFill>
    </fill>
    <fill>
      <patternFill patternType="solid">
        <fgColor rgb="FFFFFFFF"/>
        <bgColor indexed="64"/>
      </patternFill>
    </fill>
    <fill>
      <patternFill patternType="solid">
        <fgColor rgb="FFF7F9FC"/>
        <bgColor indexed="64"/>
      </patternFill>
    </fill>
    <fill>
      <patternFill patternType="solid">
        <fgColor rgb="FF8FAADC"/>
        <bgColor indexed="64"/>
      </patternFill>
    </fill>
  </fills>
  <borders count="4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right/>
      <top style="thin">
        <color rgb="FFBFBFBF"/>
      </top>
      <bottom/>
      <diagonal/>
    </border>
    <border>
      <left/>
      <right style="thin">
        <color rgb="FFBFBFBF"/>
      </right>
      <top style="thin">
        <color rgb="FFBFBFBF"/>
      </top>
      <bottom/>
      <diagonal/>
    </border>
    <border>
      <left style="thin">
        <color rgb="FFBFBFBF"/>
      </left>
      <right style="thin">
        <color rgb="FFBFBFBF"/>
      </right>
      <top style="thin">
        <color rgb="FFBFBFBF"/>
      </top>
      <bottom style="thin">
        <color rgb="FFBFBFBF"/>
      </bottom>
    </border>
    <border>
      <left style="medium">
        <color rgb="FF5B9BD5"/>
      </left>
      <right/>
      <top style="medium">
        <color rgb="FF5B9BD5"/>
      </top>
      <bottom/>
      <diagonal/>
    </border>
    <border>
      <left/>
      <right style="medium">
        <color rgb="FF5B9BD5"/>
      </right>
      <top style="medium">
        <color rgb="FF5B9BD5"/>
      </top>
      <bottom/>
      <diagonal/>
    </border>
    <border>
      <left style="medium">
        <color rgb="FF5B9BD5"/>
      </left>
      <right style="medium">
        <color rgb="FF5B9BD5"/>
      </right>
      <top style="medium">
        <color rgb="FF5B9BD5"/>
      </top>
      <bottom/>
      <diagonal/>
    </border>
    <border>
      <left style="medium">
        <color rgb="FF5B9BD5"/>
      </left>
      <right style="medium">
        <color rgb="FF5B9BD5"/>
      </right>
      <top/>
      <bottom/>
      <diagonal/>
    </border>
    <border>
      <left/>
      <right style="medium">
        <color rgb="FF5B9BD5"/>
      </right>
      <top/>
      <bottom/>
      <diagonal/>
    </border>
    <border>
      <left style="medium">
        <color rgb="FF5B9BD5"/>
      </left>
      <right style="medium">
        <color rgb="FF5B9BD5"/>
      </right>
      <top/>
      <bottom style="medium">
        <color rgb="FF5B9BD5"/>
      </bottom>
      <diagonal/>
    </border>
    <border>
      <left/>
      <right style="medium">
        <color rgb="FF5B9BD5"/>
      </right>
      <top/>
      <bottom style="medium">
        <color rgb="FF5B9BD5"/>
      </bottom>
      <diagonal/>
    </border>
    <border>
      <left style="thin">
        <color rgb="FFBFBFBF"/>
      </left>
      <right style="thin">
        <color rgb="FFBFBFBF"/>
      </right>
      <top style="thin">
        <color rgb="FFBFBFBF"/>
      </top>
      <bottom/>
      <diagonal/>
    </border>
    <border>
      <left style="thin">
        <color rgb="FFBFBFBF"/>
      </left>
      <right/>
      <top/>
      <bottom/>
      <diagonal/>
    </border>
    <border>
      <left style="thin">
        <color rgb="FFBFBFBF"/>
      </left>
      <right/>
      <top/>
      <bottom style="thin">
        <color rgb="FFBFBFBF"/>
      </bottom>
      <diagonal/>
    </border>
    <border>
      <left/>
      <right style="thin">
        <color rgb="FFBFBFBF"/>
      </right>
      <top/>
      <bottom style="thin">
        <color rgb="FFBFBFBF"/>
      </bottom>
      <diagonal/>
    </border>
    <border>
      <left/>
      <right/>
      <top/>
      <bottom style="thin">
        <color rgb="FFBFBFBF"/>
      </bottom>
      <diagonal/>
    </border>
    <border>
      <left style="thin">
        <color rgb="FF1F4E79"/>
      </left>
      <right/>
      <top style="thin">
        <color rgb="FF1F4E79"/>
      </top>
      <bottom/>
      <diagonal/>
    </border>
    <border>
      <left/>
      <right/>
      <top style="thin">
        <color rgb="FF1F4E79"/>
      </top>
      <bottom/>
      <diagonal/>
    </border>
    <border>
      <left/>
      <right style="thin">
        <color rgb="FF1F4E79"/>
      </right>
      <top style="thin">
        <color rgb="FF1F4E79"/>
      </top>
      <bottom/>
      <diagonal/>
    </border>
    <border>
      <left style="thin">
        <color rgb="FF1F4E79"/>
      </left>
      <right style="thin">
        <color rgb="FFE7E6E6"/>
      </right>
      <top/>
      <bottom/>
      <diagonal/>
    </border>
    <border>
      <left style="thin">
        <color rgb="FFE7E6E6"/>
      </left>
      <right style="thin">
        <color rgb="FFE7E6E6"/>
      </right>
      <top/>
      <bottom/>
      <diagonal/>
    </border>
    <border>
      <left style="thin">
        <color rgb="FFE7E6E6"/>
      </left>
      <right style="thin">
        <color rgb="FF1F4E79"/>
      </right>
      <top/>
      <bottom/>
      <diagonal/>
    </border>
    <border>
      <left style="thin">
        <color rgb="FF1F4E79"/>
      </left>
      <right style="thin">
        <color rgb="FFE7E6E6"/>
      </right>
      <top style="thin">
        <color rgb="FFE7E6E6"/>
      </top>
      <bottom/>
      <diagonal/>
    </border>
    <border>
      <left style="thin">
        <color rgb="FFE7E6E6"/>
      </left>
      <right style="thin">
        <color rgb="FFE7E6E6"/>
      </right>
      <top style="thin">
        <color rgb="FFE7E6E6"/>
      </top>
      <bottom/>
      <diagonal/>
    </border>
    <border>
      <left style="thin">
        <color rgb="FFE7E6E6"/>
      </left>
      <right style="thin">
        <color rgb="FF1F4E79"/>
      </right>
      <top style="thin">
        <color rgb="FFE7E6E6"/>
      </top>
      <bottom/>
      <diagonal/>
    </border>
    <border>
      <left style="thin">
        <color rgb="FF1F4E79"/>
      </left>
      <right style="thin">
        <color rgb="FFE7E6E6"/>
      </right>
      <top style="thin">
        <color rgb="FFE7E6E6"/>
      </top>
      <bottom style="thin">
        <color rgb="FF1F4E79"/>
      </bottom>
      <diagonal/>
    </border>
    <border>
      <left style="thin">
        <color rgb="FFE7E6E6"/>
      </left>
      <right style="thin">
        <color rgb="FFE7E6E6"/>
      </right>
      <top style="thin">
        <color rgb="FFE7E6E6"/>
      </top>
      <bottom style="thin">
        <color rgb="FF1F4E79"/>
      </bottom>
      <diagonal/>
    </border>
    <border>
      <left style="thin">
        <color rgb="FFE7E6E6"/>
      </left>
      <right style="thin">
        <color rgb="FF1F4E79"/>
      </right>
      <top style="thin">
        <color rgb="FFE7E6E6"/>
      </top>
      <bottom style="thin">
        <color rgb="FF1F4E79"/>
      </bottom>
      <diagonal/>
    </border>
    <border>
      <left style="thin">
        <color rgb="FF1F4E79"/>
      </left>
      <right/>
      <top/>
      <bottom/>
      <diagonal/>
    </border>
    <border>
      <left/>
      <right style="thin">
        <color rgb="FF1F4E79"/>
      </right>
      <top/>
      <bottom/>
      <diagonal/>
    </border>
    <border>
      <left style="thin">
        <color rgb="FF1F4E79"/>
      </left>
      <right/>
      <top style="thin">
        <color rgb="FFE7E6E6"/>
      </top>
      <bottom/>
      <diagonal/>
    </border>
    <border>
      <left/>
      <right/>
      <top style="thin">
        <color rgb="FFE7E6E6"/>
      </top>
      <bottom/>
      <diagonal/>
    </border>
    <border>
      <left/>
      <right style="thin">
        <color rgb="FF1F4E79"/>
      </right>
      <top style="thin">
        <color rgb="FFE7E6E6"/>
      </top>
      <bottom/>
      <diagonal/>
    </border>
    <border>
      <left style="thin">
        <color rgb="FF1F4E79"/>
      </left>
      <right/>
      <top style="thin">
        <color rgb="FFE7E6E6"/>
      </top>
      <bottom style="thin">
        <color rgb="FF1F4E79"/>
      </bottom>
      <diagonal/>
    </border>
    <border>
      <left/>
      <right/>
      <top style="thin">
        <color rgb="FFE7E6E6"/>
      </top>
      <bottom style="thin">
        <color rgb="FF1F4E79"/>
      </bottom>
      <diagonal/>
    </border>
    <border>
      <left/>
      <right style="thin">
        <color rgb="FF1F4E79"/>
      </right>
      <top style="thin">
        <color rgb="FFE7E6E6"/>
      </top>
      <bottom style="thin">
        <color rgb="FF1F4E79"/>
      </bottom>
      <diagonal/>
    </border>
    <border>
      <left style="thin">
        <color rgb="FFBFBFBF"/>
      </left>
      <right/>
      <top style="thin">
        <color rgb="FFBFBFBF"/>
      </top>
      <bottom/>
      <diagonal/>
    </border>
    <border>
      <left/>
      <right/>
      <top style="medium">
        <color rgb="FF5B9BD5"/>
      </top>
      <bottom/>
      <diagonal/>
    </border>
  </borders>
  <cellStyleXfs count="1">
    <xf numFmtId="0" fontId="0" fillId="0" borderId="0"/>
  </cellStyleXfs>
  <cellXfs count="543">
    <xf numFmtId="0" fontId="0" fillId="0" borderId="0" pivotButton="0" quotePrefix="0" xfId="0"/>
    <xf numFmtId="0" fontId="6" fillId="0" borderId="1" applyAlignment="1" pivotButton="0" quotePrefix="0" xfId="0">
      <alignment horizontal="left" vertical="center" indent="2"/>
    </xf>
    <xf numFmtId="0" fontId="12" fillId="10" borderId="1" applyAlignment="1" pivotButton="0" quotePrefix="0" xfId="0">
      <alignment horizontal="left" vertical="center" indent="2"/>
    </xf>
    <xf numFmtId="0" fontId="11" fillId="8" borderId="1" applyAlignment="1" pivotButton="0" quotePrefix="0" xfId="0">
      <alignment horizontal="left" vertical="center" indent="1"/>
    </xf>
    <xf numFmtId="0" fontId="4" fillId="9" borderId="0" applyAlignment="1" pivotButton="0" quotePrefix="0" xfId="0">
      <alignment horizontal="left" vertical="center" indent="1"/>
    </xf>
    <xf numFmtId="0" fontId="10" fillId="7" borderId="0" applyAlignment="1" pivotButton="0" quotePrefix="0" xfId="0">
      <alignment horizontal="left" vertical="center" indent="1"/>
    </xf>
    <xf numFmtId="0" fontId="2" fillId="0" borderId="0" pivotButton="0" quotePrefix="0" xfId="0"/>
    <xf numFmtId="49" fontId="3" fillId="3" borderId="1" applyAlignment="1" pivotButton="0" quotePrefix="0" xfId="0">
      <alignment horizontal="right" vertical="center"/>
    </xf>
    <xf numFmtId="0" fontId="2" fillId="0" borderId="0" applyAlignment="1" pivotButton="0" quotePrefix="0" xfId="0">
      <alignment horizontal="right" vertical="center"/>
    </xf>
    <xf numFmtId="164" fontId="3" fillId="3" borderId="1" applyAlignment="1" pivotButton="0" quotePrefix="0" xfId="0">
      <alignment horizontal="right" vertical="center"/>
    </xf>
    <xf numFmtId="0" fontId="5" fillId="2" borderId="1" applyAlignment="1" pivotButton="0" quotePrefix="0" xfId="0">
      <alignment horizontal="center" vertical="center" wrapText="1"/>
    </xf>
    <xf numFmtId="0" fontId="6" fillId="0" borderId="1" applyAlignment="1" pivotButton="0" quotePrefix="0" xfId="0">
      <alignment horizontal="left" vertical="center" indent="1"/>
    </xf>
    <xf numFmtId="3" fontId="3" fillId="3" borderId="1" applyAlignment="1" pivotButton="0" quotePrefix="0" xfId="0">
      <alignment horizontal="center" vertical="center"/>
    </xf>
    <xf numFmtId="3" fontId="7" fillId="5" borderId="1" applyAlignment="1" pivotButton="0" quotePrefix="0" xfId="0">
      <alignment horizontal="center" vertical="center"/>
    </xf>
    <xf numFmtId="0" fontId="0" fillId="0" borderId="1" pivotButton="0" quotePrefix="0" xfId="0"/>
    <xf numFmtId="0" fontId="8" fillId="0" borderId="1" applyAlignment="1" pivotButton="0" quotePrefix="0" xfId="0">
      <alignment horizontal="left" vertical="center" wrapText="1" indent="1"/>
    </xf>
    <xf numFmtId="165" fontId="7" fillId="5" borderId="1" applyAlignment="1" pivotButton="0" quotePrefix="0" xfId="0">
      <alignment horizontal="center" vertical="center"/>
    </xf>
    <xf numFmtId="0" fontId="9" fillId="0" borderId="1" applyAlignment="1" pivotButton="0" quotePrefix="0" xfId="0">
      <alignment horizontal="left" vertical="center" wrapText="1" indent="1"/>
    </xf>
    <xf numFmtId="166" fontId="7" fillId="0" borderId="1" applyAlignment="1" pivotButton="0" quotePrefix="0" xfId="0">
      <alignment horizontal="center" vertical="center"/>
    </xf>
    <xf numFmtId="166" fontId="7" fillId="5" borderId="1" applyAlignment="1" pivotButton="0" quotePrefix="0" xfId="0">
      <alignment horizontal="center" vertical="center"/>
    </xf>
    <xf numFmtId="0" fontId="0" fillId="0" borderId="0" applyAlignment="1" pivotButton="0" quotePrefix="0" xfId="0">
      <alignment horizontal="center"/>
    </xf>
    <xf numFmtId="166" fontId="3" fillId="3" borderId="1" applyAlignment="1" pivotButton="0" quotePrefix="0" xfId="0">
      <alignment horizontal="center" vertical="center"/>
    </xf>
    <xf numFmtId="165" fontId="7" fillId="0" borderId="1" applyAlignment="1" pivotButton="0" quotePrefix="0" xfId="0">
      <alignment horizontal="center" vertical="center"/>
    </xf>
    <xf numFmtId="0" fontId="5" fillId="6" borderId="1" applyAlignment="1" pivotButton="0" quotePrefix="0" xfId="0">
      <alignment horizontal="center" vertical="center" wrapText="1"/>
    </xf>
    <xf numFmtId="167" fontId="7" fillId="0" borderId="1" applyAlignment="1" pivotButton="0" quotePrefix="0" xfId="0">
      <alignment horizontal="right" vertical="center"/>
    </xf>
    <xf numFmtId="167" fontId="7" fillId="5" borderId="1" applyAlignment="1" pivotButton="0" quotePrefix="0" xfId="0">
      <alignment horizontal="right" vertical="center"/>
    </xf>
    <xf numFmtId="168" fontId="7" fillId="0" borderId="1" applyAlignment="1" pivotButton="0" quotePrefix="0" xfId="0">
      <alignment horizontal="right" vertical="center"/>
    </xf>
    <xf numFmtId="168" fontId="7" fillId="5" borderId="1" applyAlignment="1" pivotButton="0" quotePrefix="0" xfId="0">
      <alignment horizontal="right" vertical="center"/>
    </xf>
    <xf numFmtId="168" fontId="3" fillId="3" borderId="1" applyAlignment="1" pivotButton="0" quotePrefix="0" xfId="0">
      <alignment horizontal="right" vertical="center"/>
    </xf>
    <xf numFmtId="0" fontId="11" fillId="8" borderId="1" applyAlignment="1" pivotButton="0" quotePrefix="0" xfId="0">
      <alignment horizontal="left" vertical="center" indent="2"/>
    </xf>
    <xf numFmtId="167" fontId="11" fillId="8" borderId="1" applyAlignment="1" pivotButton="0" quotePrefix="0" xfId="0">
      <alignment horizontal="right" vertical="center"/>
    </xf>
    <xf numFmtId="166" fontId="7" fillId="0" borderId="1" applyAlignment="1" pivotButton="0" quotePrefix="0" xfId="0">
      <alignment horizontal="right" vertical="center"/>
    </xf>
    <xf numFmtId="166" fontId="7" fillId="5" borderId="1" applyAlignment="1" pivotButton="0" quotePrefix="0" xfId="0">
      <alignment horizontal="right" vertical="center"/>
    </xf>
    <xf numFmtId="0" fontId="5" fillId="9" borderId="1" applyAlignment="1" pivotButton="0" quotePrefix="0" xfId="0">
      <alignment horizontal="left" vertical="center"/>
    </xf>
    <xf numFmtId="0" fontId="5" fillId="9" borderId="1" applyAlignment="1" pivotButton="0" quotePrefix="0" xfId="0">
      <alignment horizontal="center" vertical="center"/>
    </xf>
    <xf numFmtId="0" fontId="5" fillId="6" borderId="1" applyAlignment="1" pivotButton="0" quotePrefix="0" xfId="0">
      <alignment horizontal="center" vertical="center"/>
    </xf>
    <xf numFmtId="0" fontId="7" fillId="0" borderId="1" applyAlignment="1" pivotButton="0" quotePrefix="0" xfId="0">
      <alignment horizontal="right" vertical="center"/>
    </xf>
    <xf numFmtId="167" fontId="12" fillId="10" borderId="1" applyAlignment="1" pivotButton="0" quotePrefix="0" xfId="0">
      <alignment horizontal="right" vertical="center"/>
    </xf>
    <xf numFmtId="0" fontId="13" fillId="10" borderId="1" applyAlignment="1" pivotButton="0" quotePrefix="0" xfId="0">
      <alignment horizontal="left" vertical="center" wrapText="1" indent="1"/>
    </xf>
    <xf numFmtId="0" fontId="12" fillId="10" borderId="1" applyAlignment="1" pivotButton="0" quotePrefix="0" xfId="0">
      <alignment vertical="center"/>
    </xf>
    <xf numFmtId="166" fontId="12" fillId="10" borderId="1" applyAlignment="1" pivotButton="0" quotePrefix="0" xfId="0">
      <alignment horizontal="right" vertical="center"/>
    </xf>
    <xf numFmtId="167" fontId="3" fillId="3" borderId="1" applyAlignment="1" pivotButton="0" quotePrefix="0" xfId="0">
      <alignment horizontal="right" vertical="center"/>
    </xf>
    <xf numFmtId="0" fontId="14" fillId="4" borderId="2" applyAlignment="1" pivotButton="0" quotePrefix="0" xfId="0">
      <alignment horizontal="left" vertical="center" indent="1"/>
    </xf>
    <xf numFmtId="0" fontId="0" fillId="0" borderId="3" pivotButton="0" quotePrefix="0" xfId="0"/>
    <xf numFmtId="167" fontId="14" fillId="4" borderId="1" applyAlignment="1" pivotButton="0" quotePrefix="0" xfId="0">
      <alignment horizontal="right" vertical="center"/>
    </xf>
    <xf numFmtId="0" fontId="5" fillId="4" borderId="1" pivotButton="0" quotePrefix="0" xfId="0"/>
    <xf numFmtId="0" fontId="0" fillId="10" borderId="1" pivotButton="0" quotePrefix="0" xfId="0"/>
    <xf numFmtId="167" fontId="7" fillId="10" borderId="1" applyAlignment="1" pivotButton="0" quotePrefix="0" xfId="0">
      <alignment horizontal="right" vertical="center"/>
    </xf>
    <xf numFmtId="0" fontId="0" fillId="8" borderId="1" pivotButton="0" quotePrefix="0" xfId="0"/>
    <xf numFmtId="0" fontId="4" fillId="9" borderId="2" applyAlignment="1" pivotButton="0" quotePrefix="0" xfId="0">
      <alignment horizontal="left" vertical="center" indent="1"/>
    </xf>
    <xf numFmtId="167" fontId="4" fillId="9" borderId="1" applyAlignment="1" pivotButton="0" quotePrefix="0" xfId="0">
      <alignment horizontal="right" vertical="center"/>
    </xf>
    <xf numFmtId="49" fontId="15" fillId="9" borderId="1" applyAlignment="1" pivotButton="0" quotePrefix="0" xfId="0">
      <alignment horizontal="left" vertical="center" indent="1"/>
    </xf>
    <xf numFmtId="167" fontId="3" fillId="10" borderId="1" applyAlignment="1" pivotButton="0" quotePrefix="0" xfId="0">
      <alignment horizontal="right" vertical="center"/>
    </xf>
    <xf numFmtId="167" fontId="4" fillId="9" borderId="1" applyAlignment="1" pivotButton="0" quotePrefix="0" xfId="0">
      <alignment horizontal="left" vertical="center"/>
    </xf>
    <xf numFmtId="0" fontId="16" fillId="11" borderId="1" applyAlignment="1" pivotButton="0" quotePrefix="0" xfId="0">
      <alignment horizontal="left" vertical="center" indent="1"/>
    </xf>
    <xf numFmtId="0" fontId="0" fillId="0" borderId="4" pivotButton="0" quotePrefix="0" xfId="0"/>
    <xf numFmtId="167" fontId="16" fillId="11" borderId="1" applyAlignment="1" pivotButton="0" quotePrefix="0" xfId="0">
      <alignment horizontal="right" vertical="center"/>
    </xf>
    <xf numFmtId="167" fontId="16" fillId="11" borderId="1" applyAlignment="1" pivotButton="0" quotePrefix="0" xfId="0">
      <alignment horizontal="left" vertical="center" indent="1"/>
    </xf>
    <xf numFmtId="0" fontId="17" fillId="12" borderId="1" applyAlignment="1" pivotButton="0" quotePrefix="0" xfId="0">
      <alignment horizontal="left" vertical="center" indent="1"/>
    </xf>
    <xf numFmtId="167" fontId="17" fillId="12" borderId="1" applyAlignment="1" pivotButton="0" quotePrefix="0" xfId="0">
      <alignment horizontal="right" vertical="center"/>
    </xf>
    <xf numFmtId="167" fontId="17" fillId="12" borderId="1" applyAlignment="1" pivotButton="0" quotePrefix="0" xfId="0">
      <alignment horizontal="left" vertical="center" indent="1"/>
    </xf>
    <xf numFmtId="0" fontId="18" fillId="0" borderId="1" applyAlignment="1" pivotButton="0" quotePrefix="0" xfId="0">
      <alignment horizontal="left" vertical="center" indent="2"/>
    </xf>
    <xf numFmtId="0" fontId="16" fillId="13" borderId="1" applyAlignment="1" pivotButton="0" quotePrefix="0" xfId="0">
      <alignment horizontal="left" vertical="center" indent="1"/>
    </xf>
    <xf numFmtId="167" fontId="16" fillId="13" borderId="1" applyAlignment="1" pivotButton="0" quotePrefix="0" xfId="0">
      <alignment horizontal="right" vertical="center"/>
    </xf>
    <xf numFmtId="167" fontId="16" fillId="13" borderId="1" applyAlignment="1" pivotButton="0" quotePrefix="0" xfId="0">
      <alignment horizontal="left" vertical="center"/>
    </xf>
    <xf numFmtId="0" fontId="4" fillId="6" borderId="0" applyAlignment="1" pivotButton="0" quotePrefix="0" xfId="0">
      <alignment horizontal="left" vertical="center" indent="1"/>
    </xf>
    <xf numFmtId="0" fontId="19" fillId="0" borderId="1" applyAlignment="1" pivotButton="0" quotePrefix="0" xfId="0">
      <alignment horizontal="left" vertical="center" indent="2"/>
    </xf>
    <xf numFmtId="0" fontId="7" fillId="0" borderId="1" applyAlignment="1" pivotButton="0" quotePrefix="0" xfId="0">
      <alignment horizontal="left" vertical="center" indent="1"/>
    </xf>
    <xf numFmtId="166" fontId="3" fillId="3" borderId="1" applyAlignment="1" pivotButton="0" quotePrefix="0" xfId="0">
      <alignment horizontal="right" vertical="center"/>
    </xf>
    <xf numFmtId="169" fontId="7" fillId="0" borderId="1" applyAlignment="1" pivotButton="0" quotePrefix="0" xfId="0">
      <alignment horizontal="right" vertical="center"/>
    </xf>
    <xf numFmtId="169" fontId="7" fillId="5" borderId="1" applyAlignment="1" pivotButton="0" quotePrefix="0" xfId="0">
      <alignment horizontal="right" vertical="center"/>
    </xf>
    <xf numFmtId="0" fontId="7" fillId="14" borderId="1" applyAlignment="1" pivotButton="0" quotePrefix="0" xfId="0">
      <alignment horizontal="left" vertical="center" indent="2"/>
    </xf>
    <xf numFmtId="0" fontId="0" fillId="14" borderId="1" pivotButton="0" quotePrefix="0" xfId="0"/>
    <xf numFmtId="166" fontId="7" fillId="14" borderId="1" applyAlignment="1" pivotButton="0" quotePrefix="0" xfId="0">
      <alignment horizontal="right" vertical="center"/>
    </xf>
    <xf numFmtId="0" fontId="8" fillId="14" borderId="1" applyAlignment="1" pivotButton="0" quotePrefix="0" xfId="0">
      <alignment horizontal="left" vertical="center" wrapText="1" indent="1"/>
    </xf>
    <xf numFmtId="0" fontId="7" fillId="14" borderId="1" applyAlignment="1" pivotButton="0" quotePrefix="0" xfId="0">
      <alignment horizontal="left" vertical="center" indent="1"/>
    </xf>
    <xf numFmtId="168" fontId="7" fillId="14" borderId="1" applyAlignment="1" pivotButton="0" quotePrefix="0" xfId="0">
      <alignment horizontal="right" vertical="center"/>
    </xf>
    <xf numFmtId="167" fontId="7" fillId="14" borderId="1" applyAlignment="1" pivotButton="0" quotePrefix="0" xfId="0">
      <alignment horizontal="right" vertical="center"/>
    </xf>
    <xf numFmtId="0" fontId="8" fillId="0" borderId="0" applyAlignment="1" pivotButton="0" quotePrefix="0" xfId="0">
      <alignment horizontal="left" vertical="center"/>
    </xf>
    <xf numFmtId="0" fontId="4" fillId="4" borderId="1" applyAlignment="1" pivotButton="0" quotePrefix="0" xfId="0">
      <alignment horizontal="center" vertical="center" wrapText="1"/>
    </xf>
    <xf numFmtId="170" fontId="0" fillId="0" borderId="0" pivotButton="0" quotePrefix="0" xfId="0"/>
    <xf numFmtId="0" fontId="22" fillId="0" borderId="1" applyAlignment="1" pivotButton="0" quotePrefix="0" xfId="0">
      <alignment horizontal="center" vertical="center"/>
    </xf>
    <xf numFmtId="0" fontId="24" fillId="0" borderId="1" applyAlignment="1" pivotButton="0" quotePrefix="0" xfId="0">
      <alignment horizontal="left" vertical="center"/>
    </xf>
    <xf numFmtId="0" fontId="6" fillId="0" borderId="1" applyAlignment="1" pivotButton="0" quotePrefix="0" xfId="0">
      <alignment horizontal="left" vertical="center"/>
    </xf>
    <xf numFmtId="0" fontId="24" fillId="0" borderId="1" applyAlignment="1" pivotButton="0" quotePrefix="0" xfId="0">
      <alignment horizontal="center" vertical="center"/>
    </xf>
    <xf numFmtId="0" fontId="8" fillId="0" borderId="1" applyAlignment="1" pivotButton="0" quotePrefix="0" xfId="0">
      <alignment horizontal="left" vertical="center"/>
    </xf>
    <xf numFmtId="0" fontId="25" fillId="0" borderId="1" applyAlignment="1" pivotButton="0" quotePrefix="0" xfId="0">
      <alignment horizontal="left" vertical="center"/>
    </xf>
    <xf numFmtId="167" fontId="26" fillId="0" borderId="1" applyAlignment="1" pivotButton="0" quotePrefix="0" xfId="0">
      <alignment horizontal="right" vertical="center"/>
    </xf>
    <xf numFmtId="0" fontId="24" fillId="10" borderId="1" applyAlignment="1" pivotButton="0" quotePrefix="0" xfId="0">
      <alignment horizontal="left" vertical="center"/>
    </xf>
    <xf numFmtId="0" fontId="27" fillId="10" borderId="1" applyAlignment="1" pivotButton="0" quotePrefix="0" xfId="0">
      <alignment horizontal="left" vertical="center"/>
    </xf>
    <xf numFmtId="0" fontId="24" fillId="10" borderId="1" applyAlignment="1" pivotButton="0" quotePrefix="0" xfId="0">
      <alignment horizontal="center" vertical="center"/>
    </xf>
    <xf numFmtId="0" fontId="13" fillId="10" borderId="1" applyAlignment="1" pivotButton="0" quotePrefix="0" xfId="0">
      <alignment horizontal="left" vertical="center"/>
    </xf>
    <xf numFmtId="0" fontId="25" fillId="10" borderId="1" applyAlignment="1" pivotButton="0" quotePrefix="0" xfId="0">
      <alignment horizontal="left" vertical="center"/>
    </xf>
    <xf numFmtId="167" fontId="26" fillId="10" borderId="1" applyAlignment="1" pivotButton="0" quotePrefix="0" xfId="0">
      <alignment horizontal="right" vertical="center"/>
    </xf>
    <xf numFmtId="0" fontId="19" fillId="0" borderId="1" applyAlignment="1" pivotButton="0" quotePrefix="0" xfId="0">
      <alignment horizontal="left" vertical="center"/>
    </xf>
    <xf numFmtId="0" fontId="2" fillId="0" borderId="1" applyAlignment="1" pivotButton="0" quotePrefix="0" xfId="0">
      <alignment horizontal="left" vertical="center"/>
    </xf>
    <xf numFmtId="4" fontId="0" fillId="0" borderId="0" pivotButton="0" quotePrefix="0" xfId="0"/>
    <xf numFmtId="171" fontId="0" fillId="0" borderId="0" pivotButton="0" quotePrefix="0" xfId="0"/>
    <xf numFmtId="0" fontId="23" fillId="2" borderId="0" applyAlignment="1" pivotButton="0" quotePrefix="0" xfId="0">
      <alignment vertical="center"/>
    </xf>
    <xf numFmtId="0" fontId="9" fillId="0" borderId="0" applyAlignment="1" pivotButton="0" quotePrefix="0" xfId="0">
      <alignment vertical="center"/>
    </xf>
    <xf numFmtId="0" fontId="9" fillId="0" borderId="0" applyAlignment="1" pivotButton="0" quotePrefix="0" xfId="0">
      <alignment vertical="center" wrapText="1"/>
    </xf>
    <xf numFmtId="0" fontId="28" fillId="2" borderId="1" applyAlignment="1" pivotButton="0" quotePrefix="0" xfId="0">
      <alignment horizontal="center" vertical="center" wrapText="1"/>
    </xf>
    <xf numFmtId="0" fontId="28" fillId="6" borderId="1" applyAlignment="1" pivotButton="0" quotePrefix="0" xfId="0">
      <alignment horizontal="center" vertical="center" wrapText="1"/>
    </xf>
    <xf numFmtId="0" fontId="29" fillId="10" borderId="0" applyAlignment="1" pivotButton="0" quotePrefix="0" xfId="0">
      <alignment vertical="center"/>
    </xf>
    <xf numFmtId="0" fontId="30" fillId="3" borderId="1" applyAlignment="1" pivotButton="0" quotePrefix="0" xfId="0">
      <alignment horizontal="right" vertical="center"/>
    </xf>
    <xf numFmtId="0" fontId="30" fillId="3" borderId="1" applyAlignment="1" pivotButton="0" quotePrefix="0" xfId="0">
      <alignment horizontal="left" vertical="center"/>
    </xf>
    <xf numFmtId="168" fontId="30" fillId="3" borderId="1" applyAlignment="1" pivotButton="0" quotePrefix="0" xfId="0">
      <alignment horizontal="right" vertical="center"/>
    </xf>
    <xf numFmtId="164" fontId="30" fillId="3" borderId="1" applyAlignment="1" pivotButton="0" quotePrefix="0" xfId="0">
      <alignment horizontal="left" vertical="center"/>
    </xf>
    <xf numFmtId="168" fontId="24" fillId="5" borderId="1" applyAlignment="1" pivotButton="0" quotePrefix="0" xfId="0">
      <alignment horizontal="right" vertical="center"/>
    </xf>
    <xf numFmtId="0" fontId="31" fillId="0" borderId="1" applyAlignment="1" pivotButton="0" quotePrefix="0" xfId="0">
      <alignment horizontal="left" vertical="center" indent="1"/>
    </xf>
    <xf numFmtId="164" fontId="32" fillId="3" borderId="1" applyAlignment="1" pivotButton="0" quotePrefix="0" xfId="0">
      <alignment horizontal="center" vertical="center"/>
    </xf>
    <xf numFmtId="0" fontId="5" fillId="2" borderId="1" applyAlignment="1" pivotButton="0" quotePrefix="0" xfId="0">
      <alignment horizontal="left" vertical="center" wrapText="1"/>
    </xf>
    <xf numFmtId="0" fontId="22" fillId="0" borderId="1" applyAlignment="1" pivotButton="0" quotePrefix="0" xfId="0">
      <alignment horizontal="left" vertical="center" indent="1"/>
    </xf>
    <xf numFmtId="172" fontId="22" fillId="0" borderId="1" applyAlignment="1" pivotButton="0" quotePrefix="0" xfId="0">
      <alignment horizontal="right" vertical="center"/>
    </xf>
    <xf numFmtId="172" fontId="2" fillId="5" borderId="1" applyAlignment="1" pivotButton="0" quotePrefix="0" xfId="0">
      <alignment horizontal="right" vertical="center"/>
    </xf>
    <xf numFmtId="0" fontId="22" fillId="10" borderId="1" applyAlignment="1" pivotButton="0" quotePrefix="0" xfId="0">
      <alignment horizontal="left" vertical="center" indent="1"/>
    </xf>
    <xf numFmtId="172" fontId="22" fillId="10" borderId="1" applyAlignment="1" pivotButton="0" quotePrefix="0" xfId="0">
      <alignment horizontal="right" vertical="center"/>
    </xf>
    <xf numFmtId="166" fontId="22" fillId="0" borderId="1" applyAlignment="1" pivotButton="0" quotePrefix="0" xfId="0">
      <alignment horizontal="right" vertical="center"/>
    </xf>
    <xf numFmtId="166" fontId="2" fillId="5" borderId="1" applyAlignment="1" pivotButton="0" quotePrefix="0" xfId="0">
      <alignment horizontal="right" vertical="center"/>
    </xf>
    <xf numFmtId="0" fontId="8" fillId="0" borderId="1" applyAlignment="1" pivotButton="0" quotePrefix="0" xfId="0">
      <alignment horizontal="left" vertical="center" indent="1"/>
    </xf>
    <xf numFmtId="167" fontId="22" fillId="0" borderId="1" applyAlignment="1" pivotButton="0" quotePrefix="0" xfId="0">
      <alignment horizontal="right" vertical="center"/>
    </xf>
    <xf numFmtId="167" fontId="2" fillId="5" borderId="1" applyAlignment="1" pivotButton="0" quotePrefix="0" xfId="0">
      <alignment horizontal="right" vertical="center"/>
    </xf>
    <xf numFmtId="0" fontId="13" fillId="10" borderId="1" applyAlignment="1" pivotButton="0" quotePrefix="0" xfId="0">
      <alignment horizontal="left" vertical="center" indent="1"/>
    </xf>
    <xf numFmtId="167" fontId="22" fillId="10" borderId="1" applyAlignment="1" pivotButton="0" quotePrefix="0" xfId="0">
      <alignment horizontal="right" vertical="center"/>
    </xf>
    <xf numFmtId="167" fontId="2" fillId="10" borderId="1" applyAlignment="1" pivotButton="0" quotePrefix="0" xfId="0">
      <alignment horizontal="right" vertical="center"/>
    </xf>
    <xf numFmtId="167" fontId="27" fillId="10" borderId="1" applyAlignment="1" pivotButton="0" quotePrefix="0" xfId="0">
      <alignment horizontal="right" vertical="center"/>
    </xf>
    <xf numFmtId="168" fontId="22" fillId="0" borderId="1" applyAlignment="1" pivotButton="0" quotePrefix="0" xfId="0">
      <alignment horizontal="right" vertical="center"/>
    </xf>
    <xf numFmtId="0" fontId="2" fillId="5" borderId="1" applyAlignment="1" pivotButton="0" quotePrefix="0" xfId="0">
      <alignment horizontal="right" vertical="center"/>
    </xf>
    <xf numFmtId="168" fontId="22" fillId="10" borderId="1" applyAlignment="1" pivotButton="0" quotePrefix="0" xfId="0">
      <alignment horizontal="right" vertical="center"/>
    </xf>
    <xf numFmtId="172" fontId="2" fillId="10" borderId="1" applyAlignment="1" pivotButton="0" quotePrefix="0" xfId="0">
      <alignment horizontal="right" vertical="center"/>
    </xf>
    <xf numFmtId="0" fontId="22" fillId="5" borderId="1" applyAlignment="1" pivotButton="0" quotePrefix="0" xfId="0">
      <alignment horizontal="left" vertical="center" indent="1"/>
    </xf>
    <xf numFmtId="172" fontId="22" fillId="5" borderId="1" applyAlignment="1" pivotButton="0" quotePrefix="0" xfId="0">
      <alignment horizontal="right" vertical="center"/>
    </xf>
    <xf numFmtId="166" fontId="22" fillId="5" borderId="1" applyAlignment="1" pivotButton="0" quotePrefix="0" xfId="0">
      <alignment horizontal="right" vertical="center"/>
    </xf>
    <xf numFmtId="167" fontId="22" fillId="5" borderId="1" applyAlignment="1" pivotButton="0" quotePrefix="0" xfId="0">
      <alignment horizontal="right" vertical="center"/>
    </xf>
    <xf numFmtId="172" fontId="11" fillId="8" borderId="1" applyAlignment="1" pivotButton="0" quotePrefix="0" xfId="0">
      <alignment horizontal="right" vertical="center"/>
    </xf>
    <xf numFmtId="166" fontId="11" fillId="8" borderId="1" applyAlignment="1" pivotButton="0" quotePrefix="0" xfId="0">
      <alignment horizontal="right" vertical="center"/>
    </xf>
    <xf numFmtId="168" fontId="22" fillId="5" borderId="1" applyAlignment="1" pivotButton="0" quotePrefix="0" xfId="0">
      <alignment horizontal="right" vertical="center"/>
    </xf>
    <xf numFmtId="168" fontId="11" fillId="8" borderId="1" applyAlignment="1" pivotButton="0" quotePrefix="0" xfId="0">
      <alignment horizontal="right" vertical="center"/>
    </xf>
    <xf numFmtId="0" fontId="22" fillId="5" borderId="1" applyAlignment="1" pivotButton="0" quotePrefix="0" xfId="0">
      <alignment horizontal="right" vertical="center"/>
    </xf>
    <xf numFmtId="0" fontId="22" fillId="0" borderId="1" applyAlignment="1" pivotButton="0" quotePrefix="0" xfId="0">
      <alignment horizontal="right" vertical="center"/>
    </xf>
    <xf numFmtId="0" fontId="11" fillId="8" borderId="1" applyAlignment="1" pivotButton="0" quotePrefix="0" xfId="0">
      <alignment horizontal="right" vertical="center"/>
    </xf>
    <xf numFmtId="167" fontId="2" fillId="8" borderId="1" applyAlignment="1" pivotButton="0" quotePrefix="0" xfId="0">
      <alignment horizontal="right" vertical="center"/>
    </xf>
    <xf numFmtId="0" fontId="5" fillId="4" borderId="1" applyAlignment="1" pivotButton="0" quotePrefix="0" xfId="0">
      <alignment horizontal="left" vertical="center"/>
    </xf>
    <xf numFmtId="0" fontId="5" fillId="4" borderId="1" applyAlignment="1" pivotButton="0" quotePrefix="0" xfId="0">
      <alignment horizontal="center" vertical="center"/>
    </xf>
    <xf numFmtId="167" fontId="6" fillId="0" borderId="1" applyAlignment="1" pivotButton="0" quotePrefix="0" xfId="0">
      <alignment horizontal="right" vertical="center"/>
    </xf>
    <xf numFmtId="167" fontId="6" fillId="5" borderId="1" applyAlignment="1" pivotButton="0" quotePrefix="0" xfId="0">
      <alignment horizontal="right" vertical="center"/>
    </xf>
    <xf numFmtId="0" fontId="19" fillId="5" borderId="1" applyAlignment="1" pivotButton="0" quotePrefix="0" xfId="0">
      <alignment horizontal="left" vertical="center"/>
    </xf>
    <xf numFmtId="167" fontId="19" fillId="5" borderId="1" applyAlignment="1" pivotButton="0" quotePrefix="0" xfId="0">
      <alignment horizontal="right" vertical="center"/>
    </xf>
    <xf numFmtId="0" fontId="18" fillId="0" borderId="1" applyAlignment="1" pivotButton="0" quotePrefix="0" xfId="0">
      <alignment horizontal="left" vertical="center"/>
    </xf>
    <xf numFmtId="167" fontId="18" fillId="0" borderId="1" applyAlignment="1" pivotButton="0" quotePrefix="0" xfId="0">
      <alignment horizontal="right" vertical="center"/>
    </xf>
    <xf numFmtId="167" fontId="18" fillId="5" borderId="1" applyAlignment="1" pivotButton="0" quotePrefix="0" xfId="0">
      <alignment horizontal="right" vertical="center"/>
    </xf>
    <xf numFmtId="0" fontId="11" fillId="8" borderId="1" applyAlignment="1" pivotButton="0" quotePrefix="0" xfId="0">
      <alignment horizontal="left" vertical="center"/>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4" fillId="6" borderId="1" applyAlignment="1" pivotButton="0" quotePrefix="0" xfId="0">
      <alignment horizontal="center" vertical="center"/>
    </xf>
    <xf numFmtId="0" fontId="4" fillId="4" borderId="5" applyAlignment="1" pivotButton="0" quotePrefix="0" xfId="0">
      <alignment horizontal="left" vertical="center" indent="1"/>
    </xf>
    <xf numFmtId="0" fontId="8" fillId="0" borderId="1" pivotButton="0" quotePrefix="0" xfId="0"/>
    <xf numFmtId="0" fontId="8" fillId="8" borderId="1" pivotButton="0" quotePrefix="0" xfId="0"/>
    <xf numFmtId="166" fontId="6" fillId="0" borderId="1" applyAlignment="1" pivotButton="0" quotePrefix="0" xfId="0">
      <alignment horizontal="right" vertical="center"/>
    </xf>
    <xf numFmtId="0" fontId="12" fillId="10" borderId="1" applyAlignment="1" pivotButton="0" quotePrefix="0" xfId="0">
      <alignment horizontal="left" vertical="center" indent="1"/>
    </xf>
    <xf numFmtId="0" fontId="0" fillId="0" borderId="5" pivotButton="0" quotePrefix="0" xfId="0"/>
    <xf numFmtId="167" fontId="33" fillId="11" borderId="1" applyAlignment="1" pivotButton="0" quotePrefix="0" xfId="0">
      <alignment horizontal="right" vertical="center"/>
    </xf>
    <xf numFmtId="0" fontId="8" fillId="11" borderId="1" pivotButton="0" quotePrefix="0" xfId="0"/>
    <xf numFmtId="165" fontId="7" fillId="0" borderId="1" applyAlignment="1" pivotButton="0" quotePrefix="0" xfId="0">
      <alignment horizontal="right" vertical="center"/>
    </xf>
    <xf numFmtId="0" fontId="4" fillId="4" borderId="1" applyAlignment="1" pivotButton="0" quotePrefix="0" xfId="0">
      <alignment horizontal="center" vertical="center"/>
    </xf>
    <xf numFmtId="0" fontId="34" fillId="0" borderId="1" applyAlignment="1" pivotButton="0" quotePrefix="0" xfId="0">
      <alignment horizontal="left" vertical="center"/>
    </xf>
    <xf numFmtId="0" fontId="35" fillId="0" borderId="1" applyAlignment="1" pivotButton="0" quotePrefix="0" xfId="0">
      <alignment horizontal="left" vertical="center"/>
    </xf>
    <xf numFmtId="0" fontId="35" fillId="0" borderId="1" applyAlignment="1" pivotButton="0" quotePrefix="0" xfId="0">
      <alignment horizontal="center" vertical="center"/>
    </xf>
    <xf numFmtId="0" fontId="5" fillId="2" borderId="1" pivotButton="0" quotePrefix="0" xfId="0"/>
    <xf numFmtId="164" fontId="35" fillId="0" borderId="1" pivotButton="0" quotePrefix="0" xfId="0"/>
    <xf numFmtId="0" fontId="24" fillId="0" borderId="1" pivotButton="0" quotePrefix="0" xfId="0"/>
    <xf numFmtId="49" fontId="3" fillId="3" borderId="1" applyAlignment="1" pivotButton="0" quotePrefix="0" xfId="0">
      <alignment horizontal="left" vertical="center"/>
    </xf>
    <xf numFmtId="0" fontId="36" fillId="4" borderId="1" applyAlignment="1" pivotButton="0" quotePrefix="0" xfId="0">
      <alignment horizontal="center" vertical="center" wrapText="1"/>
    </xf>
    <xf numFmtId="0" fontId="36" fillId="4" borderId="0" applyAlignment="1" pivotButton="0" quotePrefix="0" xfId="0">
      <alignment horizontal="center" vertical="center" wrapText="1"/>
    </xf>
    <xf numFmtId="0" fontId="4" fillId="4" borderId="0" applyAlignment="1" pivotButton="0" quotePrefix="0" xfId="0">
      <alignment horizontal="left" vertical="center" indent="1"/>
    </xf>
    <xf numFmtId="0" fontId="0" fillId="0" borderId="0" pivotButton="0" quotePrefix="0" xfId="0"/>
    <xf numFmtId="0" fontId="1" fillId="2" borderId="0" applyAlignment="1" pivotButton="0" quotePrefix="0" xfId="0">
      <alignment horizontal="left" vertical="center" indent="1"/>
    </xf>
    <xf numFmtId="0" fontId="6" fillId="0" borderId="1" applyAlignment="1" pivotButton="0" quotePrefix="0" xfId="0">
      <alignment horizontal="left" vertical="center" indent="2"/>
    </xf>
    <xf numFmtId="0" fontId="0" fillId="0" borderId="3" pivotButton="0" quotePrefix="0" xfId="0"/>
    <xf numFmtId="0" fontId="0" fillId="0" borderId="4" pivotButton="0" quotePrefix="0" xfId="0"/>
    <xf numFmtId="0" fontId="12" fillId="10" borderId="1" applyAlignment="1" pivotButton="0" quotePrefix="0" xfId="0">
      <alignment horizontal="left" vertical="center" indent="2"/>
    </xf>
    <xf numFmtId="0" fontId="10" fillId="7" borderId="0" applyAlignment="1" pivotButton="0" quotePrefix="0" xfId="0">
      <alignment horizontal="left" vertical="center" indent="1"/>
    </xf>
    <xf numFmtId="0" fontId="4" fillId="9" borderId="0" applyAlignment="1" pivotButton="0" quotePrefix="0" xfId="0">
      <alignment horizontal="left" vertical="center" indent="1"/>
    </xf>
    <xf numFmtId="0" fontId="11" fillId="8" borderId="1" applyAlignment="1" pivotButton="0" quotePrefix="0" xfId="0">
      <alignment horizontal="left" vertical="center" indent="1"/>
    </xf>
    <xf numFmtId="0" fontId="21" fillId="0" borderId="0" applyAlignment="1" pivotButton="0" quotePrefix="0" xfId="0">
      <alignment horizontal="left" vertical="center" indent="2"/>
    </xf>
    <xf numFmtId="0" fontId="6" fillId="0" borderId="0" applyAlignment="1" pivotButton="0" quotePrefix="0" xfId="0">
      <alignment horizontal="left" vertical="center" indent="2"/>
    </xf>
    <xf numFmtId="0" fontId="11" fillId="0" borderId="0" applyAlignment="1" pivotButton="0" quotePrefix="0" xfId="0">
      <alignment horizontal="left" vertical="center" indent="1"/>
    </xf>
    <xf numFmtId="0" fontId="20" fillId="2" borderId="0" applyAlignment="1" pivotButton="0" quotePrefix="0" xfId="0">
      <alignment horizontal="left" vertical="center" indent="1"/>
    </xf>
    <xf numFmtId="0" fontId="9" fillId="0" borderId="0" applyAlignment="1" pivotButton="0" quotePrefix="0" xfId="0">
      <alignment horizontal="left" vertical="center" wrapText="1" indent="1"/>
    </xf>
    <xf numFmtId="0" fontId="23" fillId="2" borderId="0" applyAlignment="1" pivotButton="0" quotePrefix="0" xfId="0">
      <alignment horizontal="left" vertical="center" indent="1"/>
    </xf>
    <xf numFmtId="0" fontId="8" fillId="0" borderId="0" applyAlignment="1" pivotButton="0" quotePrefix="0" xfId="0">
      <alignment horizontal="left" vertical="center"/>
    </xf>
    <xf numFmtId="0" fontId="9" fillId="0" borderId="0" pivotButton="0" quotePrefix="0" xfId="0"/>
    <xf numFmtId="0" fontId="13" fillId="10" borderId="0" applyAlignment="1" pivotButton="0" quotePrefix="0" xfId="0">
      <alignment horizontal="left" vertical="center" wrapText="1" indent="1"/>
    </xf>
    <xf numFmtId="0" fontId="9" fillId="0" borderId="0" applyAlignment="1" pivotButton="0" quotePrefix="0" xfId="0">
      <alignment horizontal="left" vertical="center" indent="1"/>
    </xf>
    <xf numFmtId="0" fontId="4" fillId="6" borderId="0" applyAlignment="1" pivotButton="0" quotePrefix="0" xfId="0">
      <alignment horizontal="left" vertical="center" indent="1"/>
    </xf>
    <xf numFmtId="0" fontId="22" fillId="0" borderId="1" applyAlignment="1" pivotButton="0" quotePrefix="0" xfId="0">
      <alignment vertical="center"/>
    </xf>
    <xf numFmtId="0" fontId="0" fillId="0" borderId="3" pivotButton="0" quotePrefix="0" xfId="0"/>
    <xf numFmtId="0" fontId="0" fillId="0" borderId="4" pivotButton="0" quotePrefix="0" xfId="0"/>
    <xf numFmtId="0" fontId="4" fillId="9" borderId="0" applyAlignment="1" pivotButton="0" quotePrefix="0" xfId="0">
      <alignment vertical="center"/>
    </xf>
    <xf numFmtId="0" fontId="0" fillId="0" borderId="0" pivotButton="0" quotePrefix="0" xfId="0"/>
    <xf numFmtId="0" fontId="0" fillId="0" borderId="1" pivotButton="0" quotePrefix="0" xfId="0"/>
    <xf numFmtId="0" fontId="4" fillId="4" borderId="5" applyAlignment="1" pivotButton="0" quotePrefix="0" xfId="0">
      <alignment vertical="center"/>
    </xf>
    <xf numFmtId="0" fontId="0" fillId="0" borderId="5" pivotButton="0" quotePrefix="0" xfId="0"/>
    <xf numFmtId="0" fontId="37" fillId="0" borderId="0" pivotButton="0" quotePrefix="0" xfId="0"/>
    <xf numFmtId="0" fontId="38" fillId="0" borderId="0" pivotButton="0" quotePrefix="0" xfId="0"/>
    <xf numFmtId="0" fontId="36" fillId="15" borderId="0" applyAlignment="1" pivotButton="0" quotePrefix="0" xfId="0">
      <alignment horizontal="left" vertical="center"/>
    </xf>
    <xf numFmtId="0" fontId="0" fillId="0" borderId="0" applyAlignment="1" pivotButton="0" quotePrefix="0" xfId="0">
      <alignment vertical="top" wrapText="1"/>
    </xf>
    <xf numFmtId="0" fontId="22" fillId="0" borderId="1" applyAlignment="1" pivotButton="0" quotePrefix="0" xfId="0">
      <alignment vertical="center" indent="1"/>
    </xf>
    <xf numFmtId="0" fontId="39" fillId="0" borderId="0" pivotButton="0" quotePrefix="0" xfId="0"/>
    <xf numFmtId="0" fontId="40" fillId="0" borderId="0" pivotButton="0" quotePrefix="0" xfId="0"/>
    <xf numFmtId="0" fontId="41" fillId="0" borderId="0" pivotButton="0" quotePrefix="0" xfId="0"/>
    <xf numFmtId="173" fontId="3" fillId="3" borderId="1" applyAlignment="1" pivotButton="0" quotePrefix="0" xfId="0">
      <alignment horizontal="right" vertical="center"/>
    </xf>
    <xf numFmtId="0" fontId="44" fillId="0" borderId="0" applyAlignment="1" pivotButton="0" quotePrefix="0" xfId="0">
      <alignment horizontal="left" vertical="top" wrapText="1"/>
    </xf>
    <xf numFmtId="0" fontId="43" fillId="0" borderId="0" pivotButton="0" quotePrefix="0" xfId="0"/>
    <xf numFmtId="0" fontId="36" fillId="16" borderId="0" applyAlignment="1" pivotButton="0" quotePrefix="0" xfId="0">
      <alignment horizontal="center" vertical="center" wrapText="1"/>
    </xf>
    <xf numFmtId="0" fontId="42" fillId="0" borderId="0" pivotButton="0" quotePrefix="0" xfId="0"/>
    <xf numFmtId="0" fontId="36" fillId="17" borderId="0" applyAlignment="1" pivotButton="0" quotePrefix="0" xfId="0">
      <alignment horizontal="left" vertical="center" indent="1"/>
    </xf>
    <xf numFmtId="0" fontId="44" fillId="0" borderId="0" pivotButton="0" quotePrefix="0" xfId="0"/>
    <xf numFmtId="174" fontId="0" fillId="0" borderId="0" pivotButton="0" quotePrefix="0" xfId="0"/>
    <xf numFmtId="175" fontId="0" fillId="0" borderId="0" pivotButton="0" quotePrefix="0" xfId="0"/>
    <xf numFmtId="3" fontId="0" fillId="0" borderId="0" pivotButton="0" quotePrefix="0" xfId="0"/>
    <xf numFmtId="176" fontId="0" fillId="0" borderId="0" pivotButton="0" quotePrefix="0" xfId="0"/>
    <xf numFmtId="174" fontId="42" fillId="0" borderId="0" pivotButton="0" quotePrefix="0" xfId="0"/>
    <xf numFmtId="175" fontId="42" fillId="0" borderId="0" pivotButton="0" quotePrefix="0" xfId="0"/>
    <xf numFmtId="0" fontId="45" fillId="16" borderId="0" applyAlignment="1" pivotButton="0" quotePrefix="0" xfId="0">
      <alignment horizontal="left" vertical="center" wrapText="1"/>
    </xf>
    <xf numFmtId="0" fontId="46" fillId="18" borderId="0" applyAlignment="1" pivotButton="0" quotePrefix="0" xfId="0">
      <alignment horizontal="left" vertical="center" wrapText="1"/>
    </xf>
    <xf numFmtId="0" fontId="47" fillId="19" borderId="8" applyAlignment="1" pivotButton="0" quotePrefix="0" xfId="0">
      <alignment horizontal="center" vertical="center" wrapText="1"/>
    </xf>
    <xf numFmtId="0" fontId="48" fillId="20" borderId="8" applyAlignment="1" pivotButton="0" quotePrefix="0" xfId="0">
      <alignment horizontal="left" vertical="center" wrapText="1"/>
    </xf>
    <xf numFmtId="176" fontId="48" fillId="20" borderId="8" applyAlignment="1" pivotButton="0" quotePrefix="0" xfId="0">
      <alignment horizontal="left" vertical="center" wrapText="1"/>
    </xf>
    <xf numFmtId="0" fontId="48" fillId="21" borderId="8" applyAlignment="1" pivotButton="0" quotePrefix="0" xfId="0">
      <alignment horizontal="left" vertical="center" wrapText="1"/>
    </xf>
    <xf numFmtId="0" fontId="48" fillId="21" borderId="8" applyAlignment="1" pivotButton="0" quotePrefix="0" xfId="0">
      <alignment horizontal="center" vertical="center" wrapText="1"/>
    </xf>
    <xf numFmtId="1" fontId="48" fillId="21" borderId="8" applyAlignment="1" pivotButton="0" quotePrefix="0" xfId="0">
      <alignment horizontal="left" vertical="center" wrapText="1"/>
    </xf>
    <xf numFmtId="174" fontId="48" fillId="21" borderId="8" applyAlignment="1" pivotButton="0" quotePrefix="0" xfId="0">
      <alignment horizontal="left" vertical="center" wrapText="1"/>
    </xf>
    <xf numFmtId="177" fontId="48" fillId="21" borderId="8" applyAlignment="1" pivotButton="0" quotePrefix="0" xfId="0">
      <alignment horizontal="left" vertical="center" wrapText="1"/>
    </xf>
    <xf numFmtId="178" fontId="48" fillId="21" borderId="8" applyAlignment="1" pivotButton="0" quotePrefix="0" xfId="0">
      <alignment horizontal="left" vertical="center" wrapText="1"/>
    </xf>
    <xf numFmtId="177" fontId="48" fillId="21" borderId="8" applyAlignment="1" pivotButton="0" quotePrefix="0" xfId="0">
      <alignment horizontal="right" vertical="center" wrapText="1"/>
    </xf>
    <xf numFmtId="174" fontId="48" fillId="21" borderId="8" applyAlignment="1" pivotButton="0" quotePrefix="0" xfId="0">
      <alignment horizontal="right" vertical="center" wrapText="1"/>
    </xf>
    <xf numFmtId="0" fontId="49" fillId="0" borderId="0" applyAlignment="1" pivotButton="0" quotePrefix="0" xfId="0">
      <alignment horizontal="left" vertical="center" wrapText="1"/>
    </xf>
    <xf numFmtId="0" fontId="48" fillId="20" borderId="8" applyAlignment="1" pivotButton="0" quotePrefix="0" xfId="0">
      <alignment horizontal="center" vertical="center" wrapText="1"/>
    </xf>
    <xf numFmtId="0" fontId="0" fillId="20" borderId="8" applyAlignment="1" pivotButton="0" quotePrefix="0" xfId="0">
      <alignment horizontal="center" vertical="center" wrapText="1"/>
    </xf>
    <xf numFmtId="178" fontId="48" fillId="21" borderId="8" applyAlignment="1" pivotButton="0" quotePrefix="0" xfId="0">
      <alignment horizontal="right" vertical="center" wrapText="1"/>
    </xf>
    <xf numFmtId="0" fontId="49" fillId="21" borderId="8" applyAlignment="1" pivotButton="0" quotePrefix="0" xfId="0">
      <alignment horizontal="left" vertical="center" wrapText="1"/>
    </xf>
    <xf numFmtId="179" fontId="48" fillId="0" borderId="8" applyAlignment="1" pivotButton="0" quotePrefix="0" xfId="0">
      <alignment horizontal="right" vertical="center" wrapText="1"/>
    </xf>
    <xf numFmtId="0" fontId="48" fillId="0" borderId="0" applyAlignment="1" pivotButton="0" quotePrefix="0" xfId="0">
      <alignment horizontal="left" vertical="center" wrapText="1"/>
    </xf>
    <xf numFmtId="177" fontId="48" fillId="0" borderId="0" applyAlignment="1" pivotButton="0" quotePrefix="0" xfId="0">
      <alignment horizontal="right" vertical="center" wrapText="1"/>
    </xf>
    <xf numFmtId="178" fontId="48" fillId="0" borderId="0" applyAlignment="1" pivotButton="0" quotePrefix="0" xfId="0">
      <alignment horizontal="right" vertical="center" wrapText="1"/>
    </xf>
    <xf numFmtId="0" fontId="47" fillId="20" borderId="0" applyAlignment="1" pivotButton="0" quotePrefix="0" xfId="0">
      <alignment horizontal="left" vertical="center" wrapText="1"/>
    </xf>
    <xf numFmtId="0" fontId="50" fillId="16" borderId="0" applyAlignment="1" pivotButton="0" quotePrefix="0" xfId="0">
      <alignment horizontal="left" vertical="center" wrapText="1"/>
    </xf>
    <xf numFmtId="0" fontId="47" fillId="19" borderId="8" applyAlignment="1" pivotButton="0" quotePrefix="0" xfId="0">
      <alignment horizontal="left" vertical="center" wrapText="1"/>
    </xf>
    <xf numFmtId="0" fontId="48" fillId="0" borderId="8" applyAlignment="1" pivotButton="0" quotePrefix="0" xfId="0">
      <alignment horizontal="left" vertical="center" wrapText="1"/>
    </xf>
    <xf numFmtId="0" fontId="48" fillId="0" borderId="0" pivotButton="0" quotePrefix="0" xfId="0"/>
    <xf numFmtId="0" fontId="47" fillId="19" borderId="0" applyAlignment="1" pivotButton="0" quotePrefix="0" xfId="0">
      <alignment horizontal="center" vertical="center" wrapText="1"/>
    </xf>
    <xf numFmtId="0" fontId="48" fillId="0" borderId="8" applyAlignment="1" pivotButton="0" quotePrefix="0" xfId="0">
      <alignment horizontal="center" vertical="center" wrapText="1"/>
    </xf>
    <xf numFmtId="0" fontId="51" fillId="20" borderId="8" applyAlignment="1" pivotButton="0" quotePrefix="0" xfId="0">
      <alignment horizontal="left" vertical="center" wrapText="1"/>
    </xf>
    <xf numFmtId="0" fontId="52" fillId="16" borderId="1" applyAlignment="1" pivotButton="0" quotePrefix="0" xfId="0">
      <alignment horizontal="center" vertical="center" wrapText="1"/>
    </xf>
    <xf numFmtId="0" fontId="52" fillId="0" borderId="1" applyAlignment="1" pivotButton="0" quotePrefix="0" xfId="0">
      <alignment horizontal="center" vertical="center" wrapText="1"/>
    </xf>
    <xf numFmtId="180" fontId="0" fillId="3" borderId="1" applyAlignment="1" pivotButton="0" quotePrefix="0" xfId="0">
      <alignment horizontal="right" vertical="center"/>
    </xf>
    <xf numFmtId="164" fontId="0" fillId="3" borderId="1" applyAlignment="1" pivotButton="0" quotePrefix="0" xfId="0">
      <alignment horizontal="right" vertical="center"/>
    </xf>
    <xf numFmtId="0" fontId="0" fillId="3" borderId="1" applyAlignment="1" pivotButton="0" quotePrefix="0" xfId="0">
      <alignment horizontal="right" vertical="center"/>
    </xf>
    <xf numFmtId="176" fontId="0" fillId="3" borderId="1" applyAlignment="1" pivotButton="0" quotePrefix="0" xfId="0">
      <alignment horizontal="right" vertical="center"/>
    </xf>
    <xf numFmtId="0" fontId="53" fillId="22" borderId="0" applyAlignment="1" pivotButton="0" quotePrefix="0" xfId="0">
      <alignment horizontal="center"/>
    </xf>
    <xf numFmtId="0" fontId="54" fillId="22" borderId="0" applyAlignment="1" pivotButton="0" quotePrefix="0" xfId="0">
      <alignment horizontal="center"/>
    </xf>
    <xf numFmtId="0" fontId="55" fillId="0" borderId="0" pivotButton="0" quotePrefix="0" xfId="0"/>
    <xf numFmtId="0" fontId="56" fillId="0" borderId="0" pivotButton="0" quotePrefix="0" xfId="0"/>
    <xf numFmtId="0" fontId="57" fillId="22" borderId="0" applyAlignment="1" pivotButton="0" quotePrefix="0" xfId="0">
      <alignment horizontal="center"/>
    </xf>
    <xf numFmtId="3" fontId="58" fillId="23" borderId="0" applyAlignment="1" pivotButton="0" quotePrefix="0" xfId="0">
      <alignment horizontal="center"/>
    </xf>
    <xf numFmtId="174" fontId="58" fillId="23" borderId="0" applyAlignment="1" pivotButton="0" quotePrefix="0" xfId="0">
      <alignment horizontal="center"/>
    </xf>
    <xf numFmtId="181" fontId="58" fillId="23" borderId="0" applyAlignment="1" pivotButton="0" quotePrefix="0" xfId="0">
      <alignment horizontal="center"/>
    </xf>
    <xf numFmtId="174" fontId="59" fillId="23" borderId="0" applyAlignment="1" pivotButton="0" quotePrefix="0" xfId="0">
      <alignment horizontal="center"/>
    </xf>
    <xf numFmtId="10" fontId="59" fillId="23" borderId="0" applyAlignment="1" pivotButton="0" quotePrefix="0" xfId="0">
      <alignment horizontal="center"/>
    </xf>
    <xf numFmtId="0" fontId="60" fillId="23" borderId="0" applyAlignment="1" pivotButton="0" quotePrefix="0" xfId="0">
      <alignment horizontal="center"/>
    </xf>
    <xf numFmtId="0" fontId="61" fillId="23" borderId="0" applyAlignment="1" pivotButton="0" quotePrefix="0" xfId="0">
      <alignment horizontal="center"/>
    </xf>
    <xf numFmtId="0" fontId="62" fillId="23" borderId="0" applyAlignment="1" pivotButton="0" quotePrefix="0" xfId="0">
      <alignment horizontal="center"/>
    </xf>
    <xf numFmtId="0" fontId="63" fillId="24" borderId="0" applyAlignment="1" pivotButton="0" quotePrefix="0" xfId="0">
      <alignment horizontal="center"/>
    </xf>
    <xf numFmtId="0" fontId="64" fillId="23" borderId="0" pivotButton="0" quotePrefix="0" xfId="0"/>
    <xf numFmtId="0" fontId="64" fillId="23" borderId="0" applyAlignment="1" pivotButton="0" quotePrefix="0" xfId="0">
      <alignment horizontal="center"/>
    </xf>
    <xf numFmtId="3" fontId="0" fillId="0" borderId="0" applyAlignment="1" pivotButton="0" quotePrefix="0" xfId="0">
      <alignment horizontal="center"/>
    </xf>
    <xf numFmtId="3" fontId="65" fillId="0" borderId="0" applyAlignment="1" pivotButton="0" quotePrefix="0" xfId="0">
      <alignment horizontal="center"/>
    </xf>
    <xf numFmtId="0" fontId="65" fillId="0" borderId="0" pivotButton="0" quotePrefix="0" xfId="0"/>
    <xf numFmtId="182" fontId="0" fillId="0" borderId="0" applyAlignment="1" pivotButton="0" quotePrefix="0" xfId="0">
      <alignment horizontal="center"/>
    </xf>
    <xf numFmtId="174" fontId="0" fillId="0" borderId="0" applyAlignment="1" pivotButton="0" quotePrefix="0" xfId="0">
      <alignment horizontal="center"/>
    </xf>
    <xf numFmtId="174" fontId="65" fillId="0" borderId="0" applyAlignment="1" pivotButton="0" quotePrefix="0" xfId="0">
      <alignment horizontal="center"/>
    </xf>
    <xf numFmtId="174" fontId="66" fillId="0" borderId="0" applyAlignment="1" pivotButton="0" quotePrefix="0" xfId="0">
      <alignment horizontal="center"/>
    </xf>
    <xf numFmtId="0" fontId="67" fillId="0" borderId="0" applyAlignment="1" pivotButton="0" quotePrefix="0" xfId="0">
      <alignment horizontal="center"/>
    </xf>
    <xf numFmtId="0" fontId="68" fillId="0" borderId="0" pivotButton="0" quotePrefix="0" xfId="0"/>
    <xf numFmtId="3" fontId="67" fillId="0" borderId="0" applyAlignment="1" pivotButton="0" quotePrefix="0" xfId="0">
      <alignment horizontal="center"/>
    </xf>
    <xf numFmtId="0" fontId="69" fillId="0" borderId="0" applyAlignment="1" pivotButton="0" quotePrefix="0" xfId="0">
      <alignment horizontal="center"/>
    </xf>
    <xf numFmtId="183" fontId="0" fillId="0" borderId="0" applyAlignment="1" pivotButton="0" quotePrefix="0" xfId="0">
      <alignment horizontal="center"/>
    </xf>
    <xf numFmtId="181" fontId="0" fillId="0" borderId="0" applyAlignment="1" pivotButton="0" quotePrefix="0" xfId="0">
      <alignment horizontal="center"/>
    </xf>
    <xf numFmtId="181" fontId="65" fillId="0" borderId="0" applyAlignment="1" pivotButton="0" quotePrefix="0" xfId="0">
      <alignment horizontal="center"/>
    </xf>
    <xf numFmtId="184" fontId="70" fillId="0" borderId="0" applyAlignment="1" pivotButton="0" quotePrefix="0" xfId="0">
      <alignment horizontal="center"/>
    </xf>
    <xf numFmtId="184" fontId="71" fillId="0" borderId="0" applyAlignment="1" pivotButton="0" quotePrefix="0" xfId="0">
      <alignment horizontal="center"/>
    </xf>
    <xf numFmtId="0" fontId="65" fillId="25" borderId="0" pivotButton="0" quotePrefix="0" xfId="0"/>
    <xf numFmtId="181" fontId="65" fillId="25" borderId="0" applyAlignment="1" pivotButton="0" quotePrefix="0" xfId="0">
      <alignment horizontal="center"/>
    </xf>
    <xf numFmtId="184" fontId="71" fillId="25" borderId="0" applyAlignment="1" pivotButton="0" quotePrefix="0" xfId="0">
      <alignment horizontal="center"/>
    </xf>
    <xf numFmtId="0" fontId="69" fillId="0" borderId="0" pivotButton="0" quotePrefix="0" xfId="0"/>
    <xf numFmtId="184" fontId="72" fillId="0" borderId="0" applyAlignment="1" pivotButton="0" quotePrefix="0" xfId="0">
      <alignment horizontal="center"/>
    </xf>
    <xf numFmtId="0" fontId="55" fillId="0" borderId="0" applyAlignment="1" pivotButton="0" quotePrefix="0" xfId="0">
      <alignment horizontal="center"/>
    </xf>
    <xf numFmtId="185" fontId="72" fillId="0" borderId="0" applyAlignment="1" pivotButton="0" quotePrefix="0" xfId="0">
      <alignment horizontal="center"/>
    </xf>
    <xf numFmtId="0" fontId="64" fillId="23" borderId="0" applyAlignment="1" pivotButton="0" quotePrefix="0" xfId="0">
      <alignment horizontal="right"/>
    </xf>
    <xf numFmtId="181" fontId="0" fillId="0" borderId="0" applyAlignment="1" pivotButton="0" quotePrefix="0" xfId="0">
      <alignment horizontal="right"/>
    </xf>
    <xf numFmtId="174" fontId="0" fillId="0" borderId="0" applyAlignment="1" pivotButton="0" quotePrefix="0" xfId="0">
      <alignment horizontal="right"/>
    </xf>
    <xf numFmtId="0" fontId="69" fillId="0" borderId="0" applyAlignment="1" pivotButton="0" quotePrefix="0" xfId="0">
      <alignment horizontal="right"/>
    </xf>
    <xf numFmtId="186" fontId="0" fillId="0" borderId="0" applyAlignment="1" pivotButton="0" quotePrefix="0" xfId="0">
      <alignment horizontal="right"/>
    </xf>
    <xf numFmtId="174" fontId="72" fillId="0" borderId="0" applyAlignment="1" pivotButton="0" quotePrefix="0" xfId="0">
      <alignment horizontal="right"/>
    </xf>
    <xf numFmtId="0" fontId="65" fillId="26" borderId="0" pivotButton="0" quotePrefix="0" xfId="0"/>
    <xf numFmtId="184" fontId="65" fillId="26" borderId="0" applyAlignment="1" pivotButton="0" quotePrefix="0" xfId="0">
      <alignment horizontal="right"/>
    </xf>
    <xf numFmtId="184" fontId="71" fillId="26" borderId="0" applyAlignment="1" pivotButton="0" quotePrefix="0" xfId="0">
      <alignment horizontal="right"/>
    </xf>
    <xf numFmtId="185" fontId="65" fillId="26" borderId="0" applyAlignment="1" pivotButton="0" quotePrefix="0" xfId="0">
      <alignment horizontal="right"/>
    </xf>
    <xf numFmtId="174" fontId="65" fillId="26" borderId="0" applyAlignment="1" pivotButton="0" quotePrefix="0" xfId="0">
      <alignment horizontal="right"/>
    </xf>
    <xf numFmtId="0" fontId="69" fillId="26" borderId="0" applyAlignment="1" pivotButton="0" quotePrefix="0" xfId="0">
      <alignment horizontal="right"/>
    </xf>
    <xf numFmtId="181" fontId="65" fillId="0" borderId="0" applyAlignment="1" pivotButton="0" quotePrefix="0" xfId="0">
      <alignment horizontal="right"/>
    </xf>
    <xf numFmtId="187" fontId="67" fillId="0" borderId="0" applyAlignment="1" pivotButton="0" quotePrefix="0" xfId="0">
      <alignment horizontal="right"/>
    </xf>
    <xf numFmtId="10" fontId="71" fillId="0" borderId="0" applyAlignment="1" pivotButton="0" quotePrefix="0" xfId="0">
      <alignment horizontal="right"/>
    </xf>
    <xf numFmtId="0" fontId="73" fillId="0" borderId="0" applyAlignment="1" pivotButton="0" quotePrefix="0" xfId="0">
      <alignment horizontal="right"/>
    </xf>
    <xf numFmtId="187" fontId="72" fillId="0" borderId="0" applyAlignment="1" pivotButton="0" quotePrefix="0" xfId="0">
      <alignment horizontal="right"/>
    </xf>
    <xf numFmtId="10" fontId="70" fillId="0" borderId="0" applyAlignment="1" pivotButton="0" quotePrefix="0" xfId="0">
      <alignment horizontal="right"/>
    </xf>
    <xf numFmtId="188" fontId="0" fillId="0" borderId="0" applyAlignment="1" pivotButton="0" quotePrefix="0" xfId="0">
      <alignment horizontal="right"/>
    </xf>
    <xf numFmtId="189" fontId="0" fillId="0" borderId="0" applyAlignment="1" pivotButton="0" quotePrefix="0" xfId="0">
      <alignment horizontal="right"/>
    </xf>
    <xf numFmtId="0" fontId="74" fillId="0" borderId="0" pivotButton="0" quotePrefix="0" xfId="0"/>
    <xf numFmtId="1" fontId="74" fillId="0" borderId="0" applyAlignment="1" pivotButton="0" quotePrefix="0" xfId="0">
      <alignment horizontal="right"/>
    </xf>
    <xf numFmtId="174" fontId="74" fillId="0" borderId="0" applyAlignment="1" pivotButton="0" quotePrefix="0" xfId="0">
      <alignment horizontal="right"/>
    </xf>
    <xf numFmtId="190" fontId="74" fillId="0" borderId="0" applyAlignment="1" pivotButton="0" quotePrefix="0" xfId="0">
      <alignment horizontal="right"/>
    </xf>
    <xf numFmtId="0" fontId="75" fillId="0" borderId="0" pivotButton="0" quotePrefix="0" xfId="0"/>
    <xf numFmtId="1" fontId="75" fillId="0" borderId="0" applyAlignment="1" pivotButton="0" quotePrefix="0" xfId="0">
      <alignment horizontal="right"/>
    </xf>
    <xf numFmtId="174" fontId="75" fillId="0" borderId="0" applyAlignment="1" pivotButton="0" quotePrefix="0" xfId="0">
      <alignment horizontal="right"/>
    </xf>
    <xf numFmtId="190" fontId="75" fillId="0" borderId="0" applyAlignment="1" pivotButton="0" quotePrefix="0" xfId="0">
      <alignment horizontal="right"/>
    </xf>
    <xf numFmtId="0" fontId="76" fillId="27" borderId="0" applyAlignment="1" pivotButton="0" quotePrefix="0" xfId="0">
      <alignment horizontal="center"/>
    </xf>
    <xf numFmtId="0" fontId="75" fillId="23" borderId="0" applyAlignment="1" pivotButton="0" quotePrefix="0" xfId="0">
      <alignment horizontal="left"/>
    </xf>
    <xf numFmtId="0" fontId="75" fillId="23" borderId="0" applyAlignment="1" pivotButton="0" quotePrefix="0" xfId="0">
      <alignment horizontal="right"/>
    </xf>
    <xf numFmtId="0" fontId="75" fillId="28" borderId="0" pivotButton="0" quotePrefix="0" xfId="0"/>
    <xf numFmtId="1" fontId="75" fillId="28" borderId="0" applyAlignment="1" pivotButton="0" quotePrefix="0" xfId="0">
      <alignment horizontal="right"/>
    </xf>
    <xf numFmtId="174" fontId="75" fillId="28" borderId="0" applyAlignment="1" pivotButton="0" quotePrefix="0" xfId="0">
      <alignment horizontal="right"/>
    </xf>
    <xf numFmtId="190" fontId="75" fillId="28" borderId="0" applyAlignment="1" pivotButton="0" quotePrefix="0" xfId="0">
      <alignment horizontal="right"/>
    </xf>
    <xf numFmtId="0" fontId="76" fillId="27" borderId="0" pivotButton="0" quotePrefix="0" xfId="0"/>
    <xf numFmtId="191" fontId="77" fillId="0" borderId="0" applyAlignment="1" pivotButton="0" quotePrefix="0" xfId="0">
      <alignment horizontal="right"/>
    </xf>
    <xf numFmtId="166" fontId="77" fillId="0" borderId="0" applyAlignment="1" pivotButton="0" quotePrefix="0" xfId="0">
      <alignment horizontal="right"/>
    </xf>
    <xf numFmtId="190" fontId="78" fillId="0" borderId="0" applyAlignment="1" pivotButton="0" quotePrefix="0" xfId="0">
      <alignment horizontal="right"/>
    </xf>
    <xf numFmtId="174" fontId="78" fillId="0" borderId="0" applyAlignment="1" pivotButton="0" quotePrefix="0" xfId="0">
      <alignment horizontal="right"/>
    </xf>
    <xf numFmtId="10" fontId="79" fillId="0" borderId="0" applyAlignment="1" pivotButton="0" quotePrefix="0" xfId="0">
      <alignment horizontal="right"/>
    </xf>
    <xf numFmtId="181" fontId="79" fillId="0" borderId="0" applyAlignment="1" pivotButton="0" quotePrefix="0" xfId="0">
      <alignment horizontal="right"/>
    </xf>
    <xf numFmtId="0" fontId="55" fillId="0" borderId="0" applyAlignment="1" pivotButton="0" quotePrefix="0" xfId="0">
      <alignment horizontal="left"/>
    </xf>
    <xf numFmtId="0" fontId="80" fillId="30" borderId="1" applyAlignment="1" pivotButton="0" quotePrefix="0" xfId="0">
      <alignment horizontal="center" vertical="center"/>
    </xf>
    <xf numFmtId="0" fontId="52" fillId="29" borderId="1" applyAlignment="1" pivotButton="0" quotePrefix="0" xfId="0">
      <alignment horizontal="center" vertical="center" wrapText="1"/>
    </xf>
    <xf numFmtId="0" fontId="81" fillId="30" borderId="0" applyAlignment="1" pivotButton="0" quotePrefix="0" xfId="0">
      <alignment horizontal="center"/>
    </xf>
    <xf numFmtId="167" fontId="80" fillId="30" borderId="1" applyAlignment="1" pivotButton="0" quotePrefix="0" xfId="0">
      <alignment horizontal="center" vertical="center"/>
    </xf>
    <xf numFmtId="167" fontId="82" fillId="30" borderId="1" applyAlignment="1" pivotButton="0" quotePrefix="0" xfId="0">
      <alignment horizontal="center" vertical="center"/>
    </xf>
    <xf numFmtId="0" fontId="83" fillId="0" borderId="0" pivotButton="0" quotePrefix="0" xfId="0"/>
    <xf numFmtId="0" fontId="84" fillId="31" borderId="0" applyAlignment="1" pivotButton="0" quotePrefix="0" xfId="0">
      <alignment horizontal="left" vertical="center"/>
    </xf>
    <xf numFmtId="174" fontId="83" fillId="0" borderId="0" pivotButton="0" quotePrefix="0" xfId="0"/>
    <xf numFmtId="0" fontId="85" fillId="31" borderId="0" applyAlignment="1" pivotButton="0" quotePrefix="0" xfId="0">
      <alignment horizontal="left" vertical="center"/>
    </xf>
    <xf numFmtId="0" fontId="86" fillId="32" borderId="9" applyAlignment="1" pivotButton="0" quotePrefix="0" xfId="0">
      <alignment horizontal="center" vertical="center"/>
    </xf>
    <xf numFmtId="0" fontId="86" fillId="32" borderId="10" applyAlignment="1" pivotButton="0" quotePrefix="0" xfId="0">
      <alignment horizontal="center" vertical="center"/>
    </xf>
    <xf numFmtId="0" fontId="0" fillId="0" borderId="0" applyAlignment="1" pivotButton="0" quotePrefix="0" xfId="0">
      <alignment vertical="center"/>
    </xf>
    <xf numFmtId="0" fontId="86" fillId="32" borderId="11" applyAlignment="1" pivotButton="0" quotePrefix="0" xfId="0">
      <alignment horizontal="center" vertical="center"/>
    </xf>
    <xf numFmtId="0" fontId="0" fillId="0" borderId="10" pivotButton="0" quotePrefix="0" xfId="0"/>
    <xf numFmtId="0" fontId="87" fillId="33" borderId="12" applyAlignment="1" pivotButton="0" quotePrefix="0" xfId="0">
      <alignment horizontal="center" vertical="center"/>
    </xf>
    <xf numFmtId="0" fontId="0" fillId="0" borderId="13" pivotButton="0" quotePrefix="0" xfId="0"/>
    <xf numFmtId="0" fontId="88" fillId="33" borderId="12" applyAlignment="1" pivotButton="0" quotePrefix="0" xfId="0">
      <alignment horizontal="center" vertical="center"/>
    </xf>
    <xf numFmtId="0" fontId="89" fillId="0" borderId="0" pivotButton="0" quotePrefix="0" xfId="0"/>
    <xf numFmtId="0" fontId="90" fillId="0" borderId="0" pivotButton="0" quotePrefix="0" xfId="0"/>
    <xf numFmtId="0" fontId="91" fillId="28" borderId="14" applyAlignment="1" pivotButton="0" quotePrefix="0" xfId="0">
      <alignment horizontal="center" vertical="center"/>
    </xf>
    <xf numFmtId="0" fontId="0" fillId="0" borderId="15" pivotButton="0" quotePrefix="0" xfId="0"/>
    <xf numFmtId="0" fontId="92" fillId="0" borderId="0" pivotButton="0" quotePrefix="0" xfId="0"/>
    <xf numFmtId="0" fontId="91" fillId="28" borderId="0" applyAlignment="1" pivotButton="0" quotePrefix="0" xfId="0">
      <alignment horizontal="center" vertical="center"/>
    </xf>
    <xf numFmtId="0" fontId="93" fillId="33" borderId="12" applyAlignment="1" pivotButton="0" quotePrefix="0" xfId="0">
      <alignment horizontal="center" vertical="center"/>
    </xf>
    <xf numFmtId="0" fontId="91" fillId="33" borderId="14" applyAlignment="1" pivotButton="0" quotePrefix="0" xfId="0">
      <alignment horizontal="center" vertical="center"/>
    </xf>
    <xf numFmtId="0" fontId="50" fillId="31" borderId="0" applyAlignment="1" pivotButton="0" quotePrefix="0" xfId="0">
      <alignment horizontal="left" vertical="center"/>
    </xf>
    <xf numFmtId="0" fontId="46" fillId="32" borderId="16" applyAlignment="1" pivotButton="0" quotePrefix="0" xfId="0">
      <alignment horizontal="left" vertical="center"/>
    </xf>
    <xf numFmtId="0" fontId="0" fillId="0" borderId="7" pivotButton="0" quotePrefix="0" xfId="0"/>
    <xf numFmtId="0" fontId="94" fillId="0" borderId="17" applyAlignment="1" pivotButton="0" quotePrefix="0" xfId="0">
      <alignment vertical="center"/>
    </xf>
    <xf numFmtId="3" fontId="95" fillId="0" borderId="5" applyAlignment="1" pivotButton="0" quotePrefix="0" xfId="0">
      <alignment horizontal="right" vertical="center"/>
    </xf>
    <xf numFmtId="0" fontId="94" fillId="0" borderId="0" applyAlignment="1" pivotButton="0" quotePrefix="0" xfId="0">
      <alignment vertical="center"/>
    </xf>
    <xf numFmtId="181" fontId="94" fillId="0" borderId="5" applyAlignment="1" pivotButton="0" quotePrefix="0" xfId="0">
      <alignment horizontal="right" vertical="center"/>
    </xf>
    <xf numFmtId="181" fontId="95" fillId="0" borderId="5" applyAlignment="1" pivotButton="0" quotePrefix="0" xfId="0">
      <alignment horizontal="right" vertical="center"/>
    </xf>
    <xf numFmtId="174" fontId="95" fillId="0" borderId="5" applyAlignment="1" pivotButton="0" quotePrefix="0" xfId="0">
      <alignment horizontal="right" vertical="center"/>
    </xf>
    <xf numFmtId="0" fontId="96" fillId="34" borderId="17" applyAlignment="1" pivotButton="0" quotePrefix="0" xfId="0">
      <alignment vertical="center"/>
    </xf>
    <xf numFmtId="0" fontId="96" fillId="34" borderId="5" applyAlignment="1" pivotButton="0" quotePrefix="0" xfId="0">
      <alignment horizontal="right" vertical="center"/>
    </xf>
    <xf numFmtId="0" fontId="94" fillId="34" borderId="17" applyAlignment="1" pivotButton="0" quotePrefix="0" xfId="0">
      <alignment vertical="center"/>
    </xf>
    <xf numFmtId="181" fontId="95" fillId="34" borderId="5" applyAlignment="1" pivotButton="0" quotePrefix="0" xfId="0">
      <alignment horizontal="right" vertical="center"/>
    </xf>
    <xf numFmtId="174" fontId="95" fillId="34" borderId="5" applyAlignment="1" pivotButton="0" quotePrefix="0" xfId="0">
      <alignment horizontal="right" vertical="center"/>
    </xf>
    <xf numFmtId="174" fontId="94" fillId="34" borderId="5" applyAlignment="1" pivotButton="0" quotePrefix="0" xfId="0">
      <alignment horizontal="right" vertical="center"/>
    </xf>
    <xf numFmtId="165" fontId="94" fillId="0" borderId="5" applyAlignment="1" pivotButton="0" quotePrefix="0" xfId="0">
      <alignment horizontal="right" vertical="center"/>
    </xf>
    <xf numFmtId="174" fontId="94" fillId="0" borderId="5" applyAlignment="1" pivotButton="0" quotePrefix="0" xfId="0">
      <alignment horizontal="right" vertical="center"/>
    </xf>
    <xf numFmtId="192" fontId="94" fillId="0" borderId="5" applyAlignment="1" pivotButton="0" quotePrefix="0" xfId="0">
      <alignment horizontal="right" vertical="center"/>
    </xf>
    <xf numFmtId="181" fontId="94" fillId="34" borderId="5" applyAlignment="1" pivotButton="0" quotePrefix="0" xfId="0">
      <alignment horizontal="right" vertical="center"/>
    </xf>
    <xf numFmtId="0" fontId="94" fillId="0" borderId="18" applyAlignment="1" pivotButton="0" quotePrefix="0" xfId="0">
      <alignment vertical="center"/>
    </xf>
    <xf numFmtId="174" fontId="94" fillId="0" borderId="19" applyAlignment="1" pivotButton="0" quotePrefix="0" xfId="0">
      <alignment horizontal="right" vertical="center"/>
    </xf>
    <xf numFmtId="181" fontId="94" fillId="0" borderId="19" applyAlignment="1" pivotButton="0" quotePrefix="0" xfId="0">
      <alignment horizontal="right" vertical="center"/>
    </xf>
    <xf numFmtId="0" fontId="0" fillId="0" borderId="6" pivotButton="0" quotePrefix="0" xfId="0"/>
    <xf numFmtId="0" fontId="46" fillId="35" borderId="17" applyAlignment="1" pivotButton="0" quotePrefix="0" xfId="0">
      <alignment horizontal="left" vertical="center"/>
    </xf>
    <xf numFmtId="0" fontId="46" fillId="35" borderId="0" applyAlignment="1" pivotButton="0" quotePrefix="0" xfId="0">
      <alignment horizontal="right" vertical="center"/>
    </xf>
    <xf numFmtId="0" fontId="46" fillId="35" borderId="5" applyAlignment="1" pivotButton="0" quotePrefix="0" xfId="0">
      <alignment horizontal="center" vertical="center"/>
    </xf>
    <xf numFmtId="0" fontId="0" fillId="0" borderId="17" pivotButton="0" quotePrefix="0" xfId="0"/>
    <xf numFmtId="181" fontId="95" fillId="0" borderId="0" applyAlignment="1" pivotButton="0" quotePrefix="0" xfId="0">
      <alignment horizontal="right" vertical="center"/>
    </xf>
    <xf numFmtId="0" fontId="97" fillId="0" borderId="0" applyAlignment="1" pivotButton="0" quotePrefix="0" xfId="0">
      <alignment horizontal="right" vertical="center"/>
    </xf>
    <xf numFmtId="0" fontId="97" fillId="0" borderId="5" applyAlignment="1" pivotButton="0" quotePrefix="0" xfId="0">
      <alignment horizontal="center" vertical="center"/>
    </xf>
    <xf numFmtId="181" fontId="94" fillId="34" borderId="0" applyAlignment="1" pivotButton="0" quotePrefix="0" xfId="0">
      <alignment horizontal="right" vertical="center"/>
    </xf>
    <xf numFmtId="0" fontId="98" fillId="34" borderId="0" applyAlignment="1" pivotButton="0" quotePrefix="0" xfId="0">
      <alignment horizontal="right" vertical="center"/>
    </xf>
    <xf numFmtId="0" fontId="95" fillId="34" borderId="5" applyAlignment="1" pivotButton="0" quotePrefix="0" xfId="0">
      <alignment horizontal="center" vertical="center"/>
    </xf>
    <xf numFmtId="10" fontId="95" fillId="0" borderId="0" applyAlignment="1" pivotButton="0" quotePrefix="0" xfId="0">
      <alignment horizontal="right" vertical="center"/>
    </xf>
    <xf numFmtId="10" fontId="98" fillId="0" borderId="0" applyAlignment="1" pivotButton="0" quotePrefix="0" xfId="0">
      <alignment horizontal="right" vertical="center"/>
    </xf>
    <xf numFmtId="0" fontId="95" fillId="0" borderId="5" applyAlignment="1" pivotButton="0" quotePrefix="0" xfId="0">
      <alignment horizontal="center" vertical="center"/>
    </xf>
    <xf numFmtId="10" fontId="94" fillId="34" borderId="0" applyAlignment="1" pivotButton="0" quotePrefix="0" xfId="0">
      <alignment horizontal="right" vertical="center"/>
    </xf>
    <xf numFmtId="174" fontId="94" fillId="0" borderId="0" applyAlignment="1" pivotButton="0" quotePrefix="0" xfId="0">
      <alignment horizontal="right" vertical="center"/>
    </xf>
    <xf numFmtId="174" fontId="94" fillId="34" borderId="0" applyAlignment="1" pivotButton="0" quotePrefix="0" xfId="0">
      <alignment horizontal="right" vertical="center"/>
    </xf>
    <xf numFmtId="10" fontId="98" fillId="34" borderId="0" applyAlignment="1" pivotButton="0" quotePrefix="0" xfId="0">
      <alignment horizontal="right" vertical="center"/>
    </xf>
    <xf numFmtId="0" fontId="98" fillId="0" borderId="0" applyAlignment="1" pivotButton="0" quotePrefix="0" xfId="0">
      <alignment horizontal="right" vertical="center"/>
    </xf>
    <xf numFmtId="0" fontId="94" fillId="34" borderId="18" applyAlignment="1" pivotButton="0" quotePrefix="0" xfId="0">
      <alignment vertical="center"/>
    </xf>
    <xf numFmtId="0" fontId="0" fillId="0" borderId="20" pivotButton="0" quotePrefix="0" xfId="0"/>
    <xf numFmtId="174" fontId="94" fillId="34" borderId="20" applyAlignment="1" pivotButton="0" quotePrefix="0" xfId="0">
      <alignment horizontal="right" vertical="center"/>
    </xf>
    <xf numFmtId="0" fontId="98" fillId="34" borderId="20" applyAlignment="1" pivotButton="0" quotePrefix="0" xfId="0">
      <alignment horizontal="right" vertical="center"/>
    </xf>
    <xf numFmtId="0" fontId="95" fillId="34" borderId="19" applyAlignment="1" pivotButton="0" quotePrefix="0" xfId="0">
      <alignment horizontal="center" vertical="center"/>
    </xf>
    <xf numFmtId="0" fontId="0" fillId="0" borderId="18" pivotButton="0" quotePrefix="0" xfId="0"/>
    <xf numFmtId="0" fontId="0" fillId="0" borderId="19" pivotButton="0" quotePrefix="0" xfId="0"/>
    <xf numFmtId="0" fontId="99" fillId="31" borderId="0" applyAlignment="1" pivotButton="0" quotePrefix="0" xfId="0">
      <alignment horizontal="left"/>
    </xf>
    <xf numFmtId="0" fontId="45" fillId="32" borderId="0" applyAlignment="1" pivotButton="0" quotePrefix="0" xfId="0">
      <alignment horizontal="left"/>
    </xf>
    <xf numFmtId="0" fontId="91" fillId="23" borderId="21" applyAlignment="1" pivotButton="0" quotePrefix="0" xfId="0">
      <alignment horizontal="center" vertical="center"/>
    </xf>
    <xf numFmtId="0" fontId="91" fillId="23" borderId="22" applyAlignment="1" pivotButton="0" quotePrefix="0" xfId="0">
      <alignment horizontal="center" vertical="center"/>
    </xf>
    <xf numFmtId="0" fontId="91" fillId="23" borderId="23" applyAlignment="1" pivotButton="0" quotePrefix="0" xfId="0">
      <alignment horizontal="center" vertical="center"/>
    </xf>
    <xf numFmtId="0" fontId="95" fillId="34" borderId="24" applyAlignment="1" pivotButton="0" quotePrefix="0" xfId="0">
      <alignment horizontal="left" vertical="center" indent="1"/>
    </xf>
    <xf numFmtId="193" fontId="94" fillId="34" borderId="25" applyAlignment="1" pivotButton="0" quotePrefix="0" xfId="0">
      <alignment horizontal="center" vertical="center"/>
    </xf>
    <xf numFmtId="174" fontId="94" fillId="34" borderId="25" applyAlignment="1" pivotButton="0" quotePrefix="0" xfId="0">
      <alignment horizontal="center" vertical="center"/>
    </xf>
    <xf numFmtId="190" fontId="94" fillId="34" borderId="25" applyAlignment="1" pivotButton="0" quotePrefix="0" xfId="0">
      <alignment horizontal="right" vertical="center"/>
    </xf>
    <xf numFmtId="174" fontId="94" fillId="34" borderId="26" applyAlignment="1" pivotButton="0" quotePrefix="0" xfId="0">
      <alignment horizontal="center" vertical="center"/>
    </xf>
    <xf numFmtId="0" fontId="95" fillId="0" borderId="27" applyAlignment="1" pivotButton="0" quotePrefix="0" xfId="0">
      <alignment horizontal="left" vertical="center" indent="1"/>
    </xf>
    <xf numFmtId="193" fontId="94" fillId="0" borderId="28" applyAlignment="1" pivotButton="0" quotePrefix="0" xfId="0">
      <alignment horizontal="center" vertical="center"/>
    </xf>
    <xf numFmtId="174" fontId="94" fillId="0" borderId="28" applyAlignment="1" pivotButton="0" quotePrefix="0" xfId="0">
      <alignment horizontal="center" vertical="center"/>
    </xf>
    <xf numFmtId="190" fontId="94" fillId="0" borderId="28" applyAlignment="1" pivotButton="0" quotePrefix="0" xfId="0">
      <alignment horizontal="right" vertical="center"/>
    </xf>
    <xf numFmtId="174" fontId="94" fillId="0" borderId="29" applyAlignment="1" pivotButton="0" quotePrefix="0" xfId="0">
      <alignment horizontal="center" vertical="center"/>
    </xf>
    <xf numFmtId="0" fontId="95" fillId="34" borderId="27" applyAlignment="1" pivotButton="0" quotePrefix="0" xfId="0">
      <alignment horizontal="left" vertical="center" indent="1"/>
    </xf>
    <xf numFmtId="193" fontId="94" fillId="34" borderId="28" applyAlignment="1" pivotButton="0" quotePrefix="0" xfId="0">
      <alignment horizontal="center" vertical="center"/>
    </xf>
    <xf numFmtId="174" fontId="94" fillId="34" borderId="28" applyAlignment="1" pivotButton="0" quotePrefix="0" xfId="0">
      <alignment horizontal="center" vertical="center"/>
    </xf>
    <xf numFmtId="190" fontId="94" fillId="34" borderId="28" applyAlignment="1" pivotButton="0" quotePrefix="0" xfId="0">
      <alignment horizontal="right" vertical="center"/>
    </xf>
    <xf numFmtId="174" fontId="94" fillId="34" borderId="29" applyAlignment="1" pivotButton="0" quotePrefix="0" xfId="0">
      <alignment horizontal="center" vertical="center"/>
    </xf>
    <xf numFmtId="0" fontId="100" fillId="23" borderId="30" applyAlignment="1" pivotButton="0" quotePrefix="0" xfId="0">
      <alignment horizontal="left" vertical="center" indent="1"/>
    </xf>
    <xf numFmtId="193" fontId="100" fillId="23" borderId="31" applyAlignment="1" pivotButton="0" quotePrefix="0" xfId="0">
      <alignment horizontal="center" vertical="center"/>
    </xf>
    <xf numFmtId="10" fontId="100" fillId="23" borderId="31" applyAlignment="1" pivotButton="0" quotePrefix="0" xfId="0">
      <alignment horizontal="center" vertical="center"/>
    </xf>
    <xf numFmtId="190" fontId="100" fillId="23" borderId="31" applyAlignment="1" pivotButton="0" quotePrefix="0" xfId="0">
      <alignment horizontal="right" vertical="center"/>
    </xf>
    <xf numFmtId="10" fontId="100" fillId="23" borderId="32" applyAlignment="1" pivotButton="0" quotePrefix="0" xfId="0">
      <alignment horizontal="center" vertical="center"/>
    </xf>
    <xf numFmtId="0" fontId="99" fillId="31" borderId="0" applyAlignment="1" pivotButton="0" quotePrefix="0" xfId="0">
      <alignment horizontal="left" indent="1"/>
    </xf>
    <xf numFmtId="0" fontId="46" fillId="32" borderId="21" applyAlignment="1" pivotButton="0" quotePrefix="0" xfId="0">
      <alignment horizontal="left" indent="1"/>
    </xf>
    <xf numFmtId="0" fontId="0" fillId="0" borderId="22" pivotButton="0" quotePrefix="0" xfId="0"/>
    <xf numFmtId="0" fontId="46" fillId="32" borderId="22" applyAlignment="1" pivotButton="0" quotePrefix="0" xfId="0">
      <alignment horizontal="center"/>
    </xf>
    <xf numFmtId="0" fontId="46" fillId="32" borderId="23" applyAlignment="1" pivotButton="0" quotePrefix="0" xfId="0">
      <alignment horizontal="left" indent="1"/>
    </xf>
    <xf numFmtId="0" fontId="0" fillId="0" borderId="23" pivotButton="0" quotePrefix="0" xfId="0"/>
    <xf numFmtId="0" fontId="94" fillId="34" borderId="33" applyAlignment="1" pivotButton="0" quotePrefix="0" xfId="0">
      <alignment vertical="center" indent="1"/>
    </xf>
    <xf numFmtId="194" fontId="94" fillId="34" borderId="0" applyAlignment="1" pivotButton="0" quotePrefix="0" xfId="0">
      <alignment horizontal="center" vertical="center"/>
    </xf>
    <xf numFmtId="0" fontId="101" fillId="34" borderId="0" applyAlignment="1" pivotButton="0" quotePrefix="0" xfId="0">
      <alignment horizontal="center" vertical="center"/>
    </xf>
    <xf numFmtId="0" fontId="102" fillId="34" borderId="0" applyAlignment="1" pivotButton="0" quotePrefix="0" xfId="0">
      <alignment horizontal="center" vertical="center"/>
    </xf>
    <xf numFmtId="0" fontId="96" fillId="34" borderId="34" applyAlignment="1" pivotButton="0" quotePrefix="0" xfId="0">
      <alignment vertical="center" indent="1"/>
    </xf>
    <xf numFmtId="0" fontId="0" fillId="0" borderId="34" pivotButton="0" quotePrefix="0" xfId="0"/>
    <xf numFmtId="0" fontId="94" fillId="0" borderId="35" applyAlignment="1" pivotButton="0" quotePrefix="0" xfId="0">
      <alignment vertical="center" indent="1"/>
    </xf>
    <xf numFmtId="0" fontId="0" fillId="0" borderId="36" pivotButton="0" quotePrefix="0" xfId="0"/>
    <xf numFmtId="182" fontId="94" fillId="0" borderId="36" applyAlignment="1" pivotButton="0" quotePrefix="0" xfId="0">
      <alignment horizontal="center" vertical="center"/>
    </xf>
    <xf numFmtId="0" fontId="101" fillId="0" borderId="36" applyAlignment="1" pivotButton="0" quotePrefix="0" xfId="0">
      <alignment horizontal="center" vertical="center"/>
    </xf>
    <xf numFmtId="0" fontId="102" fillId="0" borderId="36" applyAlignment="1" pivotButton="0" quotePrefix="0" xfId="0">
      <alignment horizontal="center" vertical="center"/>
    </xf>
    <xf numFmtId="0" fontId="96" fillId="0" borderId="37" applyAlignment="1" pivotButton="0" quotePrefix="0" xfId="0">
      <alignment vertical="center" indent="1"/>
    </xf>
    <xf numFmtId="0" fontId="0" fillId="0" borderId="37" pivotButton="0" quotePrefix="0" xfId="0"/>
    <xf numFmtId="0" fontId="94" fillId="34" borderId="35" applyAlignment="1" pivotButton="0" quotePrefix="0" xfId="0">
      <alignment vertical="center" indent="1"/>
    </xf>
    <xf numFmtId="182" fontId="94" fillId="34" borderId="36" applyAlignment="1" pivotButton="0" quotePrefix="0" xfId="0">
      <alignment horizontal="center" vertical="center"/>
    </xf>
    <xf numFmtId="0" fontId="101" fillId="34" borderId="36" applyAlignment="1" pivotButton="0" quotePrefix="0" xfId="0">
      <alignment horizontal="center" vertical="center"/>
    </xf>
    <xf numFmtId="0" fontId="102" fillId="34" borderId="36" applyAlignment="1" pivotButton="0" quotePrefix="0" xfId="0">
      <alignment horizontal="center" vertical="center"/>
    </xf>
    <xf numFmtId="0" fontId="96" fillId="34" borderId="37" applyAlignment="1" pivotButton="0" quotePrefix="0" xfId="0">
      <alignment vertical="center" indent="1"/>
    </xf>
    <xf numFmtId="195" fontId="94" fillId="34" borderId="36" applyAlignment="1" pivotButton="0" quotePrefix="0" xfId="0">
      <alignment horizontal="center" vertical="center"/>
    </xf>
    <xf numFmtId="0" fontId="94" fillId="0" borderId="38" applyAlignment="1" pivotButton="0" quotePrefix="0" xfId="0">
      <alignment vertical="center" indent="1"/>
    </xf>
    <xf numFmtId="0" fontId="0" fillId="0" borderId="39" pivotButton="0" quotePrefix="0" xfId="0"/>
    <xf numFmtId="182" fontId="94" fillId="0" borderId="39" applyAlignment="1" pivotButton="0" quotePrefix="0" xfId="0">
      <alignment horizontal="center" vertical="center"/>
    </xf>
    <xf numFmtId="0" fontId="101" fillId="0" borderId="39" applyAlignment="1" pivotButton="0" quotePrefix="0" xfId="0">
      <alignment horizontal="center" vertical="center"/>
    </xf>
    <xf numFmtId="0" fontId="102" fillId="0" borderId="39" applyAlignment="1" pivotButton="0" quotePrefix="0" xfId="0">
      <alignment horizontal="center" vertical="center"/>
    </xf>
    <xf numFmtId="0" fontId="96" fillId="0" borderId="40" applyAlignment="1" pivotButton="0" quotePrefix="0" xfId="0">
      <alignment vertical="center" indent="1"/>
    </xf>
    <xf numFmtId="0" fontId="0" fillId="0" borderId="40" pivotButton="0" quotePrefix="0" xfId="0"/>
    <xf numFmtId="0" fontId="63" fillId="31" borderId="0" applyAlignment="1" pivotButton="0" quotePrefix="0" xfId="0">
      <alignment horizontal="left"/>
    </xf>
    <xf numFmtId="0" fontId="0" fillId="33" borderId="0" pivotButton="0" quotePrefix="0" xfId="0"/>
    <xf numFmtId="0" fontId="103" fillId="32" borderId="41" applyAlignment="1" pivotButton="0" quotePrefix="0" xfId="0">
      <alignment horizontal="left"/>
    </xf>
    <xf numFmtId="0" fontId="103" fillId="32" borderId="6" applyAlignment="1" pivotButton="0" quotePrefix="0" xfId="0">
      <alignment horizontal="right"/>
    </xf>
    <xf numFmtId="0" fontId="103" fillId="32" borderId="7" applyAlignment="1" pivotButton="0" quotePrefix="0" xfId="0">
      <alignment horizontal="right"/>
    </xf>
    <xf numFmtId="0" fontId="0" fillId="33" borderId="17" pivotButton="0" quotePrefix="0" xfId="0"/>
    <xf numFmtId="172" fontId="0" fillId="33" borderId="0" pivotButton="0" quotePrefix="0" xfId="0"/>
    <xf numFmtId="174" fontId="0" fillId="33" borderId="0" pivotButton="0" quotePrefix="0" xfId="0"/>
    <xf numFmtId="0" fontId="104" fillId="33" borderId="5" applyAlignment="1" pivotButton="0" quotePrefix="0" xfId="0">
      <alignment horizontal="right"/>
    </xf>
    <xf numFmtId="190" fontId="0" fillId="33" borderId="0" pivotButton="0" quotePrefix="0" xfId="0"/>
    <xf numFmtId="190" fontId="0" fillId="33" borderId="5" pivotButton="0" quotePrefix="0" xfId="0"/>
    <xf numFmtId="0" fontId="0" fillId="34" borderId="17" pivotButton="0" quotePrefix="0" xfId="0"/>
    <xf numFmtId="172" fontId="0" fillId="34" borderId="0" pivotButton="0" quotePrefix="0" xfId="0"/>
    <xf numFmtId="174" fontId="0" fillId="34" borderId="0" pivotButton="0" quotePrefix="0" xfId="0"/>
    <xf numFmtId="0" fontId="104" fillId="34" borderId="5" applyAlignment="1" pivotButton="0" quotePrefix="0" xfId="0">
      <alignment horizontal="right"/>
    </xf>
    <xf numFmtId="190" fontId="0" fillId="34" borderId="0" pivotButton="0" quotePrefix="0" xfId="0"/>
    <xf numFmtId="190" fontId="0" fillId="34" borderId="5" pivotButton="0" quotePrefix="0" xfId="0"/>
    <xf numFmtId="174" fontId="0" fillId="33" borderId="5" pivotButton="0" quotePrefix="0" xfId="0"/>
    <xf numFmtId="0" fontId="105" fillId="34" borderId="18" pivotButton="0" quotePrefix="0" xfId="0"/>
    <xf numFmtId="172" fontId="105" fillId="34" borderId="20" pivotButton="0" quotePrefix="0" xfId="0"/>
    <xf numFmtId="174" fontId="105" fillId="34" borderId="20" pivotButton="0" quotePrefix="0" xfId="0"/>
    <xf numFmtId="0" fontId="105" fillId="34" borderId="19" applyAlignment="1" pivotButton="0" quotePrefix="0" xfId="0">
      <alignment horizontal="right"/>
    </xf>
    <xf numFmtId="0" fontId="105" fillId="34" borderId="20" applyAlignment="1" pivotButton="0" quotePrefix="0" xfId="0">
      <alignment horizontal="right"/>
    </xf>
    <xf numFmtId="190" fontId="105" fillId="34" borderId="19" pivotButton="0" quotePrefix="0" xfId="0"/>
    <xf numFmtId="0" fontId="103" fillId="32" borderId="7" applyAlignment="1" pivotButton="0" quotePrefix="0" xfId="0">
      <alignment horizontal="center"/>
    </xf>
    <xf numFmtId="0" fontId="65" fillId="33" borderId="17" pivotButton="0" quotePrefix="0" xfId="0"/>
    <xf numFmtId="190" fontId="65" fillId="33" borderId="0" pivotButton="0" quotePrefix="0" xfId="0"/>
    <xf numFmtId="174" fontId="65" fillId="33" borderId="0" pivotButton="0" quotePrefix="0" xfId="0"/>
    <xf numFmtId="9" fontId="106" fillId="33" borderId="0" applyAlignment="1" pivotButton="0" quotePrefix="0" xfId="0">
      <alignment horizontal="right"/>
    </xf>
    <xf numFmtId="0" fontId="65" fillId="33" borderId="5" applyAlignment="1" pivotButton="0" quotePrefix="0" xfId="0">
      <alignment horizontal="center"/>
    </xf>
    <xf numFmtId="0" fontId="104" fillId="34" borderId="0" applyAlignment="1" pivotButton="0" quotePrefix="0" xfId="0">
      <alignment horizontal="right"/>
    </xf>
    <xf numFmtId="0" fontId="0" fillId="34" borderId="5" applyAlignment="1" pivotButton="0" quotePrefix="0" xfId="0">
      <alignment horizontal="center"/>
    </xf>
    <xf numFmtId="10" fontId="0" fillId="34" borderId="0" pivotButton="0" quotePrefix="0" xfId="0"/>
    <xf numFmtId="0" fontId="0" fillId="34" borderId="0" pivotButton="0" quotePrefix="0" xfId="0"/>
    <xf numFmtId="10" fontId="0" fillId="34" borderId="5" pivotButton="0" quotePrefix="0" xfId="0"/>
    <xf numFmtId="0" fontId="104" fillId="33" borderId="0" applyAlignment="1" pivotButton="0" quotePrefix="0" xfId="0">
      <alignment horizontal="right"/>
    </xf>
    <xf numFmtId="0" fontId="0" fillId="33" borderId="5" applyAlignment="1" pivotButton="0" quotePrefix="0" xfId="0">
      <alignment horizontal="center"/>
    </xf>
    <xf numFmtId="10" fontId="0" fillId="33" borderId="0" pivotButton="0" quotePrefix="0" xfId="0"/>
    <xf numFmtId="10" fontId="0" fillId="33" borderId="5" pivotButton="0" quotePrefix="0" xfId="0"/>
    <xf numFmtId="0" fontId="65" fillId="34" borderId="17" pivotButton="0" quotePrefix="0" xfId="0"/>
    <xf numFmtId="190" fontId="65" fillId="34" borderId="0" pivotButton="0" quotePrefix="0" xfId="0"/>
    <xf numFmtId="174" fontId="65" fillId="34" borderId="0" pivotButton="0" quotePrefix="0" xfId="0"/>
    <xf numFmtId="0" fontId="106" fillId="34" borderId="0" applyAlignment="1" pivotButton="0" quotePrefix="0" xfId="0">
      <alignment horizontal="right"/>
    </xf>
    <xf numFmtId="0" fontId="65" fillId="34" borderId="5" applyAlignment="1" pivotButton="0" quotePrefix="0" xfId="0">
      <alignment horizontal="center"/>
    </xf>
    <xf numFmtId="0" fontId="65" fillId="33" borderId="18" pivotButton="0" quotePrefix="0" xfId="0"/>
    <xf numFmtId="190" fontId="65" fillId="33" borderId="20" pivotButton="0" quotePrefix="0" xfId="0"/>
    <xf numFmtId="174" fontId="65" fillId="33" borderId="20" pivotButton="0" quotePrefix="0" xfId="0"/>
    <xf numFmtId="0" fontId="106" fillId="33" borderId="20" applyAlignment="1" pivotButton="0" quotePrefix="0" xfId="0">
      <alignment horizontal="right"/>
    </xf>
    <xf numFmtId="0" fontId="65" fillId="33" borderId="19" applyAlignment="1" pivotButton="0" quotePrefix="0" xfId="0">
      <alignment horizontal="center"/>
    </xf>
    <xf numFmtId="0" fontId="0" fillId="33" borderId="18" pivotButton="0" quotePrefix="0" xfId="0"/>
    <xf numFmtId="188" fontId="0" fillId="33" borderId="20" pivotButton="0" quotePrefix="0" xfId="0"/>
    <xf numFmtId="0" fontId="0" fillId="33" borderId="20" pivotButton="0" quotePrefix="0" xfId="0"/>
    <xf numFmtId="188" fontId="0" fillId="33" borderId="19" pivotButton="0" quotePrefix="0" xfId="0"/>
    <xf numFmtId="0" fontId="103" fillId="32" borderId="6" applyAlignment="1" pivotButton="0" quotePrefix="0" xfId="0">
      <alignment horizontal="left"/>
    </xf>
    <xf numFmtId="0" fontId="103" fillId="32" borderId="6" applyAlignment="1" pivotButton="0" quotePrefix="0" xfId="0">
      <alignment horizontal="center"/>
    </xf>
    <xf numFmtId="0" fontId="0" fillId="34" borderId="18" pivotButton="0" quotePrefix="0" xfId="0"/>
    <xf numFmtId="0" fontId="107" fillId="34" borderId="20" pivotButton="0" quotePrefix="0" xfId="0"/>
    <xf numFmtId="0" fontId="0" fillId="34" borderId="20" pivotButton="0" quotePrefix="0" xfId="0"/>
    <xf numFmtId="174" fontId="0" fillId="34" borderId="20" applyAlignment="1" pivotButton="0" quotePrefix="0" xfId="0">
      <alignment horizontal="right"/>
    </xf>
    <xf numFmtId="0" fontId="104" fillId="34" borderId="20" applyAlignment="1" pivotButton="0" quotePrefix="0" xfId="0">
      <alignment horizontal="right"/>
    </xf>
    <xf numFmtId="0" fontId="102" fillId="34" borderId="19" applyAlignment="1" pivotButton="0" quotePrefix="0" xfId="0">
      <alignment horizontal="center"/>
    </xf>
    <xf numFmtId="0" fontId="63" fillId="31" borderId="0" pivotButton="0" quotePrefix="0" xfId="0"/>
    <xf numFmtId="0" fontId="108" fillId="32" borderId="16" pivotButton="0" quotePrefix="0" xfId="0"/>
    <xf numFmtId="0" fontId="105" fillId="23" borderId="17" pivotButton="0" quotePrefix="0" xfId="0"/>
    <xf numFmtId="0" fontId="105" fillId="23" borderId="5" pivotButton="0" quotePrefix="0" xfId="0"/>
    <xf numFmtId="174" fontId="0" fillId="34" borderId="5" pivotButton="0" quotePrefix="0" xfId="0"/>
    <xf numFmtId="174" fontId="0" fillId="34" borderId="19" pivotButton="0" quotePrefix="0" xfId="0"/>
    <xf numFmtId="174" fontId="0" fillId="33" borderId="19" pivotButton="0" quotePrefix="0" xfId="0"/>
    <xf numFmtId="0" fontId="65" fillId="34" borderId="18" pivotButton="0" quotePrefix="0" xfId="0"/>
    <xf numFmtId="190" fontId="65" fillId="34" borderId="19" pivotButton="0" quotePrefix="0" xfId="0"/>
    <xf numFmtId="190" fontId="0" fillId="34" borderId="19"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000080"/>
      <rgbColor rgb="FF7F6000"/>
      <rgbColor rgb="FF800080"/>
      <rgbColor rgb="FF1F6B52"/>
      <rgbColor rgb="FFBFBFBF"/>
      <rgbColor rgb="FF808080"/>
      <rgbColor rgb="FF9999FF"/>
      <rgbColor rgb="FF993366"/>
      <rgbColor rgb="FFFFFFC7"/>
      <rgbColor rgb="FFEEF2FF"/>
      <rgbColor rgb="FF660066"/>
      <rgbColor rgb="FFFF8080"/>
      <rgbColor rgb="FF2F5597"/>
      <rgbColor rgb="FFD8D8D8"/>
      <rgbColor rgb="FF000080"/>
      <rgbColor rgb="FFFF00FF"/>
      <rgbColor rgb="FFFFFF00"/>
      <rgbColor rgb="FF00FFFF"/>
      <rgbColor rgb="FF800080"/>
      <rgbColor rgb="FF800000"/>
      <rgbColor rgb="FF008080"/>
      <rgbColor rgb="FF0000FF"/>
      <rgbColor rgb="FF00CCFF"/>
      <rgbColor rgb="FFD6E4F0"/>
      <rgbColor rgb="FFE2EFDA"/>
      <rgbColor rgb="FFFFEB9C"/>
      <rgbColor rgb="FFC8E6C9"/>
      <rgbColor rgb="FFEDEDED"/>
      <rgbColor rgb="FFF7F7F7"/>
      <rgbColor rgb="FFFFF2CC"/>
      <rgbColor rgb="FF3366FF"/>
      <rgbColor rgb="FF33CCCC"/>
      <rgbColor rgb="FF99CC00"/>
      <rgbColor rgb="FFFFCC00"/>
      <rgbColor rgb="FFFF9900"/>
      <rgbColor rgb="FFFF6600"/>
      <rgbColor rgb="FF595959"/>
      <rgbColor rgb="FF969696"/>
      <rgbColor rgb="FF1F3864"/>
      <rgbColor rgb="FF339966"/>
      <rgbColor rgb="FF003300"/>
      <rgbColor rgb="FF333300"/>
      <rgbColor rgb="FF7F4F00"/>
      <rgbColor rgb="FF993366"/>
      <rgbColor rgb="FF4A3869"/>
      <rgbColor rgb="FF444441"/>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chart>
    <plotArea>
      <layout/>
      <barChart>
        <barDir val="col"/>
        <grouping val="clustered"/>
        <varyColors val="0"/>
        <ser>
          <idx val="0"/>
          <order val="0"/>
          <tx>
            <v>Property</v>
          </tx>
          <spPr>
            <a:solidFill>
              <a:srgbClr val="1F4E79"/>
            </a:solidFill>
            <a:ln>
              <a:noFill/>
              <a:prstDash val="solid"/>
            </a:ln>
          </spPr>
          <invertIfNegative val="0"/>
          <cat>
            <strRef>
              <f>Dashboard!$O$2:$O$5</f>
              <strCache>
                <ptCount val="4"/>
                <pt idx="0">
                  <v>Independent Living</v>
                </pt>
                <pt idx="1">
                  <v>Assisted Living</v>
                </pt>
                <pt idx="2">
                  <v>Memory Care</v>
                </pt>
                <pt idx="3">
                  <v>Blended</v>
                </pt>
              </strCache>
            </strRef>
          </cat>
          <val>
            <numRef>
              <f>Dashboard!$P$2:$P$5</f>
              <numCache>
                <formatCode>0.0%</formatCode>
                <ptCount val="4"/>
                <pt idx="0">
                  <v>#N/A</v>
                </pt>
                <pt idx="1">
                  <v>#N/A</v>
                </pt>
                <pt idx="2">
                  <v>#N/A</v>
                </pt>
                <pt idx="3">
                  <v>0</v>
                </pt>
              </numCache>
            </numRef>
          </val>
        </ser>
        <ser>
          <idx val="1"/>
          <order val="1"/>
          <tx>
            <v>Market (NIC MAP)</v>
          </tx>
          <spPr>
            <a:solidFill>
              <a:srgbClr val="A6A6A6"/>
            </a:solidFill>
            <a:ln>
              <a:noFill/>
              <a:prstDash val="solid"/>
            </a:ln>
          </spPr>
          <invertIfNegative val="0"/>
          <cat>
            <strRef>
              <f>Dashboard!$O$2:$O$5</f>
              <strCache>
                <ptCount val="4"/>
                <pt idx="0">
                  <v>Independent Living</v>
                </pt>
                <pt idx="1">
                  <v>Assisted Living</v>
                </pt>
                <pt idx="2">
                  <v>Memory Care</v>
                </pt>
                <pt idx="3">
                  <v>Blended</v>
                </pt>
              </strCache>
            </strRef>
          </cat>
          <val>
            <numRef>
              <f>Dashboard!$Q$2:$Q$5</f>
              <numCache>
                <formatCode>0.0%</formatCode>
                <ptCount val="4"/>
                <pt idx="0">
                  <v>0.91</v>
                </pt>
                <pt idx="1">
                  <v>0.879</v>
                </pt>
                <pt idx="2">
                  <v>0.88</v>
                </pt>
                <pt idx="3">
                  <v>0.895</v>
                </pt>
              </numCache>
            </numRef>
          </val>
        </ser>
        <dLbls>
          <showLegendKey val="0"/>
          <showVal val="0"/>
          <showCatName val="0"/>
          <showSerName val="0"/>
          <showPercent val="0"/>
          <showBubbleSize val="0"/>
        </dLbls>
        <gapWidth val="219"/>
        <overlap val="-27"/>
        <axId val="390220271"/>
        <axId val="390228911"/>
      </barChart>
      <catAx>
        <axId val="39022027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390228911"/>
        <crosses val="autoZero"/>
        <auto val="1"/>
        <lblAlgn val="ctr"/>
        <lblOffset val="100"/>
        <noMultiLvlLbl val="0"/>
      </catAx>
      <valAx>
        <axId val="390228911"/>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0"/>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390220271"/>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Calibri"/>
              <a:ea typeface="Calibri"/>
              <a:cs typeface="Calibri"/>
            </a:defRPr>
          </a:pPr>
          <a:r>
            <a:t>None</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plotArea>
      <layout/>
      <doughnutChart>
        <varyColors val="1"/>
        <ser>
          <idx val="0"/>
          <order val="0"/>
          <tx>
            <strRef>
              <f>Dashboard!$P$7</f>
              <strCache>
                <ptCount val="1"/>
                <pt idx="0">
                  <v>Revenue</v>
                </pt>
              </strCache>
            </strRef>
          </tx>
          <spPr>
            <a:ln>
              <a:prstDash val="solid"/>
            </a:ln>
          </spPr>
          <dPt>
            <idx val="0"/>
            <bubble3D val="0"/>
            <spPr>
              <a:solidFill>
                <a:srgbClr val="1F4E79"/>
              </a:solidFill>
              <a:ln w="19050">
                <a:solidFill>
                  <a:schemeClr val="lt1"/>
                </a:solidFill>
                <a:prstDash val="solid"/>
              </a:ln>
            </spPr>
          </dPt>
          <dPt>
            <idx val="1"/>
            <bubble3D val="0"/>
            <spPr>
              <a:solidFill>
                <a:srgbClr val="5B9BD5"/>
              </a:solidFill>
              <a:ln w="19050">
                <a:solidFill>
                  <a:schemeClr val="lt1"/>
                </a:solidFill>
                <a:prstDash val="solid"/>
              </a:ln>
            </spPr>
          </dPt>
          <dPt>
            <idx val="2"/>
            <bubble3D val="0"/>
            <spPr>
              <a:solidFill>
                <a:srgbClr val="A5C8E1"/>
              </a:solidFill>
              <a:ln w="19050">
                <a:solidFill>
                  <a:schemeClr val="lt1"/>
                </a:solidFill>
                <a:prstDash val="solid"/>
              </a:ln>
            </spPr>
          </dPt>
          <dPt>
            <idx val="3"/>
            <bubble3D val="0"/>
            <spPr>
              <a:solidFill>
                <a:srgbClr val="70AD47"/>
              </a:solidFill>
              <a:ln w="19050">
                <a:solidFill>
                  <a:schemeClr val="lt1"/>
                </a:solidFill>
                <a:prstDash val="solid"/>
              </a:ln>
            </spPr>
          </dPt>
          <dPt>
            <idx val="4"/>
            <bubble3D val="0"/>
            <spPr>
              <a:solidFill>
                <a:srgbClr val="FFC000"/>
              </a:solidFill>
              <a:ln w="19050">
                <a:solidFill>
                  <a:schemeClr val="lt1"/>
                </a:solidFill>
                <a:prstDash val="solid"/>
              </a:ln>
            </spPr>
          </dPt>
          <dPt>
            <idx val="5"/>
            <bubble3D val="0"/>
            <spPr>
              <a:solidFill>
                <a:srgbClr val="ED7D31"/>
              </a:solidFill>
              <a:ln w="19050">
                <a:solidFill>
                  <a:schemeClr val="lt1"/>
                </a:solidFill>
                <a:prstDash val="solid"/>
              </a:ln>
            </spPr>
          </dPt>
          <dPt>
            <idx val="6"/>
            <bubble3D val="0"/>
            <spPr>
              <a:solidFill>
                <a:srgbClr val="A6A6A6"/>
              </a:solidFill>
              <a:ln w="19050">
                <a:solidFill>
                  <a:schemeClr val="lt1"/>
                </a:solidFill>
                <a:prstDash val="solid"/>
              </a:ln>
            </spPr>
          </dPt>
          <dPt>
            <idx val="7"/>
            <bubble3D val="0"/>
            <spPr>
              <a:solidFill>
                <a:schemeClr val="accent2">
                  <a:lumMod val="60000"/>
                </a:schemeClr>
              </a:solidFill>
              <a:ln w="19050">
                <a:solidFill>
                  <a:schemeClr val="lt1"/>
                </a:solidFill>
                <a:prstDash val="solid"/>
              </a:ln>
            </spPr>
          </dPt>
          <dPt>
            <idx val="8"/>
            <bubble3D val="0"/>
            <spPr>
              <a:solidFill>
                <a:schemeClr val="accent3">
                  <a:lumMod val="60000"/>
                </a:schemeClr>
              </a:solidFill>
              <a:ln w="19050">
                <a:solidFill>
                  <a:schemeClr val="lt1"/>
                </a:solidFill>
                <a:prstDash val="solid"/>
              </a:ln>
            </spPr>
          </dPt>
          <dPt>
            <idx val="9"/>
            <bubble3D val="0"/>
            <spPr>
              <a:solidFill>
                <a:schemeClr val="accent4">
                  <a:lumMod val="60000"/>
                </a:schemeClr>
              </a:solidFill>
              <a:ln w="19050">
                <a:solidFill>
                  <a:schemeClr val="lt1"/>
                </a:solidFill>
                <a:prstDash val="solid"/>
              </a:ln>
            </spPr>
          </dPt>
          <dPt>
            <idx val="10"/>
            <bubble3D val="0"/>
            <spPr>
              <a:solidFill>
                <a:schemeClr val="accent5">
                  <a:lumMod val="60000"/>
                </a:schemeClr>
              </a:solidFill>
              <a:ln w="19050">
                <a:solidFill>
                  <a:schemeClr val="lt1"/>
                </a:solidFill>
                <a:prstDash val="solid"/>
              </a:ln>
            </spPr>
          </dPt>
          <dPt>
            <idx val="11"/>
            <bubble3D val="0"/>
            <spPr>
              <a:solidFill>
                <a:schemeClr val="accent6">
                  <a:lumMod val="60000"/>
                </a:schemeClr>
              </a:solidFill>
              <a:ln w="19050">
                <a:solidFill>
                  <a:schemeClr val="lt1"/>
                </a:solidFill>
                <a:prstDash val="solid"/>
              </a:ln>
            </spPr>
          </dPt>
          <cat>
            <strRef>
              <f>Dashboard!$O$8:$O$19</f>
              <strCache>
                <ptCount val="12"/>
                <pt idx="0">
                  <v>Private Pay</v>
                </pt>
                <pt idx="6">
                  <v>Medicaid</v>
                </pt>
                <pt idx="7">
                  <v>LTC Insurance</v>
                </pt>
                <pt idx="8">
                  <v>VA</v>
                </pt>
                <pt idx="9">
                  <v>Managed Care</v>
                </pt>
                <pt idx="10">
                  <v>Self-Pay</v>
                </pt>
                <pt idx="11">
                  <v>Other</v>
                </pt>
              </strCache>
            </strRef>
          </cat>
          <val>
            <numRef>
              <f>Dashboard!$P$8:$P$19</f>
              <numCache>
                <formatCode>General</formatCode>
                <ptCount val="12"/>
                <pt idx="0">
                  <v>0</v>
                </pt>
                <pt idx="6">
                  <v>0</v>
                </pt>
                <pt idx="7">
                  <v>0</v>
                </pt>
                <pt idx="8">
                  <v>0</v>
                </pt>
                <pt idx="9">
                  <v>0</v>
                </pt>
                <pt idx="10">
                  <v>0</v>
                </pt>
                <pt idx="11">
                  <v>0</v>
                </pt>
              </numCache>
            </numRef>
          </val>
        </ser>
        <dLbls>
          <showLegendKey val="0"/>
          <showVal val="0"/>
          <showCatName val="0"/>
          <showSerName val="0"/>
          <showPercent val="0"/>
          <showBubbleSize val="0"/>
          <showLeaderLines val="1"/>
        </dLbls>
        <firstSliceAng val="0"/>
        <holeSize val="75"/>
      </doughnut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Occupancy by Unit Type</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bar"/>
        <grouping val="clustered"/>
        <varyColors val="0"/>
        <ser>
          <idx val="0"/>
          <order val="0"/>
          <tx>
            <strRef>
              <f>Dashboard!$C$89</f>
              <strCache>
                <ptCount val="1"/>
                <pt idx="0">
                  <v>Occupancy</v>
                </pt>
              </strCache>
            </strRef>
          </tx>
          <spPr>
            <a:solidFill>
              <a:schemeClr val="accent1"/>
            </a:solidFill>
            <a:ln>
              <a:noFill/>
              <a:prstDash val="solid"/>
            </a:ln>
          </spPr>
          <invertIfNegative val="0"/>
          <cat>
            <strRef>
              <f>Dashboard!$B$90:$B$93</f>
              <strCache>
                <ptCount val="4"/>
                <pt idx="0">
                  <v>Independent Living</v>
                </pt>
                <pt idx="1">
                  <v>Assisted Living</v>
                </pt>
                <pt idx="2">
                  <v>Memory Care</v>
                </pt>
                <pt idx="3">
                  <v>Blended</v>
                </pt>
              </strCache>
            </strRef>
          </cat>
          <val>
            <numRef>
              <f>Dashboard!$C$90:$C$93</f>
              <numCache>
                <formatCode>0.0%</formatCode>
                <ptCount val="4"/>
                <pt idx="0">
                  <v>0</v>
                </pt>
                <pt idx="1">
                  <v>0</v>
                </pt>
                <pt idx="2">
                  <v>0</v>
                </pt>
                <pt idx="3">
                  <v>0</v>
                </pt>
              </numCache>
            </numRef>
          </val>
        </ser>
        <dLbls>
          <showLegendKey val="0"/>
          <showVal val="0"/>
          <showCatName val="0"/>
          <showSerName val="0"/>
          <showPercent val="0"/>
          <showBubbleSize val="0"/>
        </dLbls>
        <gapWidth val="182"/>
        <axId val="38074128"/>
        <axId val="38078928"/>
      </barChart>
      <catAx>
        <axId val="38074128"/>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38078928"/>
        <crosses val="autoZero"/>
        <auto val="1"/>
        <lblAlgn val="ctr"/>
        <lblOffset val="100"/>
        <noMultiLvlLbl val="0"/>
      </catAx>
      <valAx>
        <axId val="38078928"/>
        <scaling>
          <orientation val="minMax"/>
        </scaling>
        <delete val="0"/>
        <axPos val="b"/>
        <majorGridlines>
          <spPr>
            <a:ln w="9525" cap="flat" cmpd="sng" algn="ctr">
              <a:solidFill>
                <a:schemeClr val="tx1">
                  <a:lumMod val="15000"/>
                  <a:lumOff val="85000"/>
                </a:schemeClr>
              </a:solidFill>
              <a:prstDash val="solid"/>
              <a:round/>
            </a:ln>
          </spPr>
        </majorGridlines>
        <numFmt formatCode="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38074128"/>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Monthly EGI Trend</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Dashboard!$C$96</f>
              <strCache>
                <ptCount val="1"/>
                <pt idx="0">
                  <v>EGI</v>
                </pt>
              </strCache>
            </strRef>
          </tx>
          <spPr>
            <a:ln w="28575" cap="rnd">
              <a:solidFill>
                <a:schemeClr val="accent1"/>
              </a:solidFill>
              <a:prstDash val="solid"/>
              <a:round/>
            </a:ln>
          </spPr>
          <marker>
            <symbol val="none"/>
            <spPr>
              <a:ln>
                <a:prstDash val="solid"/>
              </a:ln>
            </spPr>
          </marker>
          <cat>
            <strRef>
              <f>Dashboard!$B$97:$B$108</f>
              <strCache>
                <ptCount val="12"/>
                <pt idx="0">
                  <v>M01</v>
                </pt>
                <pt idx="1">
                  <v>M02</v>
                </pt>
                <pt idx="2">
                  <v>M03</v>
                </pt>
                <pt idx="3">
                  <v>M04</v>
                </pt>
                <pt idx="4">
                  <v>M05</v>
                </pt>
                <pt idx="5">
                  <v>M06</v>
                </pt>
                <pt idx="6">
                  <v>M07</v>
                </pt>
                <pt idx="7">
                  <v>M08</v>
                </pt>
                <pt idx="8">
                  <v>M09</v>
                </pt>
                <pt idx="9">
                  <v>M10</v>
                </pt>
                <pt idx="10">
                  <v>M11</v>
                </pt>
                <pt idx="11">
                  <v>M12</v>
                </pt>
              </strCache>
            </strRef>
          </cat>
          <val>
            <numRef>
              <f>Dashboard!$C$97:$C$108</f>
              <numCache>
                <formatCode>"$"#,##0;\("$"#,##0\);\-</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0"/>
        </dLbls>
        <smooth val="0"/>
        <axId val="126356368"/>
        <axId val="126348208"/>
      </lineChart>
      <catAx>
        <axId val="126356368"/>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26348208"/>
        <crosses val="autoZero"/>
        <auto val="1"/>
        <lblAlgn val="ctr"/>
        <lblOffset val="100"/>
        <noMultiLvlLbl val="0"/>
      </catAx>
      <valAx>
        <axId val="126348208"/>
        <scaling>
          <orientation val="minMax"/>
        </scaling>
        <delete val="0"/>
        <axPos val="l"/>
        <majorGridlines>
          <spPr>
            <a:ln w="9525" cap="flat" cmpd="sng" algn="ctr">
              <a:solidFill>
                <a:schemeClr val="tx1">
                  <a:lumMod val="15000"/>
                  <a:lumOff val="85000"/>
                </a:schemeClr>
              </a:solidFill>
              <a:prstDash val="solid"/>
              <a:round/>
            </a:ln>
          </spPr>
        </majorGridlines>
        <numFmt formatCode="&quot;$&quot;#,##0;\(&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26356368"/>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5.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Payer Mix — Revenue Share</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tx>
            <strRef>
              <f>Dashboard!$F$89</f>
              <strCache>
                <ptCount val="1"/>
                <pt idx="0">
                  <v>Share</v>
                </pt>
              </strCache>
            </strRef>
          </tx>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Pt>
            <idx val="6"/>
            <bubble3D val="0"/>
            <spPr>
              <a:solidFill>
                <a:schemeClr val="accent1">
                  <a:lumMod val="60000"/>
                </a:schemeClr>
              </a:solidFill>
              <a:ln w="19050">
                <a:solidFill>
                  <a:schemeClr val="lt1"/>
                </a:solidFill>
                <a:prstDash val="solid"/>
              </a:ln>
            </spPr>
          </dPt>
          <cat>
            <strRef>
              <f>Dashboard!$E$90:$E$96</f>
              <strCache>
                <ptCount val="7"/>
                <pt idx="0">
                  <v>Private Pay</v>
                </pt>
                <pt idx="1">
                  <v>Medicaid</v>
                </pt>
                <pt idx="2">
                  <v>LTC Insurance</v>
                </pt>
                <pt idx="3">
                  <v>VA</v>
                </pt>
                <pt idx="4">
                  <v>Managed Care</v>
                </pt>
                <pt idx="5">
                  <v>Self-Pay</v>
                </pt>
                <pt idx="6">
                  <v>Other</v>
                </pt>
              </strCache>
            </strRef>
          </cat>
          <val>
            <numRef>
              <f>Dashboard!$F$90:$F$96</f>
              <numCache>
                <formatCode>0.0%</formatCode>
                <ptCount val="7"/>
                <pt idx="0">
                  <v>0</v>
                </pt>
                <pt idx="1">
                  <v>0</v>
                </pt>
                <pt idx="2">
                  <v>0</v>
                </pt>
                <pt idx="3">
                  <v>0</v>
                </pt>
                <pt idx="4">
                  <v>0</v>
                </pt>
                <pt idx="5">
                  <v>0</v>
                </pt>
                <pt idx="6">
                  <v>0</v>
                </pt>
              </numCache>
            </numRef>
          </val>
        </ser>
        <dLbls>
          <showLegendKey val="0"/>
          <showVal val="0"/>
          <showCatName val="0"/>
          <showSerName val="0"/>
          <showPercent val="0"/>
          <showBubbleSize val="0"/>
          <showLeaderLines val="1"/>
        </dLbls>
        <firstSliceAng val="0"/>
      </pieChart>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6.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P&amp;L Waterfall</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tx>
            <strRef>
              <f>Dashboard!$F$99</f>
              <strCache>
                <ptCount val="1"/>
                <pt idx="0">
                  <v>T12</v>
                </pt>
              </strCache>
            </strRef>
          </tx>
          <spPr>
            <a:solidFill>
              <a:schemeClr val="accent1"/>
            </a:solidFill>
            <a:ln>
              <a:noFill/>
              <a:prstDash val="solid"/>
            </a:ln>
          </spPr>
          <invertIfNegative val="0"/>
          <cat>
            <strRef>
              <f>Dashboard!$E$100:$E$105</f>
              <strCache>
                <ptCount val="6"/>
                <pt idx="0">
                  <v>EGI</v>
                </pt>
                <pt idx="1">
                  <v>Direct Labor</v>
                </pt>
                <pt idx="2">
                  <v>Payroll Burden</v>
                </pt>
                <pt idx="3">
                  <v>Non-Labor Opex</v>
                </pt>
                <pt idx="4">
                  <v>Mgmt Fee</v>
                </pt>
                <pt idx="5">
                  <v>EBITDAR</v>
                </pt>
              </strCache>
            </strRef>
          </cat>
          <val>
            <numRef>
              <f>Dashboard!$F$100:$F$105</f>
              <numCache>
                <formatCode>"$"#,##0;\("$"#,##0\);\-</formatCode>
                <ptCount val="6"/>
                <pt idx="0">
                  <v>0</v>
                </pt>
                <pt idx="1">
                  <v>0</v>
                </pt>
                <pt idx="2">
                  <v>0</v>
                </pt>
                <pt idx="3">
                  <v>0</v>
                </pt>
                <pt idx="4">
                  <v>0</v>
                </pt>
                <pt idx="5">
                  <v>0</v>
                </pt>
              </numCache>
            </numRef>
          </val>
        </ser>
        <dLbls>
          <showLegendKey val="0"/>
          <showVal val="0"/>
          <showCatName val="0"/>
          <showSerName val="0"/>
          <showPercent val="0"/>
          <showBubbleSize val="0"/>
        </dLbls>
        <gapWidth val="219"/>
        <overlap val="-27"/>
        <axId val="126357328"/>
        <axId val="126373168"/>
      </barChart>
      <catAx>
        <axId val="126357328"/>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26373168"/>
        <crosses val="autoZero"/>
        <auto val="1"/>
        <lblAlgn val="ctr"/>
        <lblOffset val="100"/>
        <noMultiLvlLbl val="0"/>
      </catAx>
      <valAx>
        <axId val="126373168"/>
        <scaling>
          <orientation val="minMax"/>
        </scaling>
        <delete val="0"/>
        <axPos val="l"/>
        <majorGridlines>
          <spPr>
            <a:ln w="9525" cap="flat" cmpd="sng" algn="ctr">
              <a:solidFill>
                <a:schemeClr val="tx1">
                  <a:lumMod val="15000"/>
                  <a:lumOff val="85000"/>
                </a:schemeClr>
              </a:solidFill>
              <a:prstDash val="solid"/>
              <a:round/>
            </a:ln>
          </spPr>
        </majorGridlines>
        <numFmt formatCode="&quot;$&quot;#,##0;\(&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26357328"/>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7.xml><?xml version="1.0" encoding="utf-8"?>
<chartSpace xmlns:a="http://schemas.openxmlformats.org/drawingml/2006/main" xmlns="http://schemas.openxmlformats.org/drawingml/2006/chart">
  <chart>
    <title>
      <tx>
        <rich>
          <a:bodyPr/>
          <a:p>
            <a:pPr>
              <a:defRPr/>
            </a:pPr>
            <a:r>
              <a:t>V1 — Occupancy by Care Type (selected period)</a:t>
            </a:r>
          </a:p>
        </rich>
      </tx>
    </title>
    <plotArea>
      <barChart>
        <barDir val="col"/>
        <grouping val="stacked"/>
        <ser>
          <idx val="0"/>
          <order val="0"/>
          <tx>
            <v>Occupied</v>
          </tx>
          <spPr>
            <a:ln>
              <a:prstDash val="solid"/>
            </a:ln>
          </spPr>
          <cat>
            <numRef>
              <f>'T12 Analytics'!$B$5:$D$5</f>
            </numRef>
          </cat>
          <val>
            <numRef>
              <f>'Rent Roll Recon'!$B$8:$D$8</f>
            </numRef>
          </val>
        </ser>
        <ser>
          <idx val="1"/>
          <order val="1"/>
          <tx>
            <v>Vacant</v>
          </tx>
          <spPr>
            <a:ln>
              <a:prstDash val="solid"/>
            </a:ln>
          </spPr>
          <cat>
            <numRef>
              <f>'T12 Analytics'!$B$5:$D$5</f>
            </numRef>
          </cat>
          <val>
            <numRef>
              <f>'Rent Roll Recon'!$B$9:$D$9</f>
            </numRef>
          </val>
        </ser>
        <ser>
          <idx val="2"/>
          <order val="2"/>
          <tx>
            <v>Notice</v>
          </tx>
          <spPr>
            <a:ln>
              <a:prstDash val="solid"/>
            </a:ln>
          </spPr>
          <cat>
            <numRef>
              <f>'T12 Analytics'!$B$5:$D$5</f>
            </numRef>
          </cat>
          <val>
            <numRef>
              <f>'Rent Roll Recon'!$B$10:$D$10</f>
            </numRef>
          </val>
        </ser>
        <ser>
          <idx val="3"/>
          <order val="3"/>
          <tx>
            <v>Eviction</v>
          </tx>
          <spPr>
            <a:ln>
              <a:prstDash val="solid"/>
            </a:ln>
          </spPr>
          <cat>
            <numRef>
              <f>'T12 Analytics'!$B$5:$D$5</f>
            </numRef>
          </cat>
          <val>
            <numRef>
              <f>'Rent Roll Recon'!$B$11:$D$11</f>
            </numRef>
          </val>
        </ser>
        <gapWidth val="150"/>
        <overlap val="100"/>
        <axId val="10"/>
        <axId val="100"/>
      </barChart>
      <catAx>
        <axId val="10"/>
        <scaling>
          <orientation val="minMax"/>
        </scaling>
        <axPos val="b"/>
        <title>
          <tx>
            <rich>
              <a:bodyPr/>
              <a:p>
                <a:pPr>
                  <a:defRPr/>
                </a:pPr>
                <a:r>
                  <a:t>Care Type</a:t>
                </a:r>
              </a:p>
            </rich>
          </tx>
        </title>
        <majorTickMark val="none"/>
        <minorTickMark val="none"/>
        <crossAx val="100"/>
        <lblOffset val="100"/>
      </catAx>
      <valAx>
        <axId val="100"/>
        <scaling>
          <orientation val="minMax"/>
        </scaling>
        <axPos val="l"/>
        <majorGridlines/>
        <title>
          <tx>
            <rich>
              <a:bodyPr/>
              <a:p>
                <a:pPr>
                  <a:defRPr/>
                </a:pPr>
                <a:r>
                  <a:t>Unit count</a:t>
                </a:r>
              </a:p>
            </rich>
          </tx>
        </title>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V2 — Rate Dispersion by Care Type (occupied units)</a:t>
            </a:r>
          </a:p>
        </rich>
      </tx>
    </title>
    <plotArea>
      <barChart>
        <barDir val="col"/>
        <grouping val="clustered"/>
        <ser>
          <idx val="0"/>
          <order val="0"/>
          <tx>
            <v>IL</v>
          </tx>
          <spPr>
            <a:ln>
              <a:prstDash val="solid"/>
            </a:ln>
          </spPr>
          <cat>
            <numRef>
              <f>'T12 Analytics'!$K$48:$K$52</f>
            </numRef>
          </cat>
          <val>
            <numRef>
              <f>'T12 Analytics'!$L$48:$L$52</f>
            </numRef>
          </val>
        </ser>
        <ser>
          <idx val="1"/>
          <order val="1"/>
          <tx>
            <v>AL</v>
          </tx>
          <spPr>
            <a:ln>
              <a:prstDash val="solid"/>
            </a:ln>
          </spPr>
          <cat>
            <numRef>
              <f>'T12 Analytics'!$K$48:$K$52</f>
            </numRef>
          </cat>
          <val>
            <numRef>
              <f>'T12 Analytics'!$M$48:$M$52</f>
            </numRef>
          </val>
        </ser>
        <ser>
          <idx val="2"/>
          <order val="2"/>
          <tx>
            <v>MC</v>
          </tx>
          <spPr>
            <a:ln>
              <a:prstDash val="solid"/>
            </a:ln>
          </spPr>
          <cat>
            <numRef>
              <f>'T12 Analytics'!$K$48:$K$52</f>
            </numRef>
          </cat>
          <val>
            <numRef>
              <f>'T12 Analytics'!$N$48:$N$52</f>
            </numRef>
          </val>
        </ser>
        <gapWidth val="150"/>
        <axId val="10"/>
        <axId val="100"/>
      </barChart>
      <catAx>
        <axId val="10"/>
        <scaling>
          <orientation val="minMax"/>
        </scaling>
        <axPos val="b"/>
        <title>
          <tx>
            <rich>
              <a:bodyPr/>
              <a:p>
                <a:pPr>
                  <a:defRPr/>
                </a:pPr>
                <a:r>
                  <a:t>Rate band</a:t>
                </a:r>
              </a:p>
            </rich>
          </tx>
        </title>
        <majorTickMark val="none"/>
        <minorTickMark val="none"/>
        <crossAx val="100"/>
        <lblOffset val="100"/>
      </catAx>
      <valAx>
        <axId val="100"/>
        <scaling>
          <orientation val="minMax"/>
        </scaling>
        <axPos val="l"/>
        <majorGridlines/>
        <title>
          <tx>
            <rich>
              <a:bodyPr/>
              <a:p>
                <a:pPr>
                  <a:defRPr/>
                </a:pPr>
                <a:r>
                  <a:t>Unit count</a:t>
                </a:r>
              </a:p>
            </rich>
          </tx>
        </title>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V3 — Payer Mix (% of total monthly revenue)</a:t>
            </a:r>
          </a:p>
        </rich>
      </tx>
    </title>
    <plotArea>
      <doughnutChart>
        <varyColors val="1"/>
        <ser>
          <idx val="0"/>
          <order val="0"/>
          <tx>
            <v>Payer mix</v>
          </tx>
          <spPr>
            <a:ln>
              <a:prstDash val="solid"/>
            </a:ln>
          </spPr>
          <cat>
            <numRef>
              <f>'Rent Roll Recon'!$A$40:$A$46</f>
            </numRef>
          </cat>
          <val>
            <numRef>
              <f>'Rent Roll Recon'!$H$40:$H$46</f>
            </numRef>
          </val>
        </ser>
        <dLbls>
          <showPercent val="1"/>
        </dLbls>
        <firstSliceAng val="0"/>
        <holeSize val="10"/>
      </doughnutChart>
    </plotArea>
    <legend>
      <legendPos val="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V4 — T12 Revenue Trend (12 months)</a:t>
            </a:r>
          </a:p>
        </rich>
      </tx>
    </title>
    <plotArea>
      <lineChart>
        <grouping val="standard"/>
        <ser>
          <idx val="0"/>
          <order val="0"/>
          <tx>
            <v>Total revenue (monthly)</v>
          </tx>
          <spPr>
            <a:ln>
              <a:prstDash val="solid"/>
            </a:ln>
          </spPr>
          <marker>
            <symbol val="none"/>
            <spPr>
              <a:ln>
                <a:prstDash val="solid"/>
              </a:ln>
            </spPr>
          </marker>
          <cat>
            <numRef>
              <f>'T12 Input'!$C$11:$N$11</f>
            </numRef>
          </cat>
          <val>
            <numRef>
              <f>'T12 Analytics'!$K$54:$V$54</f>
            </numRef>
          </val>
        </ser>
        <axId val="10"/>
        <axId val="100"/>
      </lineChart>
      <catAx>
        <axId val="10"/>
        <scaling>
          <orientation val="minMax"/>
        </scaling>
        <axPos val="b"/>
        <title>
          <tx>
            <rich>
              <a:bodyPr/>
              <a:p>
                <a:pPr>
                  <a:defRPr/>
                </a:pPr>
                <a:r>
                  <a:t>Month</a:t>
                </a:r>
              </a:p>
            </rich>
          </tx>
        </title>
        <majorTickMark val="none"/>
        <minorTickMark val="none"/>
        <crossAx val="100"/>
        <lblOffset val="100"/>
      </catAx>
      <valAx>
        <axId val="100"/>
        <scaling>
          <orientation val="minMax"/>
        </scaling>
        <axPos val="l"/>
        <majorGridlines/>
        <title>
          <tx>
            <rich>
              <a:bodyPr/>
              <a:p>
                <a:pPr>
                  <a:defRPr/>
                </a:pPr>
                <a:r>
                  <a:t>Total operating rev ($)</a:t>
                </a:r>
              </a:p>
            </rich>
          </tx>
        </title>
        <majorTickMark val="none"/>
        <minorTickMark val="none"/>
        <crossAx val="10"/>
      </valAx>
    </plotArea>
    <legend>
      <legendPos val="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a:pPr>
            <a:r>
              <a:t>V5 — AL Acuity Mix (Basic / Level 2-7)</a:t>
            </a:r>
          </a:p>
        </rich>
      </tx>
    </title>
    <plotArea>
      <doughnutChart>
        <varyColors val="1"/>
        <ser>
          <idx val="0"/>
          <order val="0"/>
          <tx>
            <v>AL acuity mix</v>
          </tx>
          <spPr>
            <a:ln>
              <a:prstDash val="solid"/>
            </a:ln>
          </spPr>
          <cat>
            <numRef>
              <f>'Rent Roll Recon'!$A$59:$A$66</f>
            </numRef>
          </cat>
          <val>
            <numRef>
              <f>'Rent Roll Recon'!$D$59:$D$66</f>
            </numRef>
          </val>
        </ser>
        <dLbls>
          <showPercent val="1"/>
        </dLbls>
        <firstSliceAng val="0"/>
        <holeSize val="10"/>
      </doughnutChart>
    </plotArea>
    <legend>
      <legendPos val="r"/>
    </legend>
    <plotVisOnly val="1"/>
    <dispBlanksAs val="gap"/>
  </chart>
</chartSpace>
</file>

<file path=xl/comments/comment1.xml><?xml version="1.0" encoding="utf-8"?>
<comments xmlns="http://schemas.openxmlformats.org/spreadsheetml/2006/main">
  <authors>
    <author>Substrate v0.1.6</author>
  </authors>
  <commentList>
    <comment ref="E37" authorId="0" shapeId="0">
      <text>
        <t>Gross Potential Rent (GPR): T12 actual base rent grossed up for vacancy. Pulled from T12 Raw Data 'Gross Rent Revenue' Label. Returns blank if zero so the per-care-type columns sum cleanly.</t>
      </text>
    </comment>
    <comment ref="E52" authorId="0" shapeId="0">
      <text>
        <t>EGI = base rent (E16) + ancillary income (E23) + other line items (E47:E50). Definition matches Monthly Trending R21 and feeds UW Output as the top of the operating P&amp;L.</t>
      </text>
    </comment>
    <comment ref="E110" authorId="0" shapeId="0">
      <text>
        <t>EBITDAR (after mgmt fee) = EBITDARM (E108) − management fee (E106). This is the lender/DSCR convention NOI. EBITDARM at R108 is the pre-mgmt-fee version used in IRR/cap rate convention.</t>
      </text>
    </comment>
  </commentList>
</comments>
</file>

<file path=xl/comments/comment2.xml><?xml version="1.0" encoding="utf-8"?>
<comments xmlns="http://schemas.openxmlformats.org/spreadsheetml/2006/main">
  <authors>
    <author>Substrate v0.1.6</author>
  </authors>
  <commentList>
    <comment ref="H20" authorId="0" shapeId="0">
      <text>
        <t>Diagnostic for the RR-vs-T12 base rent gap (E20). Four cases: aligned (=$0), within tolerance (≤2%), T12 higher (gap&lt;0), or RR higher (gap&gt;0). The two ⚠ cases include a 5-item investigation list. Literals are chunked sub-255-char per Excel's per-literal cap (see OPTIMIZATION-DECISIONS.md A-4 / D-09).</t>
      </text>
    </comment>
  </commentList>
</comments>
</file>

<file path=xl/comments/comment3.xml><?xml version="1.0" encoding="utf-8"?>
<comments xmlns="http://schemas.openxmlformats.org/spreadsheetml/2006/main">
  <authors>
    <author>Substrate v0.1.6</author>
  </authors>
  <commentList>
    <comment ref="B5" authorId="0" shapeId="0">
      <text>
        <t>T12 rollup pattern: INDEX/MATCH locates the Label row in T12 Raw Data and pulls the F-column total. IFERROR returns 0 if the Label is missing (e.g. a Description hasn't been mapped yet). Same pattern repeats for every Label row on this sheet.</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 Type="http://schemas.openxmlformats.org/officeDocument/2006/relationships/chart" Target="/xl/charts/chart9.xml" Id="rId3" /><Relationship Type="http://schemas.openxmlformats.org/officeDocument/2006/relationships/chart" Target="/xl/charts/chart10.xml" Id="rId4" /><Relationship Type="http://schemas.openxmlformats.org/officeDocument/2006/relationships/chart" Target="/xl/charts/chart11.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7</col>
      <colOff>0</colOff>
      <row>28</row>
      <rowOff>0</rowOff>
    </from>
    <to>
      <col>13</col>
      <colOff>0</colOff>
      <row>37</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7</col>
      <colOff>0</colOff>
      <row>41</row>
      <rowOff>1</rowOff>
    </from>
    <to>
      <col>13</col>
      <colOff>0</colOff>
      <row>50</row>
      <rowOff>1</rowOff>
    </to>
    <graphicFrame>
      <nvGraphicFramePr>
        <cNvPr id="2" name="Chart 2"/>
        <cNvGraphicFramePr/>
      </nvGraphicFramePr>
      <xfrm/>
      <a:graphic>
        <a:graphicData uri="http://schemas.openxmlformats.org/drawingml/2006/chart">
          <c:chart r:id="rId2"/>
        </a:graphicData>
      </a:graphic>
    </graphicFrame>
    <clientData/>
  </twoCellAnchor>
  <twoCellAnchor>
    <from>
      <col>6</col>
      <colOff>272143</colOff>
      <row>100</row>
      <rowOff>54428</rowOff>
    </from>
    <to>
      <col>12</col>
      <colOff>272143</colOff>
      <row>110</row>
      <rowOff>68035</rowOff>
    </to>
    <graphicFrame>
      <nvGraphicFramePr>
        <cNvPr id="3" name="Chart 3"/>
        <cNvGraphicFramePr/>
      </nvGraphicFramePr>
      <xfrm/>
      <a:graphic>
        <a:graphicData uri="http://schemas.openxmlformats.org/drawingml/2006/chart">
          <c:chart r:id="rId3"/>
        </a:graphicData>
      </a:graphic>
    </graphicFrame>
    <clientData/>
  </twoCellAnchor>
  <twoCellAnchor>
    <from>
      <col>1</col>
      <colOff>13606</colOff>
      <row>110</row>
      <rowOff>176891</rowOff>
    </from>
    <to>
      <col>7</col>
      <colOff>1319891</colOff>
      <row>124</row>
      <rowOff>136070</rowOff>
    </to>
    <graphicFrame>
      <nvGraphicFramePr>
        <cNvPr id="4" name="Chart 4"/>
        <cNvGraphicFramePr/>
      </nvGraphicFramePr>
      <xfrm/>
      <a:graphic>
        <a:graphicData uri="http://schemas.openxmlformats.org/drawingml/2006/chart">
          <c:chart r:id="rId4"/>
        </a:graphicData>
      </a:graphic>
    </graphicFrame>
    <clientData/>
  </twoCellAnchor>
  <twoCellAnchor>
    <from>
      <col>6</col>
      <colOff>299357</colOff>
      <row>86</row>
      <rowOff>76201</rowOff>
    </from>
    <to>
      <col>9</col>
      <colOff>236766</colOff>
      <row>99</row>
      <rowOff>95250</rowOff>
    </to>
    <graphicFrame>
      <nvGraphicFramePr>
        <cNvPr id="5" name="Chart 5"/>
        <cNvGraphicFramePr/>
      </nvGraphicFramePr>
      <xfrm/>
      <a:graphic>
        <a:graphicData uri="http://schemas.openxmlformats.org/drawingml/2006/chart">
          <c:chart r:id="rId5"/>
        </a:graphicData>
      </a:graphic>
    </graphicFrame>
    <clientData/>
  </twoCellAnchor>
  <twoCellAnchor>
    <from>
      <col>9</col>
      <colOff>299358</colOff>
      <row>86</row>
      <rowOff>95250</rowOff>
    </from>
    <to>
      <col>12</col>
      <colOff>285752</colOff>
      <row>99</row>
      <rowOff>95250</rowOff>
    </to>
    <graphicFrame>
      <nvGraphicFramePr>
        <cNvPr id="6" name="Chart 6"/>
        <cNvGraphicFramePr/>
      </nvGraphicFramePr>
      <xfrm/>
      <a:graphic>
        <a:graphicData uri="http://schemas.openxmlformats.org/drawingml/2006/chart">
          <c:chart r:id="rId6"/>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0</row>
      <rowOff>0</rowOff>
    </from>
    <ext cx="4320000" cy="270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15</row>
      <rowOff>0</rowOff>
    </from>
    <ext cx="4320000" cy="2700000"/>
    <graphicFrame>
      <nvGraphicFramePr>
        <cNvPr id="2" name="Chart 2"/>
        <cNvGraphicFramePr/>
      </nvGraphicFramePr>
      <xfrm/>
      <a:graphic>
        <a:graphicData uri="http://schemas.openxmlformats.org/drawingml/2006/chart">
          <c:chart r:id="rId2"/>
        </a:graphicData>
      </a:graphic>
    </graphicFrame>
    <clientData/>
  </oneCellAnchor>
  <oneCellAnchor>
    <from>
      <col>15</col>
      <colOff>0</colOff>
      <row>0</row>
      <rowOff>0</rowOff>
    </from>
    <ext cx="4320000" cy="2700000"/>
    <graphicFrame>
      <nvGraphicFramePr>
        <cNvPr id="3" name="Chart 3"/>
        <cNvGraphicFramePr/>
      </nvGraphicFramePr>
      <xfrm/>
      <a:graphic>
        <a:graphicData uri="http://schemas.openxmlformats.org/drawingml/2006/chart">
          <c:chart r:id="rId3"/>
        </a:graphicData>
      </a:graphic>
    </graphicFrame>
    <clientData/>
  </oneCellAnchor>
  <oneCellAnchor>
    <from>
      <col>15</col>
      <colOff>0</colOff>
      <row>15</row>
      <rowOff>0</rowOff>
    </from>
    <ext cx="4320000" cy="2700000"/>
    <graphicFrame>
      <nvGraphicFramePr>
        <cNvPr id="4" name="Chart 4"/>
        <cNvGraphicFramePr/>
      </nvGraphicFramePr>
      <xfrm/>
      <a:graphic>
        <a:graphicData uri="http://schemas.openxmlformats.org/drawingml/2006/chart">
          <c:chart r:id="rId4"/>
        </a:graphicData>
      </a:graphic>
    </graphicFrame>
    <clientData/>
  </oneCellAnchor>
  <oneCellAnchor>
    <from>
      <col>10</col>
      <colOff>0</colOff>
      <row>30</row>
      <rowOff>0</rowOff>
    </from>
    <ext cx="4320000" cy="270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AZ19"/>
  <sheetViews>
    <sheetView workbookViewId="0">
      <selection activeCell="A1" sqref="A1"/>
    </sheetView>
  </sheetViews>
  <sheetFormatPr baseColWidth="8" defaultRowHeight="15"/>
  <cols>
    <col width="28" customWidth="1" style="199" min="1" max="1"/>
    <col width="60" customWidth="1" style="199" min="2" max="2"/>
  </cols>
  <sheetData>
    <row r="1">
      <c r="A1" s="203" t="inlineStr">
        <is>
          <t>ALF Financial Analyzer</t>
        </is>
      </c>
      <c r="AZ1" t="inlineStr">
        <is>
          <t>Workbook landing — versions, links, orientation</t>
        </is>
      </c>
    </row>
    <row r="2">
      <c r="A2" s="204" t="inlineStr">
        <is>
          <t>Senior-housing underwriting workbook — RR + T12 reconciliation, UW-ready output</t>
        </is>
      </c>
      <c r="AZ2" t="inlineStr">
        <is>
          <t>reference</t>
        </is>
      </c>
    </row>
    <row r="3">
      <c r="AZ3" t="inlineStr">
        <is>
          <t>visible</t>
        </is>
      </c>
    </row>
    <row r="4">
      <c r="A4" s="205" t="inlineStr">
        <is>
          <t>Property</t>
        </is>
      </c>
      <c r="AZ4" t="inlineStr">
        <is>
          <t>v0.2.7</t>
        </is>
      </c>
    </row>
    <row r="5">
      <c r="A5" t="inlineStr">
        <is>
          <t>Property name</t>
        </is>
      </c>
    </row>
    <row r="7">
      <c r="A7" s="205" t="inlineStr">
        <is>
          <t>Versions</t>
        </is>
      </c>
    </row>
    <row r="8">
      <c r="A8" t="inlineStr">
        <is>
          <t>Substrate template</t>
        </is>
      </c>
      <c r="B8" t="inlineStr">
        <is>
          <t>v0.2.7</t>
        </is>
      </c>
    </row>
    <row r="9">
      <c r="A9" t="inlineStr">
        <is>
          <t>Rent Roll Normalizer (app)</t>
        </is>
      </c>
      <c r="B9" t="inlineStr">
        <is>
          <t>v1.12.0</t>
        </is>
      </c>
    </row>
    <row r="10">
      <c r="A10" t="inlineStr">
        <is>
          <t>T12 Normalizer</t>
        </is>
      </c>
      <c r="B10" t="inlineStr">
        <is>
          <t>v0.1.0</t>
        </is>
      </c>
    </row>
    <row r="12">
      <c r="A12" s="205" t="inlineStr">
        <is>
          <t>Links</t>
        </is>
      </c>
    </row>
    <row r="13">
      <c r="A13" t="inlineStr">
        <is>
          <t>GitHub</t>
        </is>
      </c>
      <c r="B13" t="inlineStr">
        <is>
          <t>https://github.com/&lt;your-repo&gt;/rent-roll-normalizer</t>
        </is>
      </c>
    </row>
    <row r="14">
      <c r="A14" t="inlineStr">
        <is>
          <t>App URL</t>
        </is>
      </c>
      <c r="B14" t="inlineStr">
        <is>
          <t>https://rrnormalizer.streamlit.app/</t>
        </is>
      </c>
    </row>
    <row r="16">
      <c r="A16" s="205" t="inlineStr">
        <is>
          <t>About</t>
        </is>
      </c>
    </row>
    <row r="17">
      <c r="A17" s="206" t="inlineStr">
        <is>
          <t>This workbook is the underwriting destination for the Rent Roll Normalizer and T12 Normalizer pipeline. Paste normalized rent roll data into 'Rent Roll Input', T12 data into 'T12 Input', and the analytical sheets recalculate automatically.</t>
        </is>
      </c>
    </row>
    <row r="18">
      <c r="A18" s="206" t="inlineStr">
        <is>
          <t>Visible tabs flow left to right: T12 inputs → RR inputs → reconciliation → UW Output. The 'Workbook Health' sheet is hidden by default — right-click any tab and choose 'Unhide' to access it for diagnostics, validation checks, and version pills.</t>
        </is>
      </c>
    </row>
    <row r="19">
      <c r="A19" s="206" t="inlineStr">
        <is>
          <t>Property name entered at B5 above propagates to T12 Analytics via the Property_Name named range.</t>
        </is>
      </c>
    </row>
  </sheetData>
  <pageMargins left="0.75" right="0.75" top="1" bottom="1" header="0.5" footer="0.5"/>
</worksheet>
</file>

<file path=xl/worksheets/sheet2.xml><?xml version="1.0" encoding="utf-8"?>
<worksheet xmlns="http://schemas.openxmlformats.org/spreadsheetml/2006/main">
  <sheetPr>
    <tabColor rgb="FF1F4E79"/>
    <outlinePr summaryBelow="1" summaryRight="1"/>
    <pageSetUpPr/>
  </sheetPr>
  <dimension ref="B1:AZ108"/>
  <sheetViews>
    <sheetView workbookViewId="0">
      <selection activeCell="A1" sqref="A1"/>
    </sheetView>
  </sheetViews>
  <sheetFormatPr baseColWidth="8" defaultRowHeight="15"/>
  <cols>
    <col width="1.5703125" customWidth="1" style="199" min="1" max="1"/>
    <col width="21" customWidth="1" style="199" min="2" max="2"/>
    <col width="9.42578125" customWidth="1" style="199" min="4" max="4"/>
    <col width="21" customWidth="1" style="199" min="5" max="5"/>
    <col width="5.7109375" customWidth="1" style="199" min="7" max="7"/>
    <col width="21" customWidth="1" style="199" min="8" max="8"/>
    <col width="5.7109375" customWidth="1" style="199" min="10" max="10"/>
    <col width="21" customWidth="1" style="199" min="11" max="11"/>
    <col width="5.7109375" customWidth="1" style="199" min="13" max="13"/>
    <col width="1.5703125" customWidth="1" style="199" min="14" max="14"/>
  </cols>
  <sheetData>
    <row r="1" ht="12" customHeight="1" s="199">
      <c r="O1" s="347" t="inlineStr">
        <is>
          <t>Care Type</t>
        </is>
      </c>
      <c r="P1" s="347" t="inlineStr">
        <is>
          <t>Property</t>
        </is>
      </c>
      <c r="Q1" s="347" t="inlineStr">
        <is>
          <t>Market</t>
        </is>
      </c>
      <c r="AZ1" t="inlineStr">
        <is>
          <t>Underwriting at-a-glance KPI dashboard with embedded charts</t>
        </is>
      </c>
    </row>
    <row r="2" ht="32.1" customHeight="1" s="199">
      <c r="B2" s="348">
        <f>"UNDERWRITING DASHBOARD"&amp;IF(AND(ISTEXT(Cover!B5),Cover!B5&lt;&gt;""),"  —  "&amp;Cover!B5,"")</f>
        <v/>
      </c>
      <c r="O2" s="347" t="inlineStr">
        <is>
          <t>Independent Living</t>
        </is>
      </c>
      <c r="P2" s="349">
        <f>IFERROR(IF('T12 Analytics'!B6&gt;0,'T12 Analytics'!B11/'T12 Analytics'!B6,NA()),NA())</f>
        <v/>
      </c>
      <c r="Q2" s="349" t="n">
        <v>0.91</v>
      </c>
      <c r="AZ2" t="inlineStr">
        <is>
          <t>Analytical (handoff)</t>
        </is>
      </c>
    </row>
    <row r="3" ht="20.1" customHeight="1" s="199">
      <c r="B3" s="350">
        <f>"Period: "&amp;IF(AND(ISTEXT('T12 Analytics'!E2),'T12 Analytics'!E2&lt;&gt;""),'T12 Analytics'!E2,"T12")&amp;"   |   Basis: "&amp;IF(AND(ISTEXT('T12 Analytics'!H2),'T12 Analytics'!H2&lt;&gt;""),'T12 Analytics'!H2,"As-Reported")&amp;"   |   Refreshed: "&amp;TEXT(TODAY(),"mmm d, yyyy")</f>
        <v/>
      </c>
      <c r="O3" s="347" t="inlineStr">
        <is>
          <t>Assisted Living</t>
        </is>
      </c>
      <c r="P3" s="349">
        <f>IFERROR(IF('T12 Analytics'!C6&gt;0,'T12 Analytics'!C11/'T12 Analytics'!C6,NA()),NA())</f>
        <v/>
      </c>
      <c r="Q3" s="349" t="n">
        <v>0.879</v>
      </c>
      <c r="AZ3" t="inlineStr">
        <is>
          <t>visible</t>
        </is>
      </c>
    </row>
    <row r="4" ht="8.1" customHeight="1" s="199">
      <c r="O4" s="347" t="inlineStr">
        <is>
          <t>Memory Care</t>
        </is>
      </c>
      <c r="P4" s="349">
        <f>IFERROR(IF('T12 Analytics'!D6&gt;0,'T12 Analytics'!D11/'T12 Analytics'!D6,NA()),NA())</f>
        <v/>
      </c>
      <c r="Q4" s="349" t="n">
        <v>0.88</v>
      </c>
      <c r="AZ4" t="inlineStr">
        <is>
          <t>v0.2.7</t>
        </is>
      </c>
    </row>
    <row r="5" ht="18" customHeight="1" s="199">
      <c r="B5" s="351" t="inlineStr">
        <is>
          <t>OCCUPANCY</t>
        </is>
      </c>
      <c r="C5" s="352" t="n"/>
      <c r="D5" s="353" t="n"/>
      <c r="E5" s="351" t="inlineStr">
        <is>
          <t>EBITDARM MARGIN</t>
        </is>
      </c>
      <c r="F5" s="352" t="n"/>
      <c r="G5" s="353" t="n"/>
      <c r="H5" s="351" t="inlineStr">
        <is>
          <t>GOING-IN CAP RATE</t>
        </is>
      </c>
      <c r="I5" s="352" t="n"/>
      <c r="J5" s="353" t="n"/>
      <c r="K5" s="354" t="inlineStr">
        <is>
          <t>REVPOR</t>
        </is>
      </c>
      <c r="L5" s="355" t="n"/>
      <c r="O5" s="347" t="inlineStr">
        <is>
          <t>Blended</t>
        </is>
      </c>
      <c r="P5" s="349">
        <f>IFERROR('T12 Analytics'!F134,NA())</f>
        <v/>
      </c>
      <c r="Q5" s="349" t="n">
        <v>0.895</v>
      </c>
      <c r="AZ5" t="inlineStr">
        <is>
          <t>All value cells are formula references into T12 Analytics, Rent Roll Recon, Monthly Trending, and Cover. 6 native Excel charts embedded. No source-of-truth data lives here. Supersedes the v0.2.4-v0.2.6 Investment Dashboard.</t>
        </is>
      </c>
    </row>
    <row r="6" ht="38.25" customHeight="1" s="199">
      <c r="B6" s="356">
        <f>IFERROR(IF(ISNUMBER('T12 Analytics'!F134),TEXT('T12 Analytics'!F134,"0.0%"),"—"),"—")</f>
        <v/>
      </c>
      <c r="C6" s="357" t="n"/>
      <c r="D6" s="353" t="n"/>
      <c r="E6" s="356">
        <f>IFERROR(IF(ISNUMBER('T12 Analytics'!F162),TEXT('T12 Analytics'!F162,"0.0%"),"—"),"—")</f>
        <v/>
      </c>
      <c r="F6" s="357" t="n"/>
      <c r="G6" s="353" t="n"/>
      <c r="H6" s="356">
        <f>IFERROR(IF(ISNUMBER('T12 Analytics'!F118),TEXT('T12 Analytics'!F118,"0.00%"),"—"),"—")</f>
        <v/>
      </c>
      <c r="I6" s="357" t="n"/>
      <c r="J6" s="353" t="n"/>
      <c r="K6" s="356">
        <f>IFERROR(IF(ISNUMBER('T12 Analytics'!F143),TEXT('T12 Analytics'!F143,"$#,##0"),"—"),"—")</f>
        <v/>
      </c>
      <c r="L6" s="357" t="n"/>
    </row>
    <row r="7" ht="15.95" customHeight="1" s="199">
      <c r="B7" s="358" t="inlineStr">
        <is>
          <t>Normalized community occupancy</t>
        </is>
      </c>
      <c r="C7" s="357" t="n"/>
      <c r="D7" s="353" t="n"/>
      <c r="E7" s="358" t="inlineStr">
        <is>
          <t>Normalized (pre-mgmt fee)</t>
        </is>
      </c>
      <c r="F7" s="357" t="n"/>
      <c r="G7" s="353" t="n"/>
      <c r="H7" s="358" t="inlineStr">
        <is>
          <t>Normalized NOI / Purchase Price</t>
        </is>
      </c>
      <c r="I7" s="357" t="n"/>
      <c r="J7" s="353" t="n"/>
      <c r="K7" s="358" t="inlineStr">
        <is>
          <t>Normalized RevPOR per resident</t>
        </is>
      </c>
      <c r="L7" s="357" t="n"/>
      <c r="O7" s="359" t="inlineStr">
        <is>
          <t>Payer</t>
        </is>
      </c>
      <c r="P7" s="360" t="inlineStr">
        <is>
          <t>Revenue</t>
        </is>
      </c>
    </row>
    <row r="8" ht="21.95" customHeight="1" s="199">
      <c r="B8" s="361">
        <f>IF(ISNUMBER('T12 Analytics'!F134),IF('T12 Analytics'!F134&gt;=0.9,"✓ At/above 90% stabilized hurdle",IF('T12 Analytics'!F134&gt;=0.85,"⚠ Below stabilized, lease-up risk","✗ Distressed occupancy")),"— Source not populated")</f>
        <v/>
      </c>
      <c r="C8" s="362" t="n"/>
      <c r="D8" s="353" t="n"/>
      <c r="E8" s="361">
        <f>IF(ISNUMBER('T12 Analytics'!F162),IF('T12 Analytics'!F162&gt;=0.27,"✓ In-line with REIT SHOP avg ~27%",IF('T12 Analytics'!F162&gt;=0.22,"⚠ Below institutional median","✗ Margin distressed")),"— Source not populated")</f>
        <v/>
      </c>
      <c r="F8" s="362" t="n"/>
      <c r="G8" s="353" t="n"/>
      <c r="H8" s="361">
        <f>IF(ISNUMBER('T12 Analytics'!F118),IF('T12 Analytics'!F118&gt;=0.07,"✓ Above 6.2% market avg",IF('T12 Analytics'!F118&gt;=0.055,"⚠ At market, modest yield","✗ Below market, aggressive")),"— Source not populated")</f>
        <v/>
      </c>
      <c r="I8" s="362" t="n"/>
      <c r="J8" s="353" t="n"/>
      <c r="K8" s="361">
        <f>IF(ISNUMBER('T12 Analytics'!F143),"vs blended market $5,500-$6,500","— Source not populated")</f>
        <v/>
      </c>
      <c r="L8" s="362" t="n"/>
      <c r="O8" s="347" t="inlineStr">
        <is>
          <t>Private Pay</t>
        </is>
      </c>
      <c r="P8" s="363">
        <f>IFERROR(IF(ISNUMBER(E43),E43,0),0)</f>
        <v/>
      </c>
    </row>
    <row r="9" ht="10.5" customHeight="1" s="199">
      <c r="O9" s="347" t="n"/>
      <c r="P9" s="363" t="n"/>
    </row>
    <row r="10" ht="21.95" customHeight="1" s="199">
      <c r="B10" s="351" t="inlineStr">
        <is>
          <t>EFFECTIVE GROSS INCOME</t>
        </is>
      </c>
      <c r="C10" s="352" t="n"/>
      <c r="D10" s="353" t="n"/>
      <c r="E10" s="351" t="inlineStr">
        <is>
          <t>EBITDAR</t>
        </is>
      </c>
      <c r="F10" s="352" t="n"/>
      <c r="G10" s="353" t="n"/>
      <c r="H10" s="351" t="inlineStr">
        <is>
          <t>PRICE / BED</t>
        </is>
      </c>
      <c r="I10" s="352" t="n"/>
      <c r="J10" s="353" t="n"/>
      <c r="K10" s="364" t="n"/>
      <c r="L10" s="364" t="n"/>
      <c r="O10" s="347" t="n"/>
      <c r="P10" s="363" t="n"/>
    </row>
    <row r="11" ht="38.25" customHeight="1" s="199">
      <c r="B11" s="356">
        <f>IFERROR(IF(ISNUMBER('T12 Analytics'!F52),TEXT('T12 Analytics'!F52,"$#,##0"),"—"),"—")</f>
        <v/>
      </c>
      <c r="C11" s="357" t="n"/>
      <c r="D11" s="353" t="n"/>
      <c r="E11" s="356">
        <f>IFERROR(IF(ISNUMBER('T12 Analytics'!F163),TEXT('T12 Analytics'!F163,"$#,##0"),"—"),"—")</f>
        <v/>
      </c>
      <c r="F11" s="357" t="n"/>
      <c r="G11" s="353" t="n"/>
      <c r="H11" s="356">
        <f>IFERROR(IF(AND(ISNUMBER('T12 Analytics'!F117),ISNUMBER('T12 Analytics'!E6),'T12 Analytics'!E6&gt;0),TEXT('T12 Analytics'!F117/'T12 Analytics'!E6,"$#,##0"),"—"),"—")</f>
        <v/>
      </c>
      <c r="I11" s="357" t="n"/>
      <c r="J11" s="353" t="n"/>
      <c r="K11" s="364" t="n"/>
      <c r="L11" s="364" t="n"/>
      <c r="O11" s="347" t="n"/>
      <c r="P11" s="363" t="n"/>
    </row>
    <row r="12" ht="21.95" customHeight="1" s="199">
      <c r="B12" s="365" t="inlineStr">
        <is>
          <t>Annual revenue (T12)</t>
        </is>
      </c>
      <c r="C12" s="357" t="n"/>
      <c r="D12" s="353" t="n"/>
      <c r="E12" s="365" t="inlineStr">
        <is>
          <t>After mgmt fee (lender NOI)</t>
        </is>
      </c>
      <c r="F12" s="357" t="n"/>
      <c r="G12" s="353" t="n"/>
      <c r="H12" s="365" t="inlineStr">
        <is>
          <t>Purchase price / licensed bed</t>
        </is>
      </c>
      <c r="I12" s="357" t="n"/>
      <c r="J12" s="353" t="n"/>
      <c r="K12" s="364" t="n"/>
      <c r="L12" s="364" t="n"/>
      <c r="O12" s="347" t="n"/>
      <c r="P12" s="363" t="n"/>
    </row>
    <row r="13" ht="21.95" customHeight="1" s="199">
      <c r="B13" s="366">
        <f>IF(ISNUMBER('T12 Analytics'!F52),"✓ EGI captured","— Source not populated")</f>
        <v/>
      </c>
      <c r="C13" s="362" t="n"/>
      <c r="D13" s="353" t="n"/>
      <c r="E13" s="366">
        <f>IFERROR(IF(ISNUMBER('T12 Analytics'!F164),"Margin: "&amp;TEXT('T12 Analytics'!F164,"0.0%"),"— Margin n/a"),"—")</f>
        <v/>
      </c>
      <c r="F13" s="362" t="n"/>
      <c r="G13" s="353" t="n"/>
      <c r="H13" s="366">
        <f>IFERROR(IF(AND(ISNUMBER('T12 Analytics'!F117),ISNUMBER('T12 Analytics'!E6),'T12 Analytics'!E6&gt;0),"on "&amp;TEXT('T12 Analytics'!E6,"#,##0")&amp;" licensed beds","— Source not populated"),"—")</f>
        <v/>
      </c>
      <c r="I13" s="362" t="n"/>
      <c r="J13" s="353" t="n"/>
      <c r="K13" s="364" t="n"/>
      <c r="L13" s="364" t="n"/>
      <c r="O13" s="347" t="n"/>
      <c r="P13" s="363" t="n"/>
    </row>
    <row r="14" ht="9.949999999999999" customHeight="1" s="199">
      <c r="O14" s="347" t="inlineStr">
        <is>
          <t>Medicaid</t>
        </is>
      </c>
      <c r="P14" s="363">
        <f>IFERROR(IF(ISNUMBER(E44),E44,0),0)</f>
        <v/>
      </c>
    </row>
    <row r="15" ht="21.95" customHeight="1" s="199">
      <c r="B15" s="367" t="inlineStr">
        <is>
          <t xml:space="preserve">  OPERATING PERFORMANCE</t>
        </is>
      </c>
      <c r="O15" s="347" t="inlineStr">
        <is>
          <t>LTC Insurance</t>
        </is>
      </c>
      <c r="P15" s="363">
        <f>IFERROR(IF(ISNUMBER(E45),E45,0),0)</f>
        <v/>
      </c>
    </row>
    <row r="16" ht="8.1" customHeight="1" s="199">
      <c r="O16" s="347" t="inlineStr">
        <is>
          <t>VA</t>
        </is>
      </c>
      <c r="P16" s="363">
        <f>IFERROR(IF(ISNUMBER(E46),E46,0),0)</f>
        <v/>
      </c>
    </row>
    <row r="17" ht="21.95" customHeight="1" s="199">
      <c r="B17" s="368" t="inlineStr">
        <is>
          <t xml:space="preserve">  CAPACITY &amp; OCCUPANCY</t>
        </is>
      </c>
      <c r="C17" s="369" t="n"/>
      <c r="D17" s="353" t="n"/>
      <c r="E17" s="368" t="inlineStr">
        <is>
          <t xml:space="preserve">  REVENUE &amp; RATE</t>
        </is>
      </c>
      <c r="F17" s="369" t="n"/>
      <c r="G17" s="353" t="n"/>
      <c r="H17" s="368" t="inlineStr">
        <is>
          <t xml:space="preserve">  PROFITABILITY</t>
        </is>
      </c>
      <c r="I17" s="369" t="n"/>
      <c r="J17" s="353" t="n"/>
      <c r="K17" s="368" t="inlineStr">
        <is>
          <t xml:space="preserve">  COST STRUCTURE &amp; LABOR</t>
        </is>
      </c>
      <c r="L17" s="369" t="n"/>
      <c r="O17" s="347" t="inlineStr">
        <is>
          <t>Managed Care</t>
        </is>
      </c>
      <c r="P17" s="363">
        <f>IFERROR(IF(ISNUMBER(E47),E47,0),0)</f>
        <v/>
      </c>
    </row>
    <row r="18" ht="18" customHeight="1" s="199">
      <c r="B18" s="370" t="inlineStr">
        <is>
          <t>Licensed beds (total)</t>
        </is>
      </c>
      <c r="C18" s="371">
        <f>IFERROR(IF(ISNUMBER('T12 Analytics'!E6),'T12 Analytics'!E6,"—"),"—")</f>
        <v/>
      </c>
      <c r="D18" s="372" t="n"/>
      <c r="E18" s="370" t="inlineStr">
        <is>
          <t>Gross potential rent</t>
        </is>
      </c>
      <c r="F18" s="373">
        <f>IFERROR(IF(ISNUMBER('T12 Analytics'!F37),'T12 Analytics'!F37,"—"),"—")</f>
        <v/>
      </c>
      <c r="G18" s="372" t="n"/>
      <c r="H18" s="370" t="inlineStr">
        <is>
          <t>EBITDARM $</t>
        </is>
      </c>
      <c r="I18" s="374">
        <f>IFERROR(IF(ISNUMBER('T12 Analytics'!F161),'T12 Analytics'!F161,"—"),"—")</f>
        <v/>
      </c>
      <c r="J18" s="372" t="n"/>
      <c r="K18" s="370" t="inlineStr">
        <is>
          <t>Total labor % EGI</t>
        </is>
      </c>
      <c r="L18" s="375">
        <f>IFERROR(IF(ISNUMBER('T12 Analytics'!F148),'T12 Analytics'!F148,"—"),"—")</f>
        <v/>
      </c>
      <c r="O18" s="347" t="inlineStr">
        <is>
          <t>Self-Pay</t>
        </is>
      </c>
      <c r="P18" s="363">
        <f>IFERROR(IF(ISNUMBER(E48),E48,0),0)</f>
        <v/>
      </c>
    </row>
    <row r="19" ht="18" customHeight="1" s="199">
      <c r="B19" s="376" t="inlineStr">
        <is>
          <t xml:space="preserve">  IL / AL / MC</t>
        </is>
      </c>
      <c r="C19" s="377">
        <f>IFERROR(IF(ISNUMBER('T12 Analytics'!B6),TEXT('T12 Analytics'!B6,"0")&amp;" / "&amp;TEXT('T12 Analytics'!C6,"0")&amp;" / "&amp;TEXT('T12 Analytics'!D6,"0"),"—"),"—")</f>
        <v/>
      </c>
      <c r="D19" s="372" t="n"/>
      <c r="E19" s="378" t="inlineStr">
        <is>
          <t>Effective gross income</t>
        </is>
      </c>
      <c r="F19" s="379">
        <f>IFERROR(IF(ISNUMBER('T12 Analytics'!F52),'T12 Analytics'!F52,"—"),"—")</f>
        <v/>
      </c>
      <c r="G19" s="372" t="n"/>
      <c r="H19" s="378" t="inlineStr">
        <is>
          <t>EBITDARM margin</t>
        </is>
      </c>
      <c r="I19" s="380">
        <f>IFERROR(IF(ISNUMBER('T12 Analytics'!F162),'T12 Analytics'!F162,"—"),"—")</f>
        <v/>
      </c>
      <c r="J19" s="372" t="n"/>
      <c r="K19" s="378" t="inlineStr">
        <is>
          <t>Direct labor % EGI</t>
        </is>
      </c>
      <c r="L19" s="381">
        <f>IFERROR(IF(ISNUMBER('T12 Analytics'!F149),'T12 Analytics'!F149,"—"),"—")</f>
        <v/>
      </c>
      <c r="O19" s="347" t="inlineStr">
        <is>
          <t>Other</t>
        </is>
      </c>
      <c r="P19" s="363">
        <f>IFERROR(IF(ISNUMBER(E49),E49,0),0)</f>
        <v/>
      </c>
    </row>
    <row r="20" ht="18" customHeight="1" s="199">
      <c r="B20" s="370" t="inlineStr">
        <is>
          <t>Avg occupied beds</t>
        </is>
      </c>
      <c r="C20" s="382">
        <f>IFERROR(IF(ISNUMBER('T12 Analytics'!E11),'T12 Analytics'!E11,"—"),"—")</f>
        <v/>
      </c>
      <c r="D20" s="372" t="n"/>
      <c r="E20" s="370" t="inlineStr">
        <is>
          <t>Blended ADR / day</t>
        </is>
      </c>
      <c r="F20" s="373">
        <f>IFERROR(IF(ISNUMBER('T12 Analytics'!F140),'T12 Analytics'!F140,"—"),"—")</f>
        <v/>
      </c>
      <c r="G20" s="372" t="n"/>
      <c r="H20" s="370" t="inlineStr">
        <is>
          <t>EBITDAR $ (post mgmt fee)</t>
        </is>
      </c>
      <c r="I20" s="373">
        <f>IFERROR(IF(ISNUMBER('T12 Analytics'!F163),'T12 Analytics'!F163,"—"),"—")</f>
        <v/>
      </c>
      <c r="J20" s="372" t="n"/>
      <c r="K20" s="370" t="inlineStr">
        <is>
          <t>Overtime %</t>
        </is>
      </c>
      <c r="L20" s="383">
        <f>IFERROR(IF(ISNUMBER('T12 Analytics'!F150),'T12 Analytics'!F150,"—"),"—")</f>
        <v/>
      </c>
    </row>
    <row r="21" ht="18" customHeight="1" s="199">
      <c r="B21" s="378" t="inlineStr">
        <is>
          <t>Community occupancy %</t>
        </is>
      </c>
      <c r="C21" s="380">
        <f>IFERROR(IF(ISNUMBER('T12 Analytics'!F134),'T12 Analytics'!F134,"—"),"—")</f>
        <v/>
      </c>
      <c r="D21" s="372" t="n"/>
      <c r="E21" s="378" t="inlineStr">
        <is>
          <t>RevPOR (blended)</t>
        </is>
      </c>
      <c r="F21" s="379">
        <f>IFERROR(IF(ISNUMBER('T12 Analytics'!F143),'T12 Analytics'!F143,"—"),"—")</f>
        <v/>
      </c>
      <c r="G21" s="372" t="n"/>
      <c r="H21" s="378" t="inlineStr">
        <is>
          <t>EBITDAR margin</t>
        </is>
      </c>
      <c r="I21" s="381">
        <f>IFERROR(IF(ISNUMBER('T12 Analytics'!F164),'T12 Analytics'!F164,"—"),"—")</f>
        <v/>
      </c>
      <c r="J21" s="372" t="n"/>
      <c r="K21" s="378" t="inlineStr">
        <is>
          <t>Agency labor %</t>
        </is>
      </c>
      <c r="L21" s="380">
        <f>IFERROR(IF(ISNUMBER('T12 Analytics'!F152),'T12 Analytics'!F152,"—"),"—")</f>
        <v/>
      </c>
    </row>
    <row r="22" ht="18" customHeight="1" s="199">
      <c r="B22" s="370" t="inlineStr">
        <is>
          <t>Economic occupancy %</t>
        </is>
      </c>
      <c r="C22" s="383">
        <f>IFERROR(IF(ISNUMBER('Rent Roll Recon'!E13),'Rent Roll Recon'!E13,"—"),"—")</f>
        <v/>
      </c>
      <c r="D22" s="372" t="n"/>
      <c r="E22" s="370" t="inlineStr">
        <is>
          <t>RevPAB</t>
        </is>
      </c>
      <c r="F22" s="373">
        <f>IFERROR(IF(ISNUMBER('T12 Analytics'!F145),'T12 Analytics'!F145,"—"),"—")</f>
        <v/>
      </c>
      <c r="G22" s="372" t="n"/>
      <c r="H22" s="370" t="inlineStr">
        <is>
          <t>EGI / occupied bed</t>
        </is>
      </c>
      <c r="I22" s="373">
        <f>IFERROR(IF(ISNUMBER('T12 Analytics'!F144),'T12 Analytics'!F144,"—"),"—")</f>
        <v/>
      </c>
      <c r="J22" s="372" t="n"/>
      <c r="K22" s="370" t="inlineStr">
        <is>
          <t>Food PPD</t>
        </is>
      </c>
      <c r="L22" s="384">
        <f>IFERROR(IF(ISNUMBER('T12 Analytics'!F154),'T12 Analytics'!F154,"—"),"—")</f>
        <v/>
      </c>
    </row>
    <row r="23" ht="18" customHeight="1" s="199">
      <c r="B23" s="378" t="inlineStr">
        <is>
          <t>Loss to lease %</t>
        </is>
      </c>
      <c r="C23" s="381">
        <f>IFERROR(IF(AND(ISNUMBER('T12 Analytics'!F41),ISNUMBER('T12 Analytics'!F37),'T12 Analytics'!F37&lt;&gt;0),ABS('T12 Analytics'!F41)/'T12 Analytics'!F37,"—"),"—")</f>
        <v/>
      </c>
      <c r="D23" s="372" t="n"/>
      <c r="E23" s="378" t="inlineStr">
        <is>
          <t>Level of care %</t>
        </is>
      </c>
      <c r="F23" s="381">
        <f>IFERROR(IF(ISNUMBER('T12 Analytics'!F146),'T12 Analytics'!F146,"—"),"—")</f>
        <v/>
      </c>
      <c r="G23" s="372" t="n"/>
      <c r="H23" s="378" t="inlineStr">
        <is>
          <t>Opex / occupied bed</t>
        </is>
      </c>
      <c r="I23" s="385">
        <f>IFERROR(IF(ISNUMBER('T12 Analytics'!F160),'T12 Analytics'!F160,"—"),"—")</f>
        <v/>
      </c>
      <c r="J23" s="372" t="n"/>
      <c r="K23" s="378" t="inlineStr">
        <is>
          <t>Mgmt fee %</t>
        </is>
      </c>
      <c r="L23" s="381">
        <f>IFERROR(IF(ISNUMBER('T12 Analytics'!F157),'T12 Analytics'!F157,"—"),"—")</f>
        <v/>
      </c>
    </row>
    <row r="24" ht="18" customHeight="1" s="199">
      <c r="B24" s="386" t="inlineStr">
        <is>
          <t>Vacancy %</t>
        </is>
      </c>
      <c r="C24" s="387">
        <f>IFERROR(IF(AND(ISNUMBER('T12 Analytics'!F38),ISNUMBER('T12 Analytics'!F37),'T12 Analytics'!F37&lt;&gt;0),ABS('T12 Analytics'!F38)/'T12 Analytics'!F37,"—"),"—")</f>
        <v/>
      </c>
      <c r="D24" s="372" t="n"/>
      <c r="E24" s="386" t="inlineStr">
        <is>
          <t>Bad debt %</t>
        </is>
      </c>
      <c r="F24" s="387">
        <f>IFERROR(IF(ISNUMBER('T12 Analytics'!F158),'T12 Analytics'!F158,"—"),"—")</f>
        <v/>
      </c>
      <c r="G24" s="372" t="n"/>
      <c r="H24" s="386" t="inlineStr">
        <is>
          <t>Total opex $</t>
        </is>
      </c>
      <c r="I24" s="388">
        <f>IFERROR(IF(ISNUMBER('T12 Analytics'!F105),'T12 Analytics'!F105,"—"),"—")</f>
        <v/>
      </c>
      <c r="J24" s="372" t="n"/>
      <c r="K24" s="386" t="inlineStr">
        <is>
          <t>Insurance (P&amp;C) %</t>
        </is>
      </c>
      <c r="L24" s="387">
        <f>IFERROR(IF(ISNUMBER('T12 Analytics'!F159),'T12 Analytics'!F159,"—"),"—")</f>
        <v/>
      </c>
    </row>
    <row r="25" ht="12" customHeight="1" s="199"/>
    <row r="26" ht="21.95" customHeight="1" s="199">
      <c r="B26" s="367" t="inlineStr">
        <is>
          <t xml:space="preserve">  VALUATION &amp; MARKET BENCHMARKING</t>
        </is>
      </c>
    </row>
    <row r="27" ht="8.1" customHeight="1" s="199"/>
    <row r="28" ht="21.95" customHeight="1" s="199">
      <c r="B28" s="368" t="inlineStr">
        <is>
          <t xml:space="preserve">  DEAL ECONOMICS</t>
        </is>
      </c>
      <c r="C28" s="389" t="n"/>
      <c r="D28" s="389" t="n"/>
      <c r="E28" s="389" t="n"/>
      <c r="F28" s="369" t="n"/>
      <c r="G28" s="353" t="n"/>
      <c r="H28" s="368" t="inlineStr">
        <is>
          <t xml:space="preserve">  OCCUPANCY vs MARKET (NIC MAP Q1 2026)</t>
        </is>
      </c>
      <c r="I28" s="389" t="n"/>
      <c r="J28" s="389" t="n"/>
      <c r="K28" s="389" t="n"/>
      <c r="L28" s="389" t="n"/>
      <c r="M28" s="369" t="n"/>
    </row>
    <row r="29" ht="18" customHeight="1" s="199">
      <c r="B29" s="390" t="inlineStr">
        <is>
          <t>Metric</t>
        </is>
      </c>
      <c r="D29" s="391" t="inlineStr">
        <is>
          <t>Property</t>
        </is>
      </c>
      <c r="E29" s="391" t="inlineStr">
        <is>
          <t>Market</t>
        </is>
      </c>
      <c r="F29" s="392" t="inlineStr">
        <is>
          <t>Read</t>
        </is>
      </c>
      <c r="H29" s="393" t="n"/>
      <c r="M29" s="202" t="n"/>
    </row>
    <row r="30" ht="18" customHeight="1" s="199">
      <c r="B30" s="370" t="inlineStr">
        <is>
          <t>Purchase price</t>
        </is>
      </c>
      <c r="D30" s="394">
        <f>IFERROR(IF(ISNUMBER('T12 Analytics'!F117),'T12 Analytics'!F117,"—"),"—")</f>
        <v/>
      </c>
      <c r="E30" s="395" t="inlineStr">
        <is>
          <t>n/a</t>
        </is>
      </c>
      <c r="F30" s="396" t="inlineStr">
        <is>
          <t>—</t>
        </is>
      </c>
      <c r="H30" s="393" t="n"/>
      <c r="M30" s="202" t="n"/>
    </row>
    <row r="31" ht="18" customHeight="1" s="199">
      <c r="B31" s="378" t="inlineStr">
        <is>
          <t>Price / total bed</t>
        </is>
      </c>
      <c r="D31" s="397">
        <f>IFERROR(IF(AND(ISNUMBER('T12 Analytics'!F117),ISNUMBER('T12 Analytics'!E6),'T12 Analytics'!E6&gt;0),'T12 Analytics'!F117/'T12 Analytics'!E6,"—"),"—")</f>
        <v/>
      </c>
      <c r="E31" s="398" t="inlineStr">
        <is>
          <t>$220-280k</t>
        </is>
      </c>
      <c r="F31" s="399">
        <f>IF(ISNUMBER(D31),IF(D31&lt;=280000,"✓",IF(D31&lt;=350000,"⚠","✗")),"—")</f>
        <v/>
      </c>
      <c r="H31" s="393" t="n"/>
      <c r="M31" s="202" t="n"/>
    </row>
    <row r="32" ht="18" customHeight="1" s="199">
      <c r="B32" s="370" t="inlineStr">
        <is>
          <t>Going-in cap rate</t>
        </is>
      </c>
      <c r="D32" s="400">
        <f>IFERROR(IF(ISNUMBER('T12 Analytics'!F118),'T12 Analytics'!F118,"—"),"—")</f>
        <v/>
      </c>
      <c r="E32" s="401" t="n">
        <v>0.062</v>
      </c>
      <c r="F32" s="402">
        <f>IF(ISNUMBER(D32),IF(D32&gt;=0.07,"✓",IF(D32&gt;=0.055,"⚠","✗")),"—")</f>
        <v/>
      </c>
      <c r="H32" s="393" t="n"/>
      <c r="M32" s="202" t="n"/>
    </row>
    <row r="33" ht="18" customHeight="1" s="199">
      <c r="B33" s="378" t="inlineStr">
        <is>
          <t>EBITDAR cap rate</t>
        </is>
      </c>
      <c r="D33" s="403">
        <f>IFERROR(IF(ISNUMBER('T12 Analytics'!F120),'T12 Analytics'!F120,"—"),"—")</f>
        <v/>
      </c>
      <c r="E33" s="398" t="inlineStr">
        <is>
          <t>5.7-6.5%</t>
        </is>
      </c>
      <c r="F33" s="399">
        <f>IF(ISNUMBER(D33),IF(D33&gt;=0.065,"✓",IF(D33&gt;=0.055,"⚠","✗")),"—")</f>
        <v/>
      </c>
      <c r="H33" s="393" t="n"/>
      <c r="M33" s="202" t="n"/>
    </row>
    <row r="34" ht="18" customHeight="1" s="199">
      <c r="B34" s="370" t="inlineStr">
        <is>
          <t>EBITDARM margin</t>
        </is>
      </c>
      <c r="D34" s="404">
        <f>IFERROR(IF(ISNUMBER('T12 Analytics'!F162),'T12 Analytics'!F162,"—"),"—")</f>
        <v/>
      </c>
      <c r="E34" s="401" t="n">
        <v>0.27</v>
      </c>
      <c r="F34" s="402">
        <f>IF(ISNUMBER(D34),IF(D34&gt;=0.27,"✓",IF(D34&gt;=0.22,"⚠","✗")),"—")</f>
        <v/>
      </c>
      <c r="H34" s="393" t="n"/>
      <c r="M34" s="202" t="n"/>
    </row>
    <row r="35" ht="18" customHeight="1" s="199">
      <c r="B35" s="378" t="inlineStr">
        <is>
          <t>Community occupancy</t>
        </is>
      </c>
      <c r="D35" s="405">
        <f>IFERROR(IF(ISNUMBER('T12 Analytics'!F134),'T12 Analytics'!F134,"—"),"—")</f>
        <v/>
      </c>
      <c r="E35" s="406" t="n">
        <v>0.895</v>
      </c>
      <c r="F35" s="399">
        <f>IF(ISNUMBER(D35),IF(D35&gt;=0.9,"✓",IF(D35&gt;=0.85,"⚠","✗")),"—")</f>
        <v/>
      </c>
      <c r="H35" s="393" t="n"/>
      <c r="M35" s="202" t="n"/>
    </row>
    <row r="36" ht="18" customHeight="1" s="199">
      <c r="B36" s="370" t="inlineStr">
        <is>
          <t>Labor % EGI</t>
        </is>
      </c>
      <c r="D36" s="404">
        <f>IFERROR(IF(ISNUMBER('T12 Analytics'!F148),'T12 Analytics'!F148,"—"),"—")</f>
        <v/>
      </c>
      <c r="E36" s="407" t="inlineStr">
        <is>
          <t>43-45%</t>
        </is>
      </c>
      <c r="F36" s="402">
        <f>IF(ISNUMBER(D36),IF(D36&lt;=0.45,"✓",IF(D36&lt;=0.5,"⚠","✗")),"—")</f>
        <v/>
      </c>
      <c r="H36" s="393" t="n"/>
      <c r="M36" s="202" t="n"/>
    </row>
    <row r="37" ht="18" customHeight="1" s="199">
      <c r="B37" s="408" t="inlineStr">
        <is>
          <t>Agency labor %</t>
        </is>
      </c>
      <c r="C37" s="409" t="n"/>
      <c r="D37" s="410">
        <f>IFERROR(IF(ISNUMBER('T12 Analytics'!F152),'T12 Analytics'!F152,"—"),"—")</f>
        <v/>
      </c>
      <c r="E37" s="411" t="inlineStr">
        <is>
          <t>&lt;3%</t>
        </is>
      </c>
      <c r="F37" s="412">
        <f>IF(ISNUMBER(D37),IF(D37&lt;=0.03,"✓",IF(D37&lt;=0.06,"⚠","✗")),"—")</f>
        <v/>
      </c>
      <c r="H37" s="413" t="n"/>
      <c r="I37" s="409" t="n"/>
      <c r="J37" s="409" t="n"/>
      <c r="K37" s="409" t="n"/>
      <c r="L37" s="409" t="n"/>
      <c r="M37" s="414" t="n"/>
    </row>
    <row r="38" ht="9.949999999999999" customHeight="1" s="199"/>
    <row r="39" ht="21.95" customHeight="1" s="199">
      <c r="B39" s="415" t="inlineStr">
        <is>
          <t>PAYER MIX</t>
        </is>
      </c>
    </row>
    <row r="40" ht="6" customHeight="1" s="199"/>
    <row r="41" ht="20.1" customHeight="1" s="199">
      <c r="B41" s="416" t="inlineStr">
        <is>
          <t>Payer Mix — Revenue &amp; Census</t>
        </is>
      </c>
      <c r="H41" s="416" t="inlineStr">
        <is>
          <t>Payer Mix — Revenue Share</t>
        </is>
      </c>
    </row>
    <row r="42" ht="21.95" customHeight="1" s="199">
      <c r="B42" s="417" t="inlineStr">
        <is>
          <t>Payer Type</t>
        </is>
      </c>
      <c r="C42" s="418" t="inlineStr">
        <is>
          <t>Resident Count</t>
        </is>
      </c>
      <c r="D42" s="418" t="inlineStr">
        <is>
          <t>% of Census</t>
        </is>
      </c>
      <c r="E42" s="418" t="inlineStr">
        <is>
          <t>Revenue (T12)</t>
        </is>
      </c>
      <c r="F42" s="419" t="inlineStr">
        <is>
          <t>% of Revenue</t>
        </is>
      </c>
    </row>
    <row r="43" ht="18" customHeight="1" s="199">
      <c r="B43" s="420" t="inlineStr">
        <is>
          <t>Private Pay</t>
        </is>
      </c>
      <c r="C43" s="421">
        <f>IFERROR(IF(ISNUMBER('Rent Roll Recon'!B40),'Rent Roll Recon'!B40,"—"),"—")</f>
        <v/>
      </c>
      <c r="D43" s="422">
        <f>IFERROR(IF(ISNUMBER('Rent Roll Recon'!C40),'Rent Roll Recon'!C40,"—"),"—")</f>
        <v/>
      </c>
      <c r="E43" s="423">
        <f>IFERROR(IF(ISNUMBER('Rent Roll Recon'!H40),'Rent Roll Recon'!H40,"—"),"—")</f>
        <v/>
      </c>
      <c r="F43" s="424">
        <f>IFERROR(IF(ISNUMBER('Rent Roll Recon'!I40),'Rent Roll Recon'!I40,"—"),"—")</f>
        <v/>
      </c>
    </row>
    <row r="44" ht="18" customHeight="1" s="199">
      <c r="B44" s="425" t="inlineStr">
        <is>
          <t>Medicaid</t>
        </is>
      </c>
      <c r="C44" s="426">
        <f>IFERROR(IF(ISNUMBER('Rent Roll Recon'!B41),'Rent Roll Recon'!B41,"—"),"—")</f>
        <v/>
      </c>
      <c r="D44" s="427">
        <f>IFERROR(IF(ISNUMBER('Rent Roll Recon'!C41),'Rent Roll Recon'!C41,"—"),"—")</f>
        <v/>
      </c>
      <c r="E44" s="428">
        <f>IFERROR(IF(ISNUMBER('Rent Roll Recon'!H41),'Rent Roll Recon'!H41,"—"),"—")</f>
        <v/>
      </c>
      <c r="F44" s="429">
        <f>IFERROR(IF(ISNUMBER('Rent Roll Recon'!I41),'Rent Roll Recon'!I41,"—"),"—")</f>
        <v/>
      </c>
    </row>
    <row r="45" ht="18" customHeight="1" s="199">
      <c r="B45" s="430" t="inlineStr">
        <is>
          <t>LTC Insurance</t>
        </is>
      </c>
      <c r="C45" s="431">
        <f>IFERROR(IF(ISNUMBER('Rent Roll Recon'!B42),'Rent Roll Recon'!B42,"—"),"—")</f>
        <v/>
      </c>
      <c r="D45" s="432">
        <f>IFERROR(IF(ISNUMBER('Rent Roll Recon'!C42),'Rent Roll Recon'!C42,"—"),"—")</f>
        <v/>
      </c>
      <c r="E45" s="433">
        <f>IFERROR(IF(ISNUMBER('Rent Roll Recon'!H42),'Rent Roll Recon'!H42,"—"),"—")</f>
        <v/>
      </c>
      <c r="F45" s="434">
        <f>IFERROR(IF(ISNUMBER('Rent Roll Recon'!I42),'Rent Roll Recon'!I42,"—"),"—")</f>
        <v/>
      </c>
    </row>
    <row r="46" ht="18" customHeight="1" s="199">
      <c r="B46" s="425" t="inlineStr">
        <is>
          <t>VA</t>
        </is>
      </c>
      <c r="C46" s="426">
        <f>IFERROR(IF(ISNUMBER('Rent Roll Recon'!B43),'Rent Roll Recon'!B43,"—"),"—")</f>
        <v/>
      </c>
      <c r="D46" s="427">
        <f>IFERROR(IF(ISNUMBER('Rent Roll Recon'!C43),'Rent Roll Recon'!C43,"—"),"—")</f>
        <v/>
      </c>
      <c r="E46" s="428">
        <f>IFERROR(IF(ISNUMBER('Rent Roll Recon'!H43),'Rent Roll Recon'!H43,"—"),"—")</f>
        <v/>
      </c>
      <c r="F46" s="429">
        <f>IFERROR(IF(ISNUMBER('Rent Roll Recon'!I43),'Rent Roll Recon'!I43,"—"),"—")</f>
        <v/>
      </c>
    </row>
    <row r="47" ht="18" customHeight="1" s="199">
      <c r="B47" s="430" t="inlineStr">
        <is>
          <t>Managed Care</t>
        </is>
      </c>
      <c r="C47" s="431">
        <f>IFERROR(IF(ISNUMBER('Rent Roll Recon'!B44),'Rent Roll Recon'!B44,"—"),"—")</f>
        <v/>
      </c>
      <c r="D47" s="432">
        <f>IFERROR(IF(ISNUMBER('Rent Roll Recon'!C44),'Rent Roll Recon'!C44,"—"),"—")</f>
        <v/>
      </c>
      <c r="E47" s="433">
        <f>IFERROR(IF(ISNUMBER('Rent Roll Recon'!H44),'Rent Roll Recon'!H44,"—"),"—")</f>
        <v/>
      </c>
      <c r="F47" s="434">
        <f>IFERROR(IF(ISNUMBER('Rent Roll Recon'!I44),'Rent Roll Recon'!I44,"—"),"—")</f>
        <v/>
      </c>
    </row>
    <row r="48" ht="18" customHeight="1" s="199">
      <c r="B48" s="425" t="inlineStr">
        <is>
          <t>Self-Pay</t>
        </is>
      </c>
      <c r="C48" s="426">
        <f>IFERROR(IF(ISNUMBER('Rent Roll Recon'!B45),'Rent Roll Recon'!B45,"—"),"—")</f>
        <v/>
      </c>
      <c r="D48" s="427">
        <f>IFERROR(IF(ISNUMBER('Rent Roll Recon'!C45),'Rent Roll Recon'!C45,"—"),"—")</f>
        <v/>
      </c>
      <c r="E48" s="428">
        <f>IFERROR(IF(ISNUMBER('Rent Roll Recon'!H45),'Rent Roll Recon'!H45,"—"),"—")</f>
        <v/>
      </c>
      <c r="F48" s="429">
        <f>IFERROR(IF(ISNUMBER('Rent Roll Recon'!I45),'Rent Roll Recon'!I45,"—"),"—")</f>
        <v/>
      </c>
    </row>
    <row r="49" ht="18" customHeight="1" s="199">
      <c r="B49" s="430" t="inlineStr">
        <is>
          <t>Other</t>
        </is>
      </c>
      <c r="C49" s="431">
        <f>IFERROR(IF(ISNUMBER('Rent Roll Recon'!B46),'Rent Roll Recon'!B46,"—"),"—")</f>
        <v/>
      </c>
      <c r="D49" s="432">
        <f>IFERROR(IF(ISNUMBER('Rent Roll Recon'!C46),'Rent Roll Recon'!C46,"—"),"—")</f>
        <v/>
      </c>
      <c r="E49" s="433">
        <f>IFERROR(IF(ISNUMBER('Rent Roll Recon'!H46),'Rent Roll Recon'!H46,"—"),"—")</f>
        <v/>
      </c>
      <c r="F49" s="434">
        <f>IFERROR(IF(ISNUMBER('Rent Roll Recon'!I46),'Rent Roll Recon'!I46,"—"),"—")</f>
        <v/>
      </c>
    </row>
    <row r="50" ht="20.1" customHeight="1" s="199">
      <c r="B50" s="435" t="inlineStr">
        <is>
          <t>Total</t>
        </is>
      </c>
      <c r="C50" s="436">
        <f>SUM(C43:C49)</f>
        <v/>
      </c>
      <c r="D50" s="437" t="n">
        <v>1</v>
      </c>
      <c r="E50" s="438">
        <f>SUM(E43:E49)</f>
        <v/>
      </c>
      <c r="F50" s="439" t="n">
        <v>1</v>
      </c>
    </row>
    <row r="52" ht="21.95" customHeight="1" s="199">
      <c r="B52" s="440" t="inlineStr">
        <is>
          <t>RISK FLAGS &amp; UNDERWRITING CHECKS</t>
        </is>
      </c>
    </row>
    <row r="53" ht="6" customHeight="1" s="199"/>
    <row r="54" ht="20.1" customHeight="1" s="199">
      <c r="B54" s="441" t="inlineStr">
        <is>
          <t>Risk Indicator</t>
        </is>
      </c>
      <c r="C54" s="442" t="n"/>
      <c r="D54" s="442" t="n"/>
      <c r="E54" s="443" t="inlineStr">
        <is>
          <t>Property</t>
        </is>
      </c>
      <c r="F54" s="443" t="inlineStr">
        <is>
          <t>Threshold</t>
        </is>
      </c>
      <c r="G54" s="443" t="inlineStr">
        <is>
          <t>Flag</t>
        </is>
      </c>
      <c r="H54" s="444" t="inlineStr">
        <is>
          <t>Read</t>
        </is>
      </c>
      <c r="I54" s="442" t="n"/>
      <c r="J54" s="442" t="n"/>
      <c r="K54" s="442" t="n"/>
      <c r="L54" s="442" t="n"/>
      <c r="M54" s="445" t="n"/>
    </row>
    <row r="55" ht="21.95" customHeight="1" s="199">
      <c r="B55" s="446" t="inlineStr">
        <is>
          <t>Occupancy gap to market</t>
        </is>
      </c>
      <c r="E55" s="447">
        <f>IFERROR(IF(ISNUMBER('T12 Analytics'!F134),'T12 Analytics'!F134-0.895,"—"),"—")</f>
        <v/>
      </c>
      <c r="F55" s="448" t="inlineStr">
        <is>
          <t>≥ 0 ppt</t>
        </is>
      </c>
      <c r="G55" s="449">
        <f>IFERROR(IF(NOT(ISNUMBER('T12 Analytics'!F134)),"⚪",IF('T12 Analytics'!F134&gt;=0.895,"✅",IF('T12 Analytics'!F134&gt;=0.85,"⚠️","❌"))),"⚪")</f>
        <v/>
      </c>
      <c r="H55" s="450">
        <f>IFERROR(IF(NOT(ISNUMBER('T12 Analytics'!F134)),"No data",IF('T12 Analytics'!F134&gt;=0.895,"At or above NIC MAP",IF('T12 Analytics'!F134&gt;=0.85,"Below market — lease-up risk","Significantly below market"))),"")</f>
        <v/>
      </c>
      <c r="M55" s="451" t="n"/>
    </row>
    <row r="56" ht="21.95" customHeight="1" s="199">
      <c r="B56" s="452" t="inlineStr">
        <is>
          <t>Agency labor reliance</t>
        </is>
      </c>
      <c r="C56" s="453" t="n"/>
      <c r="D56" s="453" t="n"/>
      <c r="E56" s="454">
        <f>IFERROR(IF(ISNUMBER('T12 Analytics'!F152),'T12 Analytics'!F152,"—"),"—")</f>
        <v/>
      </c>
      <c r="F56" s="455" t="inlineStr">
        <is>
          <t>&lt; 3% of labor</t>
        </is>
      </c>
      <c r="G56" s="456">
        <f>IFERROR(IF(NOT(ISNUMBER('T12 Analytics'!F152)),"⚪",IF('T12 Analytics'!F152&lt;0.03,"✅",IF('T12 Analytics'!F152&lt;0.06,"⚠️","❌"))),"⚪")</f>
        <v/>
      </c>
      <c r="H56" s="457">
        <f>IFERROR(IF(NOT(ISNUMBER('T12 Analytics'!F152)),"No data",IF('T12 Analytics'!F152&lt;0.03,"Healthy in-house staffing",IF('T12 Analytics'!F152&lt;0.06,"Moderate agency reliance","Heavy agency — staffing crisis"))),"")</f>
        <v/>
      </c>
      <c r="I56" s="453" t="n"/>
      <c r="J56" s="453" t="n"/>
      <c r="K56" s="453" t="n"/>
      <c r="L56" s="453" t="n"/>
      <c r="M56" s="458" t="n"/>
    </row>
    <row r="57" ht="21.95" customHeight="1" s="199">
      <c r="B57" s="459" t="inlineStr">
        <is>
          <t>Overtime burden</t>
        </is>
      </c>
      <c r="C57" s="453" t="n"/>
      <c r="D57" s="453" t="n"/>
      <c r="E57" s="460">
        <f>IFERROR(IF(ISNUMBER('T12 Analytics'!F150),'T12 Analytics'!F150,"—"),"—")</f>
        <v/>
      </c>
      <c r="F57" s="461" t="inlineStr">
        <is>
          <t>&lt; 5% of labor</t>
        </is>
      </c>
      <c r="G57" s="462">
        <f>IFERROR(IF(NOT(ISNUMBER('T12 Analytics'!F150)),"⚪",IF('T12 Analytics'!F150&lt;0.05,"✅",IF('T12 Analytics'!F150&lt;0.08,"⚠️","❌"))),"⚪")</f>
        <v/>
      </c>
      <c r="H57" s="463">
        <f>IFERROR(IF(NOT(ISNUMBER('T12 Analytics'!F150)),"No data",IF('T12 Analytics'!F150&lt;0.05,"Schedule well-managed",IF('T12 Analytics'!F150&lt;0.08,"Elevated OT","Severe OT — understaffed"))),"")</f>
        <v/>
      </c>
      <c r="I57" s="453" t="n"/>
      <c r="J57" s="453" t="n"/>
      <c r="K57" s="453" t="n"/>
      <c r="L57" s="453" t="n"/>
      <c r="M57" s="458" t="n"/>
    </row>
    <row r="58" ht="21.95" customHeight="1" s="199">
      <c r="B58" s="452" t="inlineStr">
        <is>
          <t>Medicaid concentration</t>
        </is>
      </c>
      <c r="C58" s="453" t="n"/>
      <c r="D58" s="453" t="n"/>
      <c r="E58" s="454">
        <f>IFERROR(IF(ISNUMBER('Rent Roll Recon'!I41),'Rent Roll Recon'!I41,"—"),"—")</f>
        <v/>
      </c>
      <c r="F58" s="455" t="inlineStr">
        <is>
          <t>&lt; 20% of rev</t>
        </is>
      </c>
      <c r="G58" s="456">
        <f>IFERROR(IF(NOT(ISNUMBER('Rent Roll Recon'!I41)),"⚪",IF('Rent Roll Recon'!I41&lt;0.2,"✅",IF('Rent Roll Recon'!I41&lt;0.35,"⚠️","❌"))),"⚪")</f>
        <v/>
      </c>
      <c r="H58" s="457">
        <f>IFERROR(IF(NOT(ISNUMBER('Rent Roll Recon'!I41)),"No data",IF('Rent Roll Recon'!I41&lt;0.2,"Private-pay dominant",IF('Rent Roll Recon'!I41&lt;0.35,"Material reimbursement risk","Heavy reimbursement exposure"))),"")</f>
        <v/>
      </c>
      <c r="I58" s="453" t="n"/>
      <c r="J58" s="453" t="n"/>
      <c r="K58" s="453" t="n"/>
      <c r="L58" s="453" t="n"/>
      <c r="M58" s="458" t="n"/>
    </row>
    <row r="59" ht="21.95" customHeight="1" s="199">
      <c r="B59" s="459" t="inlineStr">
        <is>
          <t>Bad debt expense</t>
        </is>
      </c>
      <c r="C59" s="453" t="n"/>
      <c r="D59" s="453" t="n"/>
      <c r="E59" s="460">
        <f>IFERROR(IF(ISNUMBER('T12 Analytics'!F158),'T12 Analytics'!F158,"—"),"—")</f>
        <v/>
      </c>
      <c r="F59" s="461" t="inlineStr">
        <is>
          <t>&lt; 1% of rev</t>
        </is>
      </c>
      <c r="G59" s="462">
        <f>IFERROR(IF(NOT(ISNUMBER('T12 Analytics'!F158)),"⚪",IF('T12 Analytics'!F158&lt;0.01,"✅",IF('T12 Analytics'!F158&lt;0.025,"⚠️","❌"))),"⚪")</f>
        <v/>
      </c>
      <c r="H59" s="463">
        <f>IFERROR(IF(NOT(ISNUMBER('T12 Analytics'!F158)),"No data",IF('T12 Analytics'!F158&lt;0.01,"Strong collections",IF('T12 Analytics'!F158&lt;0.025,"Watch AR aging","Collections issue"))),"")</f>
        <v/>
      </c>
      <c r="I59" s="453" t="n"/>
      <c r="J59" s="453" t="n"/>
      <c r="K59" s="453" t="n"/>
      <c r="L59" s="453" t="n"/>
      <c r="M59" s="458" t="n"/>
    </row>
    <row r="60" ht="21.95" customHeight="1" s="199">
      <c r="B60" s="452" t="inlineStr">
        <is>
          <t>EBITDARM margin</t>
        </is>
      </c>
      <c r="C60" s="453" t="n"/>
      <c r="D60" s="453" t="n"/>
      <c r="E60" s="454">
        <f>IFERROR(IF(ISNUMBER('T12 Analytics'!F162),'T12 Analytics'!F162,"—"),"—")</f>
        <v/>
      </c>
      <c r="F60" s="455" t="inlineStr">
        <is>
          <t>≥ 25%</t>
        </is>
      </c>
      <c r="G60" s="456">
        <f>IFERROR(IF(NOT(ISNUMBER('T12 Analytics'!F162)),"⚪",IF('T12 Analytics'!F162&gt;=0.25,"✅",IF('T12 Analytics'!F162&gt;=0.18,"⚠️","❌"))),"⚪")</f>
        <v/>
      </c>
      <c r="H60" s="457">
        <f>IFERROR(IF(NOT(ISNUMBER('T12 Analytics'!F162)),"No data",IF('T12 Analytics'!F162&gt;=0.25,"Institutional-quality margin",IF('T12 Analytics'!F162&gt;=0.18,"Sub-institutional margin","Significant margin compression"))),"")</f>
        <v/>
      </c>
      <c r="I60" s="453" t="n"/>
      <c r="J60" s="453" t="n"/>
      <c r="K60" s="453" t="n"/>
      <c r="L60" s="453" t="n"/>
      <c r="M60" s="458" t="n"/>
    </row>
    <row r="61" ht="21.95" customHeight="1" s="199">
      <c r="B61" s="459" t="inlineStr">
        <is>
          <t>Going-in cap rate vs market</t>
        </is>
      </c>
      <c r="C61" s="453" t="n"/>
      <c r="D61" s="453" t="n"/>
      <c r="E61" s="464">
        <f>IFERROR(IF(ISNUMBER('T12 Analytics'!F118),'T12 Analytics'!F118,"—"),"—")</f>
        <v/>
      </c>
      <c r="F61" s="461" t="inlineStr">
        <is>
          <t>≥ 6.5%</t>
        </is>
      </c>
      <c r="G61" s="462">
        <f>IFERROR(IF(NOT(ISNUMBER('T12 Analytics'!F118)),"⚪",IF('T12 Analytics'!F118&gt;=0.065,"✅",IF('T12 Analytics'!F118&gt;=0.055,"⚠️","❌"))),"⚪")</f>
        <v/>
      </c>
      <c r="H61" s="463">
        <f>IFERROR(IF(NOT(ISNUMBER('T12 Analytics'!F118)),"No data",IF('T12 Analytics'!F118&gt;=0.065,"Wide of 6.2% market avg",IF('T12 Analytics'!F118&gt;=0.055,"In line with market","Tight pricing — reaching"))),"")</f>
        <v/>
      </c>
      <c r="I61" s="453" t="n"/>
      <c r="J61" s="453" t="n"/>
      <c r="K61" s="453" t="n"/>
      <c r="L61" s="453" t="n"/>
      <c r="M61" s="458" t="n"/>
    </row>
    <row r="62" ht="21.95" customHeight="1" s="199">
      <c r="B62" s="465" t="inlineStr">
        <is>
          <t>Loss to lease</t>
        </is>
      </c>
      <c r="C62" s="466" t="n"/>
      <c r="D62" s="466" t="n"/>
      <c r="E62" s="467">
        <f>IFERROR(IF(ISNUMBER('T12 Analytics'!F41),IFERROR('T12 Analytics'!F41/'T12 Analytics'!F37,0),"—"),"—")</f>
        <v/>
      </c>
      <c r="F62" s="468" t="inlineStr">
        <is>
          <t>&lt; 5% of GPR</t>
        </is>
      </c>
      <c r="G62" s="469">
        <f>IFERROR(IF(NOT(ISNUMBER('T12 Analytics'!F41)),"⚪",IF(IFERROR('T12 Analytics'!F41/'T12 Analytics'!F37,0)&lt;0.05,"✅",IF(IFERROR('T12 Analytics'!F41/'T12 Analytics'!F37,0)&lt;0.1,"⚠️","❌"))),"⚪")</f>
        <v/>
      </c>
      <c r="H62" s="470">
        <f>IFERROR(IF(NOT(ISNUMBER('T12 Analytics'!F41)),"No data",IF(IFERROR('T12 Analytics'!F41/'T12 Analytics'!F37,0)&lt;0.05,"Rate near market",IF(IFERROR('T12 Analytics'!F41/'T12 Analytics'!F37,0)&lt;0.1,"Mark-to-market upside","Material rate compression"))),"")</f>
        <v/>
      </c>
      <c r="I62" s="466" t="n"/>
      <c r="J62" s="466" t="n"/>
      <c r="K62" s="466" t="n"/>
      <c r="L62" s="466" t="n"/>
      <c r="M62" s="471" t="n"/>
    </row>
    <row r="64" ht="15.75" customHeight="1" s="199">
      <c r="B64" s="472" t="inlineStr">
        <is>
          <t>CAPACITY &amp; OCCUPANCY — IL / AL / MC</t>
        </is>
      </c>
      <c r="H64" s="472" t="inlineStr">
        <is>
          <t>REVENUE QUALITY — ADR, RevPOR &amp; ACUITY</t>
        </is>
      </c>
    </row>
    <row r="65">
      <c r="B65" s="473" t="n"/>
      <c r="C65" s="473" t="n"/>
      <c r="D65" s="473" t="n"/>
      <c r="E65" s="473" t="n"/>
      <c r="F65" s="473" t="n"/>
      <c r="H65" s="473" t="n"/>
      <c r="I65" s="473" t="n"/>
      <c r="J65" s="473" t="n"/>
      <c r="K65" s="473" t="n"/>
      <c r="L65" s="473" t="n"/>
    </row>
    <row r="66">
      <c r="B66" s="474" t="inlineStr">
        <is>
          <t>Care Type</t>
        </is>
      </c>
      <c r="C66" s="475" t="inlineStr">
        <is>
          <t>Licensed</t>
        </is>
      </c>
      <c r="D66" s="475" t="inlineStr">
        <is>
          <t>Occupied</t>
        </is>
      </c>
      <c r="E66" s="475" t="inlineStr">
        <is>
          <t>Occ %</t>
        </is>
      </c>
      <c r="F66" s="476" t="inlineStr">
        <is>
          <t>Target</t>
        </is>
      </c>
      <c r="H66" s="474" t="inlineStr">
        <is>
          <t>Metric</t>
        </is>
      </c>
      <c r="I66" s="475" t="inlineStr">
        <is>
          <t>IL</t>
        </is>
      </c>
      <c r="J66" s="475" t="inlineStr">
        <is>
          <t>AL</t>
        </is>
      </c>
      <c r="K66" s="475" t="inlineStr">
        <is>
          <t>MC</t>
        </is>
      </c>
      <c r="L66" s="476" t="inlineStr">
        <is>
          <t>Blended</t>
        </is>
      </c>
    </row>
    <row r="67">
      <c r="B67" s="477" t="inlineStr">
        <is>
          <t>Independent Living</t>
        </is>
      </c>
      <c r="C67" s="478">
        <f>IFERROR(IF(ISNUMBER('T12 Analytics'!B6),'T12 Analytics'!B6,"—"),"—")</f>
        <v/>
      </c>
      <c r="D67" s="478">
        <f>IFERROR(IF(ISNUMBER('T12 Analytics'!B11),'T12 Analytics'!B11,"—"),"—")</f>
        <v/>
      </c>
      <c r="E67" s="479">
        <f>IFERROR(IF(AND(ISNUMBER(C67),ISNUMBER(D67),C67&gt;0),D67/C67,"—"),"—")</f>
        <v/>
      </c>
      <c r="F67" s="480" t="inlineStr">
        <is>
          <t>90%+</t>
        </is>
      </c>
      <c r="H67" s="477" t="inlineStr">
        <is>
          <t>ADR ($/bed/mo)</t>
        </is>
      </c>
      <c r="I67" s="481">
        <f>IFERROR(IF(AND(ISNUMBER('T12 Analytics'!B16),ISNUMBER('T12 Analytics'!B11),'T12 Analytics'!B11&gt;0),'T12 Analytics'!B16/('T12 Analytics'!B11*12),"—"),"—")</f>
        <v/>
      </c>
      <c r="J67" s="481">
        <f>IFERROR(IF(AND(ISNUMBER('T12 Analytics'!C16),ISNUMBER('T12 Analytics'!C11),'T12 Analytics'!C11&gt;0),'T12 Analytics'!C16/('T12 Analytics'!C11*12),"—"),"—")</f>
        <v/>
      </c>
      <c r="K67" s="481">
        <f>IFERROR(IF(AND(ISNUMBER('T12 Analytics'!D16),ISNUMBER('T12 Analytics'!D11),'T12 Analytics'!D11&gt;0),'T12 Analytics'!D16/('T12 Analytics'!D11*12),"—"),"—")</f>
        <v/>
      </c>
      <c r="L67" s="482">
        <f>IFERROR(IF(AND(ISNUMBER('T12 Analytics'!E16),ISNUMBER('T12 Analytics'!E11),'T12 Analytics'!E11&gt;0),'T12 Analytics'!E16/('T12 Analytics'!E11*12),"—"),"—")</f>
        <v/>
      </c>
    </row>
    <row r="68">
      <c r="B68" s="483" t="inlineStr">
        <is>
          <t>Assisted Living</t>
        </is>
      </c>
      <c r="C68" s="484">
        <f>IFERROR(IF(ISNUMBER('T12 Analytics'!C6),'T12 Analytics'!C6,"—"),"—")</f>
        <v/>
      </c>
      <c r="D68" s="484">
        <f>IFERROR(IF(ISNUMBER('T12 Analytics'!C11),'T12 Analytics'!C11,"—"),"—")</f>
        <v/>
      </c>
      <c r="E68" s="485">
        <f>IFERROR(IF(AND(ISNUMBER(C68),ISNUMBER(D68),C68&gt;0),D68/C68,"—"),"—")</f>
        <v/>
      </c>
      <c r="F68" s="486" t="inlineStr">
        <is>
          <t>87–92%</t>
        </is>
      </c>
      <c r="H68" s="483" t="inlineStr">
        <is>
          <t>RevPOR (base + LOC)</t>
        </is>
      </c>
      <c r="I68" s="487">
        <f>IFERROR(IF(AND(ISNUMBER('T12 Analytics'!B16),ISNUMBER('T12 Analytics'!B11),'T12 Analytics'!B11&gt;0),('T12 Analytics'!B16+IFERROR('T12 Analytics'!B23,0))/('T12 Analytics'!B11*12),"—"),"—")</f>
        <v/>
      </c>
      <c r="J68" s="487">
        <f>IFERROR(IF(AND(ISNUMBER('T12 Analytics'!C16),ISNUMBER('T12 Analytics'!C11),'T12 Analytics'!C11&gt;0),('T12 Analytics'!C16+IFERROR('T12 Analytics'!C23,0))/('T12 Analytics'!C11*12),"—"),"—")</f>
        <v/>
      </c>
      <c r="K68" s="487">
        <f>IFERROR(IF(AND(ISNUMBER('T12 Analytics'!D16),ISNUMBER('T12 Analytics'!D11),'T12 Analytics'!D11&gt;0),('T12 Analytics'!D16+IFERROR('T12 Analytics'!D23,0))/('T12 Analytics'!D11*12),"—"),"—")</f>
        <v/>
      </c>
      <c r="L68" s="488">
        <f>IFERROR(IF(AND(ISNUMBER('T12 Analytics'!E16),ISNUMBER('T12 Analytics'!E11),'T12 Analytics'!E11&gt;0),('T12 Analytics'!E16+IFERROR('T12 Analytics'!E23,0))/('T12 Analytics'!E11*12),"—"),"—")</f>
        <v/>
      </c>
    </row>
    <row r="69">
      <c r="B69" s="477" t="inlineStr">
        <is>
          <t>Memory Care</t>
        </is>
      </c>
      <c r="C69" s="478">
        <f>IFERROR(IF(ISNUMBER('T12 Analytics'!D6),'T12 Analytics'!D6,"—"),"—")</f>
        <v/>
      </c>
      <c r="D69" s="478">
        <f>IFERROR(IF(ISNUMBER('T12 Analytics'!D11),'T12 Analytics'!D11,"—"),"—")</f>
        <v/>
      </c>
      <c r="E69" s="479">
        <f>IFERROR(IF(AND(ISNUMBER(C69),ISNUMBER(D69),C69&gt;0),D69/C69,"—"),"—")</f>
        <v/>
      </c>
      <c r="F69" s="480" t="inlineStr">
        <is>
          <t>85–90%</t>
        </is>
      </c>
      <c r="H69" s="477" t="inlineStr">
        <is>
          <t>LOC as % of base rent</t>
        </is>
      </c>
      <c r="I69" s="479">
        <f>IFERROR(IF(AND(ISNUMBER('T12 Analytics'!B23),ISNUMBER('T12 Analytics'!B16),'T12 Analytics'!B16&lt;&gt;0),'T12 Analytics'!B23/'T12 Analytics'!B16,"—"),"—")</f>
        <v/>
      </c>
      <c r="J69" s="479">
        <f>IFERROR(IF(AND(ISNUMBER('T12 Analytics'!C23),ISNUMBER('T12 Analytics'!C16),'T12 Analytics'!C16&lt;&gt;0),'T12 Analytics'!C23/'T12 Analytics'!C16,"—"),"—")</f>
        <v/>
      </c>
      <c r="K69" s="479">
        <f>IFERROR(IF(AND(ISNUMBER('T12 Analytics'!D23),ISNUMBER('T12 Analytics'!D16),'T12 Analytics'!D16&lt;&gt;0),'T12 Analytics'!D23/'T12 Analytics'!D16,"—"),"—")</f>
        <v/>
      </c>
      <c r="L69" s="489">
        <f>IFERROR(IF(AND(ISNUMBER('T12 Analytics'!E23),ISNUMBER('T12 Analytics'!E16),'T12 Analytics'!E16&lt;&gt;0),'T12 Analytics'!E23/'T12 Analytics'!E16,"—"),"—")</f>
        <v/>
      </c>
    </row>
    <row r="70">
      <c r="B70" s="490" t="inlineStr">
        <is>
          <t>Blended</t>
        </is>
      </c>
      <c r="C70" s="491">
        <f>IFERROR(IF(ISNUMBER('T12 Analytics'!E6),'T12 Analytics'!E6,"—"),"—")</f>
        <v/>
      </c>
      <c r="D70" s="491">
        <f>IFERROR(IF(ISNUMBER('T12 Analytics'!E11),'T12 Analytics'!E11,"—"),"—")</f>
        <v/>
      </c>
      <c r="E70" s="492">
        <f>IFERROR(IF(AND(ISNUMBER(C70),ISNUMBER(D70),C70&gt;0),D70/C70,"—"),"—")</f>
        <v/>
      </c>
      <c r="F70" s="493" t="inlineStr">
        <is>
          <t>—</t>
        </is>
      </c>
      <c r="H70" s="490" t="inlineStr">
        <is>
          <t>EGI / occupied bed / mo</t>
        </is>
      </c>
      <c r="I70" s="494" t="inlineStr">
        <is>
          <t>—</t>
        </is>
      </c>
      <c r="J70" s="494" t="inlineStr">
        <is>
          <t>—</t>
        </is>
      </c>
      <c r="K70" s="494" t="inlineStr">
        <is>
          <t>—</t>
        </is>
      </c>
      <c r="L70" s="495">
        <f>IFERROR(IF(AND(ISNUMBER('T12 Analytics'!F52),ISNUMBER('T12 Analytics'!E11),'T12 Analytics'!E11&gt;0),'T12 Analytics'!F52/('T12 Analytics'!E11*12),"—"),"—")</f>
        <v/>
      </c>
    </row>
    <row r="71">
      <c r="B71" s="473" t="n"/>
      <c r="C71" s="473" t="n"/>
      <c r="D71" s="473" t="n"/>
      <c r="E71" s="473" t="n"/>
      <c r="F71" s="473" t="n"/>
      <c r="G71" s="473" t="n"/>
      <c r="H71" s="473" t="n"/>
      <c r="I71" s="473" t="n"/>
      <c r="J71" s="473" t="n"/>
      <c r="K71" s="473" t="n"/>
      <c r="L71" s="473" t="n"/>
    </row>
    <row r="72" ht="15.75" customHeight="1" s="199">
      <c r="B72" s="472" t="inlineStr">
        <is>
          <t>OPERATING MARGIN — T12 vs. INSTITUTIONAL BENCHMARK</t>
        </is>
      </c>
      <c r="H72" s="472" t="inlineStr">
        <is>
          <t>VALUATION — CAP RATE &amp; PER-BED PRICING</t>
        </is>
      </c>
    </row>
    <row r="73">
      <c r="B73" s="473" t="n"/>
      <c r="C73" s="473" t="n"/>
      <c r="D73" s="473" t="n"/>
      <c r="E73" s="473" t="n"/>
      <c r="F73" s="473" t="n"/>
      <c r="H73" s="473" t="n"/>
      <c r="I73" s="473" t="n"/>
      <c r="J73" s="473" t="n"/>
      <c r="K73" s="473" t="n"/>
    </row>
    <row r="74">
      <c r="B74" s="474" t="inlineStr">
        <is>
          <t>Line item</t>
        </is>
      </c>
      <c r="C74" s="475" t="inlineStr">
        <is>
          <t>T12 $</t>
        </is>
      </c>
      <c r="D74" s="475" t="inlineStr">
        <is>
          <t>% EGI</t>
        </is>
      </c>
      <c r="E74" s="475" t="inlineStr">
        <is>
          <t>Benchmark</t>
        </is>
      </c>
      <c r="F74" s="496" t="inlineStr">
        <is>
          <t>Status</t>
        </is>
      </c>
      <c r="H74" s="474" t="inlineStr">
        <is>
          <t>Metric</t>
        </is>
      </c>
      <c r="I74" s="475" t="inlineStr">
        <is>
          <t>T12 Actual</t>
        </is>
      </c>
      <c r="J74" s="475" t="n"/>
      <c r="K74" s="476" t="inlineStr">
        <is>
          <t>Normalized</t>
        </is>
      </c>
    </row>
    <row r="75">
      <c r="B75" s="497" t="inlineStr">
        <is>
          <t>Effective Gross Income</t>
        </is>
      </c>
      <c r="C75" s="498">
        <f>IFERROR(IF(ISNUMBER('T12 Analytics'!F52),'T12 Analytics'!F52,"—"),"—")</f>
        <v/>
      </c>
      <c r="D75" s="499" t="n">
        <v>1</v>
      </c>
      <c r="E75" s="500" t="n">
        <v>1</v>
      </c>
      <c r="F75" s="501" t="n"/>
      <c r="H75" s="477" t="inlineStr">
        <is>
          <t>Purchase price (input)</t>
        </is>
      </c>
      <c r="I75" s="481">
        <f>IFERROR(IF(ISNUMBER('T12 Analytics'!F117),'T12 Analytics'!F117,"—"),"—")</f>
        <v/>
      </c>
      <c r="J75" s="473" t="n"/>
      <c r="K75" s="482">
        <f>IFERROR(IF(ISNUMBER('T12 Analytics'!F117),'T12 Analytics'!F117,"—"),"—")</f>
        <v/>
      </c>
    </row>
    <row r="76">
      <c r="B76" s="483" t="inlineStr">
        <is>
          <t>Labor &amp; burden</t>
        </is>
      </c>
      <c r="C76" s="487">
        <f>IFERROR(IF(ISNUMBER('T12 Analytics'!F76),'T12 Analytics'!F76,"—"),"—")</f>
        <v/>
      </c>
      <c r="D76" s="485">
        <f>IFERROR(IF(AND(ISNUMBER(C76),ISNUMBER($C$75),$C$75&lt;&gt;0),C76/$C$75,"—"),"—")</f>
        <v/>
      </c>
      <c r="E76" s="502" t="inlineStr">
        <is>
          <t>55–65%</t>
        </is>
      </c>
      <c r="F76" s="503">
        <f>IF(NOT(ISNUMBER(D76)),"—",IF(D76=0,"—",IF(D76&gt;0.65,"⚠ HIGH",IF(D76&lt;0.55,"✓ LOW","✓ OK"))))</f>
        <v/>
      </c>
      <c r="H76" s="483" t="inlineStr">
        <is>
          <t>Going-in cap (EBITDARM)</t>
        </is>
      </c>
      <c r="I76" s="504">
        <f>IFERROR(IF(AND(ISNUMBER('T12 Analytics'!F161),ISNUMBER('T12 Analytics'!F117),'T12 Analytics'!F117&lt;&gt;0),'T12 Analytics'!F161/'T12 Analytics'!F117,"—"),"—")</f>
        <v/>
      </c>
      <c r="J76" s="505" t="n"/>
      <c r="K76" s="506">
        <f>IFERROR(IF(AND(ISNUMBER('T12 Analytics'!F161),ISNUMBER('T12 Analytics'!F117),'T12 Analytics'!F117&lt;&gt;0),'T12 Analytics'!F161/'T12 Analytics'!F117,"—"),"—")</f>
        <v/>
      </c>
    </row>
    <row r="77">
      <c r="B77" s="477" t="inlineStr">
        <is>
          <t>Non-labor opex</t>
        </is>
      </c>
      <c r="C77" s="481">
        <f>IFERROR(IF(ISNUMBER('T12 Analytics'!F103),'T12 Analytics'!F103,"—"),"—")</f>
        <v/>
      </c>
      <c r="D77" s="479">
        <f>IFERROR(IF(AND(ISNUMBER(C77),ISNUMBER($C$75),$C$75&lt;&gt;0),C77/$C$75,"—"),"—")</f>
        <v/>
      </c>
      <c r="E77" s="507" t="inlineStr">
        <is>
          <t>25–35%</t>
        </is>
      </c>
      <c r="F77" s="508">
        <f>IF(NOT(ISNUMBER(D77)),"—",IF(D77=0,"—",IF(D77&gt;0.35,"⚠ HIGH",IF(D77&lt;0.25,"✓ LOW","✓ OK"))))</f>
        <v/>
      </c>
      <c r="H77" s="477" t="inlineStr">
        <is>
          <t>Going-in cap (EBITDAR)</t>
        </is>
      </c>
      <c r="I77" s="509">
        <f>IFERROR(IF(AND(ISNUMBER('T12 Analytics'!F163),ISNUMBER('T12 Analytics'!F117),'T12 Analytics'!F117&lt;&gt;0),'T12 Analytics'!F163/'T12 Analytics'!F117,"—"),"—")</f>
        <v/>
      </c>
      <c r="J77" s="473" t="n"/>
      <c r="K77" s="510">
        <f>IFERROR(IF(AND(ISNUMBER('T12 Analytics'!F163),ISNUMBER('T12 Analytics'!F117),'T12 Analytics'!F117&lt;&gt;0),'T12 Analytics'!F163/'T12 Analytics'!F117,"—"),"—")</f>
        <v/>
      </c>
    </row>
    <row r="78">
      <c r="B78" s="511" t="inlineStr">
        <is>
          <t>EBITDARM (NOI)</t>
        </is>
      </c>
      <c r="C78" s="512">
        <f>IFERROR(IF(ISNUMBER('T12 Analytics'!F161),'T12 Analytics'!F161,"—"),"—")</f>
        <v/>
      </c>
      <c r="D78" s="513">
        <f>IFERROR(IF(AND(ISNUMBER(C78),ISNUMBER($C$75),$C$75&lt;&gt;0),C78/$C$75,"—"),"—")</f>
        <v/>
      </c>
      <c r="E78" s="514" t="inlineStr">
        <is>
          <t>20–30%+</t>
        </is>
      </c>
      <c r="F78" s="515">
        <f>IF(NOT(ISNUMBER(D78)),"—",IF(D78=0,"—",IF(D78&lt;0.2,"⚠ LOW",IF(D78&gt;0.3,"✓ STRONG","✓ OK"))))</f>
        <v/>
      </c>
      <c r="H78" s="483" t="inlineStr">
        <is>
          <t>Price / licensed bed</t>
        </is>
      </c>
      <c r="I78" s="487">
        <f>IFERROR(IF(AND(ISNUMBER('T12 Analytics'!F117),ISNUMBER('T12 Analytics'!E6),'T12 Analytics'!E6&gt;0),'T12 Analytics'!F117/'T12 Analytics'!E6,"—"),"—")</f>
        <v/>
      </c>
      <c r="J78" s="505" t="n"/>
      <c r="K78" s="488">
        <f>IFERROR(IF(AND(ISNUMBER('T12 Analytics'!F117),ISNUMBER('T12 Analytics'!E6),'T12 Analytics'!E6&gt;0),'T12 Analytics'!F117/'T12 Analytics'!E6,"—"),"—")</f>
        <v/>
      </c>
    </row>
    <row r="79">
      <c r="B79" s="516" t="inlineStr">
        <is>
          <t>EBITDAR (after mgmt fee)</t>
        </is>
      </c>
      <c r="C79" s="517">
        <f>IFERROR(IF(ISNUMBER('T12 Analytics'!F163),'T12 Analytics'!F163,"—"),"—")</f>
        <v/>
      </c>
      <c r="D79" s="518">
        <f>IFERROR(IF(AND(ISNUMBER(C79),ISNUMBER($C$75),$C$75&lt;&gt;0),C79/$C$75,"—"),"—")</f>
        <v/>
      </c>
      <c r="E79" s="519" t="inlineStr">
        <is>
          <t>15–25%+</t>
        </is>
      </c>
      <c r="F79" s="520">
        <f>IF(NOT(ISNUMBER(D79)),"—",IF(D79=0,"—",IF(D79&lt;0.15,"⚠ LOW",IF(D79&gt;0.25,"✓ STRONG","✓ OK"))))</f>
        <v/>
      </c>
      <c r="H79" s="521" t="inlineStr">
        <is>
          <t>EBITDARM multiple</t>
        </is>
      </c>
      <c r="I79" s="522">
        <f>IFERROR(IF(AND(ISNUMBER('T12 Analytics'!F117),ISNUMBER('T12 Analytics'!F161),'T12 Analytics'!F161&lt;&gt;0),'T12 Analytics'!F117/'T12 Analytics'!F161,"—"),"—")</f>
        <v/>
      </c>
      <c r="J79" s="523" t="n"/>
      <c r="K79" s="524">
        <f>IFERROR(IF(AND(ISNUMBER('T12 Analytics'!F117),ISNUMBER('T12 Analytics'!F161),'T12 Analytics'!F161&lt;&gt;0),'T12 Analytics'!F117/'T12 Analytics'!F161,"—"),"—")</f>
        <v/>
      </c>
    </row>
    <row r="80">
      <c r="B80" s="473" t="n"/>
      <c r="C80" s="473" t="n"/>
      <c r="D80" s="473" t="n"/>
      <c r="E80" s="473" t="n"/>
      <c r="F80" s="473" t="n"/>
      <c r="G80" s="473" t="n"/>
      <c r="H80" s="473" t="n"/>
      <c r="I80" s="473" t="n"/>
      <c r="J80" s="473" t="n"/>
      <c r="K80" s="473" t="n"/>
      <c r="L80" s="473" t="n"/>
    </row>
    <row r="81" ht="15.75" customHeight="1" s="199">
      <c r="B81" s="472" t="inlineStr">
        <is>
          <t>INSTITUTIONAL RISK CHECKLIST — ADDITIONAL CHECKS</t>
        </is>
      </c>
    </row>
    <row r="82">
      <c r="B82" s="473" t="n"/>
      <c r="C82" s="473" t="n"/>
      <c r="D82" s="473" t="n"/>
      <c r="E82" s="473" t="n"/>
      <c r="F82" s="473" t="n"/>
      <c r="G82" s="473" t="n"/>
    </row>
    <row r="83">
      <c r="B83" s="474" t="inlineStr">
        <is>
          <t>Risk factor</t>
        </is>
      </c>
      <c r="C83" s="525" t="n"/>
      <c r="D83" s="525" t="n"/>
      <c r="E83" s="526" t="inlineStr">
        <is>
          <t>Reading</t>
        </is>
      </c>
      <c r="F83" s="526" t="inlineStr">
        <is>
          <t>Threshold</t>
        </is>
      </c>
      <c r="G83" s="496" t="inlineStr">
        <is>
          <t>Flag</t>
        </is>
      </c>
    </row>
    <row r="84" ht="18.75" customHeight="1" s="199">
      <c r="B84" s="527" t="inlineStr">
        <is>
          <t>RR vs T12 revenue gap</t>
        </is>
      </c>
      <c r="C84" s="528" t="inlineStr">
        <is>
          <t>Material variance between rent roll annualized revenue and T12 actual indicates restatement risk.</t>
        </is>
      </c>
      <c r="D84" s="529" t="n"/>
      <c r="E84" s="530">
        <f>IFERROR(IF(AND(ISNUMBER('Rent Roll Recon'!E18),ISNUMBER('Rent Roll Recon'!E19),'Rent Roll Recon'!E19&lt;&gt;0),'Rent Roll Recon'!E18/'Rent Roll Recon'!E19,"—"),"—")</f>
        <v/>
      </c>
      <c r="F84" s="531" t="inlineStr">
        <is>
          <t>≤ ±3%</t>
        </is>
      </c>
      <c r="G84" s="532">
        <f>IF(NOT(ISNUMBER(E84)),"⚪",IF(ABS(E84)&lt;=0.03,"✅",IF(ABS(E84)&lt;=0.05,"⚠️","❌")))</f>
        <v/>
      </c>
    </row>
    <row r="85">
      <c r="B85" s="473" t="n"/>
      <c r="C85" s="473" t="n"/>
      <c r="D85" s="473" t="n"/>
      <c r="E85" s="473" t="n"/>
      <c r="F85" s="473" t="n"/>
      <c r="G85" s="473" t="n"/>
      <c r="H85" s="473" t="n"/>
      <c r="I85" s="473" t="n"/>
      <c r="J85" s="473" t="n"/>
      <c r="K85" s="473" t="n"/>
      <c r="L85" s="473" t="n"/>
    </row>
    <row r="86" ht="15.75" customHeight="1" s="199">
      <c r="B86" s="533" t="inlineStr">
        <is>
          <t>CHARTS — OCCUPANCY, MONTHLY EGI, PAYER MIX, P&amp;L WATERFALL</t>
        </is>
      </c>
      <c r="C86" s="533" t="n"/>
      <c r="D86" s="533" t="n"/>
      <c r="E86" s="533" t="n"/>
      <c r="F86" s="533" t="n"/>
      <c r="G86" s="533" t="n"/>
      <c r="H86" s="533" t="n"/>
      <c r="I86" s="533" t="n"/>
      <c r="J86" s="533" t="n"/>
      <c r="K86" s="533" t="n"/>
      <c r="L86" s="533" t="n"/>
      <c r="M86" s="533" t="n"/>
    </row>
    <row r="87">
      <c r="B87" s="473" t="n"/>
      <c r="C87" s="473" t="n"/>
      <c r="D87" s="473" t="n"/>
      <c r="E87" s="473" t="n"/>
      <c r="F87" s="473" t="n"/>
      <c r="G87" s="473" t="n"/>
      <c r="H87" s="473" t="n"/>
      <c r="I87" s="473" t="n"/>
      <c r="J87" s="473" t="n"/>
      <c r="K87" s="473" t="n"/>
      <c r="L87" s="473" t="n"/>
      <c r="M87" s="473" t="n"/>
    </row>
    <row r="88">
      <c r="B88" s="534" t="inlineStr">
        <is>
          <t>Chart 1 — Occupancy by Unit Type</t>
        </is>
      </c>
      <c r="C88" s="369" t="n"/>
      <c r="E88" s="534" t="inlineStr">
        <is>
          <t>Chart 3 — Payer Mix (Revenue Share)</t>
        </is>
      </c>
      <c r="F88" s="369" t="n"/>
    </row>
    <row r="89">
      <c r="B89" s="535" t="inlineStr">
        <is>
          <t>Unit Type</t>
        </is>
      </c>
      <c r="C89" s="536" t="inlineStr">
        <is>
          <t>Occupancy</t>
        </is>
      </c>
      <c r="E89" s="535" t="inlineStr">
        <is>
          <t>Payer</t>
        </is>
      </c>
      <c r="F89" s="536" t="inlineStr">
        <is>
          <t>Share</t>
        </is>
      </c>
    </row>
    <row r="90">
      <c r="B90" s="477" t="inlineStr">
        <is>
          <t>Independent Living</t>
        </is>
      </c>
      <c r="C90" s="489">
        <f>IFERROR(IF(AND(ISNUMBER('T12 Analytics'!B6),ISNUMBER('T12 Analytics'!B11),'T12 Analytics'!B6&gt;0),'T12 Analytics'!B11/'T12 Analytics'!B6,0),0)</f>
        <v/>
      </c>
      <c r="E90" s="477" t="inlineStr">
        <is>
          <t>Private Pay</t>
        </is>
      </c>
      <c r="F90" s="489">
        <f>IFERROR(IF(ISNUMBER('Rent Roll Recon'!B40),'Rent Roll Recon'!B40,0),0)</f>
        <v/>
      </c>
    </row>
    <row r="91">
      <c r="B91" s="483" t="inlineStr">
        <is>
          <t>Assisted Living</t>
        </is>
      </c>
      <c r="C91" s="537">
        <f>IFERROR(IF(AND(ISNUMBER('T12 Analytics'!C6),ISNUMBER('T12 Analytics'!C11),'T12 Analytics'!C6&gt;0),'T12 Analytics'!C11/'T12 Analytics'!C6,0),0)</f>
        <v/>
      </c>
      <c r="E91" s="483" t="inlineStr">
        <is>
          <t>Medicaid</t>
        </is>
      </c>
      <c r="F91" s="537">
        <f>IFERROR(IF(ISNUMBER('Rent Roll Recon'!B41),'Rent Roll Recon'!B41,0),0)</f>
        <v/>
      </c>
    </row>
    <row r="92">
      <c r="B92" s="477" t="inlineStr">
        <is>
          <t>Memory Care</t>
        </is>
      </c>
      <c r="C92" s="489">
        <f>IFERROR(IF(AND(ISNUMBER('T12 Analytics'!D6),ISNUMBER('T12 Analytics'!D11),'T12 Analytics'!D6&gt;0),'T12 Analytics'!D11/'T12 Analytics'!D6,0),0)</f>
        <v/>
      </c>
      <c r="E92" s="477" t="inlineStr">
        <is>
          <t>LTC Insurance</t>
        </is>
      </c>
      <c r="F92" s="489">
        <f>IFERROR(IF(ISNUMBER('Rent Roll Recon'!B42),'Rent Roll Recon'!B42,0),0)</f>
        <v/>
      </c>
    </row>
    <row r="93">
      <c r="B93" s="527" t="inlineStr">
        <is>
          <t>Blended</t>
        </is>
      </c>
      <c r="C93" s="538">
        <f>IFERROR(IF(AND(ISNUMBER('T12 Analytics'!E6),ISNUMBER('T12 Analytics'!E11),'T12 Analytics'!E6&gt;0),'T12 Analytics'!E11/'T12 Analytics'!E6,0),0)</f>
        <v/>
      </c>
      <c r="E93" s="483" t="inlineStr">
        <is>
          <t>VA</t>
        </is>
      </c>
      <c r="F93" s="537">
        <f>IFERROR(IF(ISNUMBER('Rent Roll Recon'!B43),'Rent Roll Recon'!B43,0),0)</f>
        <v/>
      </c>
    </row>
    <row r="94">
      <c r="B94" s="473" t="n"/>
      <c r="C94" s="473" t="n"/>
      <c r="D94" s="473" t="n"/>
      <c r="E94" s="477" t="inlineStr">
        <is>
          <t>Managed Care</t>
        </is>
      </c>
      <c r="F94" s="489">
        <f>IFERROR(IF(ISNUMBER('Rent Roll Recon'!B44),'Rent Roll Recon'!B44,0),0)</f>
        <v/>
      </c>
    </row>
    <row r="95">
      <c r="B95" s="534" t="inlineStr">
        <is>
          <t>Chart 2 — Monthly EGI Trend</t>
        </is>
      </c>
      <c r="C95" s="369" t="n"/>
      <c r="E95" s="483" t="inlineStr">
        <is>
          <t>Self-Pay</t>
        </is>
      </c>
      <c r="F95" s="537">
        <f>IFERROR(IF(ISNUMBER('Rent Roll Recon'!B45),'Rent Roll Recon'!B45,0),0)</f>
        <v/>
      </c>
    </row>
    <row r="96">
      <c r="B96" s="535" t="inlineStr">
        <is>
          <t>Month</t>
        </is>
      </c>
      <c r="C96" s="536" t="inlineStr">
        <is>
          <t>EGI</t>
        </is>
      </c>
      <c r="E96" s="521" t="inlineStr">
        <is>
          <t>Other</t>
        </is>
      </c>
      <c r="F96" s="539">
        <f>IFERROR(IF(ISNUMBER('Rent Roll Recon'!B46),'Rent Roll Recon'!B46,0),0)</f>
        <v/>
      </c>
    </row>
    <row r="97">
      <c r="B97" s="477" t="inlineStr">
        <is>
          <t>M01</t>
        </is>
      </c>
      <c r="C97" s="482">
        <f>IFERROR('Monthly Trending'!B21,0)</f>
        <v/>
      </c>
      <c r="E97" s="473" t="n"/>
      <c r="F97" s="473" t="n"/>
    </row>
    <row r="98">
      <c r="B98" s="483" t="inlineStr">
        <is>
          <t>M02</t>
        </is>
      </c>
      <c r="C98" s="488">
        <f>IFERROR('Monthly Trending'!C21,0)</f>
        <v/>
      </c>
      <c r="E98" s="534" t="inlineStr">
        <is>
          <t>Chart 4 — P&amp;L Waterfall</t>
        </is>
      </c>
      <c r="F98" s="369" t="n"/>
    </row>
    <row r="99">
      <c r="B99" s="477" t="inlineStr">
        <is>
          <t>M03</t>
        </is>
      </c>
      <c r="C99" s="482">
        <f>IFERROR('Monthly Trending'!D21,0)</f>
        <v/>
      </c>
      <c r="E99" s="535" t="inlineStr">
        <is>
          <t>Line</t>
        </is>
      </c>
      <c r="F99" s="536" t="inlineStr">
        <is>
          <t>T12</t>
        </is>
      </c>
    </row>
    <row r="100">
      <c r="B100" s="483" t="inlineStr">
        <is>
          <t>M04</t>
        </is>
      </c>
      <c r="C100" s="488">
        <f>IFERROR('Monthly Trending'!E21,0)</f>
        <v/>
      </c>
      <c r="E100" s="477" t="inlineStr">
        <is>
          <t>EGI</t>
        </is>
      </c>
      <c r="F100" s="482">
        <f>IFERROR('T12 Analytics'!F52,0)</f>
        <v/>
      </c>
    </row>
    <row r="101">
      <c r="B101" s="477" t="inlineStr">
        <is>
          <t>M05</t>
        </is>
      </c>
      <c r="C101" s="482">
        <f>IFERROR('Monthly Trending'!F21,0)</f>
        <v/>
      </c>
      <c r="E101" s="483" t="inlineStr">
        <is>
          <t>Direct Labor</t>
        </is>
      </c>
      <c r="F101" s="488">
        <f>-IFERROR('T12 Analytics'!F65,0)</f>
        <v/>
      </c>
    </row>
    <row r="102">
      <c r="B102" s="483" t="inlineStr">
        <is>
          <t>M06</t>
        </is>
      </c>
      <c r="C102" s="488">
        <f>IFERROR('Monthly Trending'!G21,0)</f>
        <v/>
      </c>
      <c r="E102" s="477" t="inlineStr">
        <is>
          <t>Payroll Burden</t>
        </is>
      </c>
      <c r="F102" s="482">
        <f>-IFERROR('T12 Analytics'!F68+'T12 Analytics'!F69+'T12 Analytics'!F70,0)</f>
        <v/>
      </c>
    </row>
    <row r="103">
      <c r="B103" s="477" t="inlineStr">
        <is>
          <t>M07</t>
        </is>
      </c>
      <c r="C103" s="482">
        <f>IFERROR('Monthly Trending'!H21,0)</f>
        <v/>
      </c>
      <c r="E103" s="483" t="inlineStr">
        <is>
          <t>Non-Labor Opex</t>
        </is>
      </c>
      <c r="F103" s="488">
        <f>-IFERROR('T12 Analytics'!F103,0)</f>
        <v/>
      </c>
    </row>
    <row r="104">
      <c r="B104" s="483" t="inlineStr">
        <is>
          <t>M08</t>
        </is>
      </c>
      <c r="C104" s="488">
        <f>IFERROR('Monthly Trending'!I21,0)</f>
        <v/>
      </c>
      <c r="E104" s="477" t="inlineStr">
        <is>
          <t>Mgmt Fee</t>
        </is>
      </c>
      <c r="F104" s="482">
        <f>-IFERROR('T12 Analytics'!F106,0)</f>
        <v/>
      </c>
    </row>
    <row r="105">
      <c r="B105" s="477" t="inlineStr">
        <is>
          <t>M09</t>
        </is>
      </c>
      <c r="C105" s="482">
        <f>IFERROR('Monthly Trending'!J21,0)</f>
        <v/>
      </c>
      <c r="E105" s="540" t="inlineStr">
        <is>
          <t>EBITDAR</t>
        </is>
      </c>
      <c r="F105" s="541">
        <f>IFERROR('T12 Analytics'!F163,0)</f>
        <v/>
      </c>
    </row>
    <row r="106">
      <c r="B106" s="483" t="inlineStr">
        <is>
          <t>M10</t>
        </is>
      </c>
      <c r="C106" s="488">
        <f>IFERROR('Monthly Trending'!K21,0)</f>
        <v/>
      </c>
    </row>
    <row r="107">
      <c r="B107" s="477" t="inlineStr">
        <is>
          <t>M11</t>
        </is>
      </c>
      <c r="C107" s="482">
        <f>IFERROR('Monthly Trending'!L21,0)</f>
        <v/>
      </c>
    </row>
    <row r="108">
      <c r="B108" s="527" t="inlineStr">
        <is>
          <t>M12</t>
        </is>
      </c>
      <c r="C108" s="542">
        <f>IFERROR('Monthly Trending'!M21,0)</f>
        <v/>
      </c>
    </row>
  </sheetData>
  <mergeCells count="72">
    <mergeCell ref="H59:M59"/>
    <mergeCell ref="B2:M2"/>
    <mergeCell ref="E12:F12"/>
    <mergeCell ref="B60:D60"/>
    <mergeCell ref="B7:C7"/>
    <mergeCell ref="B61:D61"/>
    <mergeCell ref="H60:M60"/>
    <mergeCell ref="B57:D57"/>
    <mergeCell ref="B72:F72"/>
    <mergeCell ref="H72:K72"/>
    <mergeCell ref="E98:F98"/>
    <mergeCell ref="K5:L5"/>
    <mergeCell ref="H61:M61"/>
    <mergeCell ref="B31:C31"/>
    <mergeCell ref="E17:F17"/>
    <mergeCell ref="E88:F88"/>
    <mergeCell ref="E8:F8"/>
    <mergeCell ref="B12:C12"/>
    <mergeCell ref="H6:I6"/>
    <mergeCell ref="B11:C11"/>
    <mergeCell ref="H57:M57"/>
    <mergeCell ref="H28:M28"/>
    <mergeCell ref="H64:L64"/>
    <mergeCell ref="E13:F13"/>
    <mergeCell ref="B17:C17"/>
    <mergeCell ref="B88:C88"/>
    <mergeCell ref="B55:D55"/>
    <mergeCell ref="B8:C8"/>
    <mergeCell ref="H17:I17"/>
    <mergeCell ref="B13:C13"/>
    <mergeCell ref="H11:I11"/>
    <mergeCell ref="B15:M15"/>
    <mergeCell ref="E6:F6"/>
    <mergeCell ref="B29:C29"/>
    <mergeCell ref="H62:M62"/>
    <mergeCell ref="K8:L8"/>
    <mergeCell ref="H7:I7"/>
    <mergeCell ref="B34:C34"/>
    <mergeCell ref="B37:C37"/>
    <mergeCell ref="B28:F28"/>
    <mergeCell ref="E11:F11"/>
    <mergeCell ref="B26:M26"/>
    <mergeCell ref="B62:D62"/>
    <mergeCell ref="H13:I13"/>
    <mergeCell ref="B54:D54"/>
    <mergeCell ref="K17:L17"/>
    <mergeCell ref="H54:M54"/>
    <mergeCell ref="B59:D59"/>
    <mergeCell ref="K7:L7"/>
    <mergeCell ref="B30:C30"/>
    <mergeCell ref="B81:G81"/>
    <mergeCell ref="B33:C33"/>
    <mergeCell ref="H41:M41"/>
    <mergeCell ref="B3:M3"/>
    <mergeCell ref="B6:C6"/>
    <mergeCell ref="H55:M55"/>
    <mergeCell ref="E7:F7"/>
    <mergeCell ref="B95:C95"/>
    <mergeCell ref="B64:F64"/>
    <mergeCell ref="H12:I12"/>
    <mergeCell ref="B56:D56"/>
    <mergeCell ref="B58:D58"/>
    <mergeCell ref="B36:C36"/>
    <mergeCell ref="B32:C32"/>
    <mergeCell ref="H56:M56"/>
    <mergeCell ref="H8:I8"/>
    <mergeCell ref="K6:L6"/>
    <mergeCell ref="B52:M52"/>
    <mergeCell ref="H58:M58"/>
    <mergeCell ref="B35:C35"/>
    <mergeCell ref="B41:F41"/>
    <mergeCell ref="B39:M39"/>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Z170"/>
  <sheetViews>
    <sheetView zoomScaleNormal="100" workbookViewId="0">
      <pane xSplit="1" ySplit="4" topLeftCell="B5" activePane="bottomRight" state="frozen"/>
      <selection pane="topRight" activeCell="B1" sqref="B1"/>
      <selection pane="bottomLeft" activeCell="A7" sqref="A7"/>
      <selection pane="bottomRight" activeCell="B20" sqref="B20"/>
    </sheetView>
  </sheetViews>
  <sheetFormatPr baseColWidth="8" defaultColWidth="8.7109375" defaultRowHeight="15"/>
  <cols>
    <col width="67.140625" customWidth="1" style="199" min="1" max="1"/>
    <col width="14" customWidth="1" style="199" min="2" max="7"/>
    <col width="56.5703125" customWidth="1" style="199" min="8" max="8"/>
  </cols>
  <sheetData>
    <row r="1" ht="31.5" customHeight="1" s="199">
      <c r="A1" s="176" t="inlineStr">
        <is>
          <t>ALF T12 Analytics  —  Underwriting Supplement</t>
        </is>
      </c>
      <c r="AZ1" t="inlineStr">
        <is>
          <t>Per-Label T12 aggregation; main feed for UW Output</t>
        </is>
      </c>
    </row>
    <row r="2" ht="14.25" customHeight="1" s="199">
      <c r="A2" s="6" t="inlineStr">
        <is>
          <t>Property Name:</t>
        </is>
      </c>
      <c r="B2" s="7">
        <f>IFERROR(IF(LEN(TRIM('Rent Roll Input'!A3))&gt;0,'Rent Roll Input'!A3,IF(LEN(TRIM('T12 Input'!A10))&gt;0,'T12 Input'!A10,Property_Name)),Property_Name)</f>
        <v/>
      </c>
      <c r="D2" s="8" t="inlineStr">
        <is>
          <t>T12 Period Ending:</t>
        </is>
      </c>
      <c r="E2" s="211">
        <f>IFERROR(LOOKUP(2,1/('T12 Input'!$C$11:$N$11&lt;&gt;""),'T12 Input'!$C$11:$N$11),"")</f>
        <v/>
      </c>
      <c r="G2" s="8" t="inlineStr">
        <is>
          <t>Basis:</t>
        </is>
      </c>
      <c r="H2" s="171" t="inlineStr">
        <is>
          <t>ACCRUAL</t>
        </is>
      </c>
      <c r="AZ2" t="inlineStr">
        <is>
          <t>aggregator</t>
        </is>
      </c>
    </row>
    <row r="3" ht="14.25" customHeight="1" s="199">
      <c r="AZ3" t="inlineStr">
        <is>
          <t>visible</t>
        </is>
      </c>
    </row>
    <row r="4" ht="14.25" customHeight="1" s="199">
      <c r="A4" s="174" t="inlineStr">
        <is>
          <t>SECTION 1  ·  PROPERTY CAPACITY  —  IL / AL / MC</t>
        </is>
      </c>
      <c r="AZ4" t="inlineStr">
        <is>
          <t>v0.2.7</t>
        </is>
      </c>
    </row>
    <row r="5" ht="24" customHeight="1" s="199">
      <c r="A5" s="10" t="n"/>
      <c r="B5" s="10" t="inlineStr">
        <is>
          <t>Independent Living (IL)</t>
        </is>
      </c>
      <c r="C5" s="10" t="inlineStr">
        <is>
          <t>Assisted Living (AL)</t>
        </is>
      </c>
      <c r="D5" s="10" t="inlineStr">
        <is>
          <t>Memory Care (MC)</t>
        </is>
      </c>
      <c r="E5" s="10" t="inlineStr">
        <is>
          <t>Total</t>
        </is>
      </c>
      <c r="F5" s="10" t="n"/>
      <c r="G5" s="10" t="n"/>
      <c r="H5" s="10" t="inlineStr">
        <is>
          <t>Notes</t>
        </is>
      </c>
    </row>
    <row r="6" ht="14.25" customHeight="1" s="199">
      <c r="A6" s="11" t="inlineStr">
        <is>
          <t>Licensed beds  (total)</t>
        </is>
      </c>
      <c r="B6" s="12">
        <f>'Rent Roll Recon'!B7</f>
        <v/>
      </c>
      <c r="C6" s="12">
        <f>'Rent Roll Recon'!C7</f>
        <v/>
      </c>
      <c r="D6" s="12">
        <f>'Rent Roll Recon'!D7</f>
        <v/>
      </c>
      <c r="E6" s="13">
        <f>SUM(B6:D6)</f>
        <v/>
      </c>
      <c r="F6" s="200" t="n"/>
      <c r="G6" s="200" t="n"/>
      <c r="H6" s="15" t="inlineStr">
        <is>
          <t>Licensed / available beds per certificate</t>
        </is>
      </c>
    </row>
    <row r="7" ht="14.25" customHeight="1" s="199">
      <c r="A7" s="11" t="inlineStr">
        <is>
          <t>Avg occupied beds  (T12)</t>
        </is>
      </c>
      <c r="B7" s="16">
        <f>IFERROR(IF('Rent Roll Recon'!B34&gt;0,'Rent Roll Recon'!B34,0),0)</f>
        <v/>
      </c>
      <c r="C7" s="16">
        <f>IFERROR(IF('Rent Roll Recon'!C35&gt;0,'Rent Roll Recon'!C35,0),0)</f>
        <v/>
      </c>
      <c r="D7" s="16">
        <f>IFERROR(IF('Rent Roll Recon'!D36&gt;0,'Rent Roll Recon'!D36,0),0)</f>
        <v/>
      </c>
      <c r="E7" s="16">
        <f>SUM(B7:D7)</f>
        <v/>
      </c>
      <c r="F7" s="200" t="n"/>
      <c r="G7" s="200" t="n"/>
      <c r="H7" s="17" t="inlineStr">
        <is>
          <t>Auto-filled from Rent Roll Recon when period selected (Sections E). Override directly if needed.</t>
        </is>
      </c>
    </row>
    <row r="8" ht="14.25" customHeight="1" s="199">
      <c r="A8" s="11" t="inlineStr">
        <is>
          <t>Physical occupancy %  (T12)</t>
        </is>
      </c>
      <c r="B8" s="18">
        <f>IFERROR(B7/B6,"-")</f>
        <v/>
      </c>
      <c r="C8" s="18">
        <f>IFERROR(C7/C6,"-")</f>
        <v/>
      </c>
      <c r="D8" s="18">
        <f>IFERROR(D7/D6,"-")</f>
        <v/>
      </c>
      <c r="E8" s="19">
        <f>IFERROR(E7/E6,"-")</f>
        <v/>
      </c>
      <c r="F8" s="200" t="n"/>
      <c r="G8" s="200" t="n"/>
      <c r="H8" s="15" t="inlineStr">
        <is>
          <t>Avg occ. beds ÷ licensed beds</t>
        </is>
      </c>
    </row>
    <row r="9" ht="14.25" customHeight="1" s="199">
      <c r="B9" s="20" t="n"/>
      <c r="C9" s="20" t="n"/>
      <c r="D9" s="20" t="n"/>
      <c r="E9" s="20" t="n"/>
    </row>
    <row r="10" ht="14.25" customHeight="1" s="199">
      <c r="A10" s="11" t="inlineStr">
        <is>
          <t>Target occupancy %  (stabilized)</t>
        </is>
      </c>
      <c r="B10" s="21" t="n"/>
      <c r="C10" s="21" t="n">
        <v>0</v>
      </c>
      <c r="D10" s="21" t="n"/>
      <c r="E10" s="19">
        <f>IFERROR((B6*B10+C6*C10+D6*D10)/E6,"-")</f>
        <v/>
      </c>
      <c r="F10" s="200" t="n"/>
      <c r="G10" s="200" t="n"/>
      <c r="H10" s="15" t="inlineStr">
        <is>
          <t>Target: 87–92% stabilized for AL/MC; 90%+ for IL</t>
        </is>
      </c>
    </row>
    <row r="11" ht="14.25" customHeight="1" s="199">
      <c r="A11" s="11" t="inlineStr">
        <is>
          <t>Stabilized occupied beds</t>
        </is>
      </c>
      <c r="B11" s="22">
        <f>IFERROR(B6*B10,"-")</f>
        <v/>
      </c>
      <c r="C11" s="22">
        <f>IFERROR(C6*C10,"-")</f>
        <v/>
      </c>
      <c r="D11" s="22">
        <f>IFERROR(D6*D10,"-")</f>
        <v/>
      </c>
      <c r="E11" s="16">
        <f>IFERROR(SUM(B11:D11),"-")</f>
        <v/>
      </c>
      <c r="F11" s="200" t="n"/>
      <c r="G11" s="200" t="n"/>
      <c r="H11" s="15" t="inlineStr">
        <is>
          <t>Licensed beds × target occupancy %</t>
        </is>
      </c>
    </row>
    <row r="12" ht="14.25" customHeight="1" s="199"/>
    <row r="13" ht="14.25" customHeight="1" s="199">
      <c r="A13" s="174" t="inlineStr">
        <is>
          <t>SECTION 2  ·  REVENUE ANALYSIS  —  T12 ACTUAL  →  NORMALIZED</t>
        </is>
      </c>
    </row>
    <row r="14" ht="14.25" customHeight="1" s="199">
      <c r="A14" s="10" t="n"/>
      <c r="B14" s="10" t="inlineStr">
        <is>
          <t>IL</t>
        </is>
      </c>
      <c r="C14" s="10" t="inlineStr">
        <is>
          <t>AL</t>
        </is>
      </c>
      <c r="D14" s="10" t="inlineStr">
        <is>
          <t>MC</t>
        </is>
      </c>
      <c r="E14" s="10" t="inlineStr">
        <is>
          <t>T12 Total</t>
        </is>
      </c>
      <c r="F14" s="23" t="inlineStr">
        <is>
          <t>Normalized</t>
        </is>
      </c>
      <c r="G14" s="10" t="inlineStr">
        <is>
          <t>Delta</t>
        </is>
      </c>
      <c r="H14" s="10" t="inlineStr">
        <is>
          <t>Notes / Flag</t>
        </is>
      </c>
    </row>
    <row r="15" ht="14.25" customHeight="1" s="199">
      <c r="A15" s="181" t="inlineStr">
        <is>
          <t xml:space="preserve">  Base Rent</t>
        </is>
      </c>
      <c r="K15" s="212">
        <f>IF(OR('Rent Roll Recon'!B12&lt;0.85,'Rent Roll Recon'!C12&lt;0.85,'Rent Roll Recon'!D12&lt;0.85),"⚠ One or more care types below 85% physical occupancy — investigate stabilization assumptions.","✓ All care types ≥ 85% physical occupancy.")</f>
        <v/>
      </c>
      <c r="P15" s="212">
        <f>IF('Rent Roll Recon'!E41&gt;0.3,"⚠ Medicaid revenue share "&amp;TEXT('Rent Roll Recon'!E41,"0.0%")&amp;" — reimbursement rate risk; verify stabilized assumption.",IF('Rent Roll Recon'!E44&gt;0.25,"⚠ Managed Care revenue share "&amp;TEXT('Rent Roll Recon'!E44,"0.0%")&amp;" — verify per-diem rates vs. private pay.","✓ Payer mix dominated by private pay / low reimbursement risk."))</f>
        <v/>
      </c>
    </row>
    <row r="16" ht="14.25" customHeight="1" s="199">
      <c r="A16" s="177" t="inlineStr">
        <is>
          <t>T12 base rent  (actual)</t>
        </is>
      </c>
      <c r="B16" s="24">
        <f>IFERROR(INDEX('T12 Raw Data'!R:R,MATCH("Base rent — IL",'T12 Raw Data'!B:B,0)),0)</f>
        <v/>
      </c>
      <c r="C16" s="24">
        <f>IFERROR(INDEX('T12 Raw Data'!R:R,MATCH("Base rent — AL",'T12 Raw Data'!B:B,0)),0)</f>
        <v/>
      </c>
      <c r="D16" s="24">
        <f>IFERROR(INDEX('T12 Raw Data'!R:R,MATCH("Base rent — MC",'T12 Raw Data'!B:B,0)),0)</f>
        <v/>
      </c>
      <c r="E16" s="25">
        <f>SUM(B16:D16)</f>
        <v/>
      </c>
      <c r="F16" s="200" t="n"/>
      <c r="G16" s="200" t="n"/>
      <c r="H16" s="15" t="inlineStr">
        <is>
          <t>Gross base rent from T12 Raw Data</t>
        </is>
      </c>
    </row>
    <row r="17" ht="14.25" customHeight="1" s="199">
      <c r="A17" s="177" t="inlineStr">
        <is>
          <t>Avg daily rate  (T12 back-calc)</t>
        </is>
      </c>
      <c r="B17" s="26">
        <f>IFERROR(B16/(B7*12),"-")</f>
        <v/>
      </c>
      <c r="C17" s="26">
        <f>IFERROR(C16/(C7*12),"-")</f>
        <v/>
      </c>
      <c r="D17" s="26">
        <f>IFERROR(D16/(D7*12),"-")</f>
        <v/>
      </c>
      <c r="E17" s="27">
        <f>IFERROR(E16/(E7*12),"-")</f>
        <v/>
      </c>
      <c r="F17" s="200" t="n"/>
      <c r="G17" s="200" t="n"/>
      <c r="H17" s="15" t="inlineStr">
        <is>
          <t>T12 base rent ÷ avg occ. beds ÷ 12 months</t>
        </is>
      </c>
    </row>
    <row r="18" ht="14.25" customHeight="1" s="199"/>
    <row r="19" ht="14.25" customHeight="1" s="199">
      <c r="A19" s="177" t="inlineStr">
        <is>
          <t>Stabilized monthly rate / bed</t>
        </is>
      </c>
      <c r="B19" s="28">
        <f>B17</f>
        <v/>
      </c>
      <c r="C19" s="28">
        <f>C17</f>
        <v/>
      </c>
      <c r="D19" s="28">
        <f>D17</f>
        <v/>
      </c>
      <c r="E19" s="27">
        <f>IFERROR((B11*B19+C11*C19+D11*D19)/E11,"-")</f>
        <v/>
      </c>
      <c r="F19" s="200" t="n"/>
      <c r="G19" s="200" t="n"/>
      <c r="H19" s="15" t="inlineStr">
        <is>
          <t>Blended stabilized rate weighted by occupied beds</t>
        </is>
      </c>
    </row>
    <row r="20" ht="14.25" customHeight="1" s="199">
      <c r="A20" s="29" t="inlineStr">
        <is>
          <t>Stabilized annual base rent</t>
        </is>
      </c>
      <c r="B20" s="30">
        <f>IFERROR(B6*B10*B19*12,0)</f>
        <v/>
      </c>
      <c r="C20" s="30">
        <f>IFERROR(C6*C10*C19*12,0)</f>
        <v/>
      </c>
      <c r="D20" s="30">
        <f>IFERROR(D6*D10*D19*12,0)</f>
        <v/>
      </c>
      <c r="E20" s="30">
        <f>SUM(B20:D20)</f>
        <v/>
      </c>
      <c r="F20" s="25">
        <f>E20</f>
        <v/>
      </c>
      <c r="G20" s="24">
        <f>F20-E16</f>
        <v/>
      </c>
      <c r="H20" s="15" t="inlineStr">
        <is>
          <t>Beds × occ% × monthly rate × 12  (per care type)</t>
        </is>
      </c>
    </row>
    <row r="21" ht="14.25" customHeight="1" s="199"/>
    <row r="22" ht="14.25" customHeight="1" s="199">
      <c r="A22" s="181" t="inlineStr">
        <is>
          <t xml:space="preserve">  Level of Care  (LOC) Revenue</t>
        </is>
      </c>
    </row>
    <row r="23" ht="14.25" customHeight="1" s="199">
      <c r="A23" s="177" t="inlineStr">
        <is>
          <t>T12 LOC revenue  (actual)</t>
        </is>
      </c>
      <c r="B23" s="24">
        <f>IFERROR(INDEX('T12 Raw Data'!R:R,MATCH("LOC revenue — IL",'T12 Raw Data'!B:B,0)),0)</f>
        <v/>
      </c>
      <c r="C23" s="24">
        <f>IFERROR(INDEX('T12 Raw Data'!R:R,MATCH("LOC revenue — AL",'T12 Raw Data'!B:B,0)),0)</f>
        <v/>
      </c>
      <c r="D23" s="24">
        <f>IFERROR(INDEX('T12 Raw Data'!R:R,MATCH("LOC revenue — MC",'T12 Raw Data'!B:B,0)),0)</f>
        <v/>
      </c>
      <c r="E23" s="25">
        <f>SUM(B23:D23)</f>
        <v/>
      </c>
      <c r="F23" s="200" t="n"/>
      <c r="G23" s="200" t="n"/>
      <c r="H23" s="15" t="inlineStr">
        <is>
          <t>Care rate / level of care charges from T12</t>
        </is>
      </c>
    </row>
    <row r="24" ht="14.25" customHeight="1" s="199">
      <c r="A24" s="177" t="inlineStr">
        <is>
          <t>LOC per occ. bed / month  (T12)</t>
        </is>
      </c>
      <c r="B24" s="26">
        <f>IFERROR(B23/(B7*12),"-")</f>
        <v/>
      </c>
      <c r="C24" s="26">
        <f>IFERROR(C23/(C7*12),"-")</f>
        <v/>
      </c>
      <c r="D24" s="26">
        <f>IFERROR(D23/(D7*12),"-")</f>
        <v/>
      </c>
      <c r="E24" s="27">
        <f>IFERROR(E23/(E7*12),"-")</f>
        <v/>
      </c>
      <c r="F24" s="200" t="n"/>
      <c r="G24" s="200" t="n"/>
      <c r="H24" s="15" t="inlineStr">
        <is>
          <t>Validate vs. care level assessments; MC should be highest</t>
        </is>
      </c>
    </row>
    <row r="25" ht="14.25" customHeight="1" s="199"/>
    <row r="26" ht="14.25" customHeight="1" s="199">
      <c r="A26" s="177" t="inlineStr">
        <is>
          <t>Stabilized LOC / occ. bed / month</t>
        </is>
      </c>
      <c r="B26" s="28" t="n"/>
      <c r="C26" s="28">
        <f>C24</f>
        <v/>
      </c>
      <c r="D26" s="28" t="n"/>
      <c r="E26" s="27">
        <f>IFERROR((B11*B26+C11*C26+D11*D26)/E11,"-")</f>
        <v/>
      </c>
      <c r="F26" s="200" t="n"/>
      <c r="G26" s="200" t="n"/>
      <c r="H26" s="15">
        <f>IF(E24&lt;&gt;"-","T12 actual LOC/occ bed: "&amp;TEXT(E24,"$#,##0.00")&amp;"/mo blended (AL: "&amp;TEXT(C24,"$#,##0.00")&amp;"). Enter stabilized rate in B26/C26/D26. Default to T12 unless acuity mix change is justified.","Enter stabilized LOC/bed in B26/C26/D26.")</f>
        <v/>
      </c>
    </row>
    <row r="27" ht="14.25" customHeight="1" s="199">
      <c r="A27" s="29" t="inlineStr">
        <is>
          <t>Stabilized LOC revenue</t>
        </is>
      </c>
      <c r="B27" s="30">
        <f>IFERROR(B6*B10*B26*12,0)</f>
        <v/>
      </c>
      <c r="C27" s="30">
        <f>IFERROR(C6*C10*C26*12,0)</f>
        <v/>
      </c>
      <c r="D27" s="30">
        <f>IFERROR(D6*D10*D26*12,0)</f>
        <v/>
      </c>
      <c r="E27" s="30">
        <f>SUM(B27:D27)</f>
        <v/>
      </c>
      <c r="F27" s="25">
        <f>E27</f>
        <v/>
      </c>
      <c r="G27" s="24">
        <f>F27-E23</f>
        <v/>
      </c>
      <c r="H27" s="200" t="n"/>
    </row>
    <row r="28" ht="14.25" customHeight="1" s="199"/>
    <row r="29" ht="14.25" customHeight="1" s="199">
      <c r="A29" s="181" t="inlineStr">
        <is>
          <t xml:space="preserve">  Revenue Quality Ratios</t>
        </is>
      </c>
    </row>
    <row r="30" ht="14.25" customHeight="1" s="199">
      <c r="A30" s="177" t="inlineStr">
        <is>
          <t>LOC as % of base rent  (T12)</t>
        </is>
      </c>
      <c r="B30" s="31">
        <f>IFERROR(B23/B16,"-")</f>
        <v/>
      </c>
      <c r="C30" s="31">
        <f>IFERROR(C23/C16,"-")</f>
        <v/>
      </c>
      <c r="D30" s="31">
        <f>IFERROR(D23/D16,"-")</f>
        <v/>
      </c>
      <c r="E30" s="32">
        <f>IFERROR(E23/E16,"-")</f>
        <v/>
      </c>
      <c r="F30" s="200" t="n"/>
      <c r="G30" s="200" t="n"/>
      <c r="H30" s="15" t="inlineStr">
        <is>
          <t>Higher = higher acuity mix; validate vs. care assessments</t>
        </is>
      </c>
      <c r="K30" s="212">
        <f>IF(LEN('Rent Roll Recon'!B96)=0,"-",IF(IFERROR(VALUE(SUBSTITUTE('Rent Roll Recon'!B96,"%",""))/100,0)&gt;0.25,"⚠ IL rate dispersion CV "&amp;TEXT(IFERROR(VALUE(SUBSTITUTE('Rent Roll Recon'!B96,"%",""))/100,0),"0.0%")&amp;" — wide spread may indicate legacy in-place rates.","✓ IL rate dispersion within normal band."))</f>
        <v/>
      </c>
      <c r="P30" s="212">
        <f>IFERROR(IF(AVERAGE(T54:V54)&gt;AVERAGE(K54:M54)*1.05,"↑ Revenue trending up — latest 3-mo avg "&amp;TEXT(AVERAGE(T54:V54),"$#,##0")&amp;" vs prior 3-mo "&amp;TEXT(AVERAGE(K54:M54),"$#,##0"),IF(AVERAGE(T54:V54)&lt;AVERAGE(K54:M54)*0.95,"↓ Revenue trending down — latest 3-mo avg "&amp;TEXT(AVERAGE(T54:V54),"$#,##0")&amp;" vs prior 3-mo "&amp;TEXT(AVERAGE(K54:M54),"$#,##0"),"→ Revenue stable — within ±5% of prior 3-mo.")),"Insufficient T12 data for trend.")</f>
        <v/>
      </c>
    </row>
    <row r="31" ht="14.25" customHeight="1" s="199">
      <c r="A31" s="177" t="inlineStr">
        <is>
          <t>RevPOR  (T12 actual)  — base + LOC</t>
        </is>
      </c>
      <c r="B31" s="26">
        <f>IFERROR((B16+B23)/(B7*12),"-")</f>
        <v/>
      </c>
      <c r="C31" s="26">
        <f>IFERROR((C16+C23)/(C7*12),"-")</f>
        <v/>
      </c>
      <c r="D31" s="26">
        <f>IFERROR((D16+D23)/(D7*12),"-")</f>
        <v/>
      </c>
      <c r="E31" s="27">
        <f>IFERROR((E16+E23)/(E7*12),"-")</f>
        <v/>
      </c>
      <c r="F31" s="200" t="n"/>
      <c r="G31" s="200" t="n"/>
      <c r="H31" s="15" t="inlineStr">
        <is>
          <t>Revenue per occupied room per month (base + LOC)</t>
        </is>
      </c>
    </row>
    <row r="32" ht="14.25" customHeight="1" s="199">
      <c r="A32" s="177" t="inlineStr">
        <is>
          <t>RevPOR  (normalized)  — base + LOC</t>
        </is>
      </c>
      <c r="B32" s="27">
        <f>IFERROR((B20+B27)/(B11*12),"-")</f>
        <v/>
      </c>
      <c r="C32" s="27">
        <f>IFERROR((C20+C27)/(C11*12),"-")</f>
        <v/>
      </c>
      <c r="D32" s="27">
        <f>IFERROR((D20+D27)/(D11*12),"-")</f>
        <v/>
      </c>
      <c r="E32" s="27">
        <f>IFERROR((E20+E27)/(E11*12),"-")</f>
        <v/>
      </c>
      <c r="F32" s="200" t="n"/>
      <c r="G32" s="200" t="n"/>
      <c r="H32" s="15" t="inlineStr">
        <is>
          <t>Normalized RevPOR — stabilized beds and rates</t>
        </is>
      </c>
    </row>
    <row r="33" ht="14.25" customHeight="1" s="199"/>
    <row r="34" ht="14.25" customHeight="1" s="199">
      <c r="A34" s="182" t="inlineStr">
        <is>
          <t xml:space="preserve">  GPR Revenue Waterfall  —  Rent Roll projection vs. T12 reported</t>
        </is>
      </c>
    </row>
    <row r="35" ht="14.25" customHeight="1" s="199">
      <c r="A35" s="33" t="n"/>
      <c r="B35" s="34" t="inlineStr">
        <is>
          <t>IL</t>
        </is>
      </c>
      <c r="C35" s="34" t="inlineStr">
        <is>
          <t>AL</t>
        </is>
      </c>
      <c r="D35" s="34" t="inlineStr">
        <is>
          <t>MC</t>
        </is>
      </c>
      <c r="E35" s="34" t="inlineStr">
        <is>
          <t>T12 Reported</t>
        </is>
      </c>
      <c r="F35" s="35" t="inlineStr">
        <is>
          <t>RR Projection</t>
        </is>
      </c>
      <c r="G35" s="34" t="inlineStr">
        <is>
          <t>Delta</t>
        </is>
      </c>
      <c r="H35" s="34" t="inlineStr">
        <is>
          <t>Notes</t>
        </is>
      </c>
    </row>
    <row r="36" ht="14.25" customHeight="1" s="199">
      <c r="A36" s="177" t="inlineStr">
        <is>
          <t>Market rate / bed / month  (from rent roll col G, occupied beds)</t>
        </is>
      </c>
      <c r="B36" s="28">
        <f>IFERROR(AVERAGEIFS('Rent Roll Input'!$G$7:$G$606,'Rent Roll Input'!$S$7:$S$606,'Rent Roll Recon'!$B$2,'Rent Roll Input'!$E$7:$E$606,"Occupied",'Rent Roll Input'!$D$7:$D$606,"IL"),0)</f>
        <v/>
      </c>
      <c r="C36" s="28">
        <f>IFERROR(AVERAGEIFS('Rent Roll Input'!$G$7:$G$606,'Rent Roll Input'!$S$7:$S$606,'Rent Roll Recon'!$B$2,'Rent Roll Input'!$E$7:$E$606,"Occupied",'Rent Roll Input'!$D$7:$D$606,"AL"),0)</f>
        <v/>
      </c>
      <c r="D36" s="28">
        <f>IFERROR(AVERAGEIFS('Rent Roll Input'!$G$7:$G$606,'Rent Roll Input'!$S$7:$S$606,'Rent Roll Recon'!$B$2,'Rent Roll Input'!$E$7:$E$606,"Occupied",'Rent Roll Input'!$D$7:$D$606,"MC"),0)</f>
        <v/>
      </c>
      <c r="E36" s="342" t="inlineStr">
        <is>
          <t>—</t>
        </is>
      </c>
      <c r="F36" s="27">
        <f>IFERROR((B6*B36+C6*C36+D6*D36)/E6,"-")</f>
        <v/>
      </c>
      <c r="G36" s="342" t="inlineStr">
        <is>
          <t>—</t>
        </is>
      </c>
      <c r="H36" s="15" t="inlineStr">
        <is>
          <t>Avg market rate for occupied beds from Rent Roll col G, selected period. Override B–D directly. T12 does not report market rates — col E blank by design.</t>
        </is>
      </c>
    </row>
    <row r="37" ht="14.25" customHeight="1" s="199">
      <c r="A37" s="29" t="inlineStr">
        <is>
          <t>Gross Potential Rent  (GPR)  —  base rent, 100% occupied at market rate</t>
        </is>
      </c>
      <c r="B37" s="30">
        <f>IFERROR(B6*B36*12,0)</f>
        <v/>
      </c>
      <c r="C37" s="30">
        <f>IFERROR(C6*C36*12,0)</f>
        <v/>
      </c>
      <c r="D37" s="30">
        <f>IFERROR(D6*D36*12,0)</f>
        <v/>
      </c>
      <c r="E37" s="30">
        <f>IFERROR(IF(INDEX('T12 Raw Data'!R:R,MATCH("Gross Rent Revenue",'T12 Raw Data'!B:B,0))=0,"",INDEX('T12 Raw Data'!R:R,MATCH("Gross Rent Revenue",'T12 Raw Data'!B:B,0))),"")</f>
        <v/>
      </c>
      <c r="F37" s="30">
        <f>SUM(B37:D37)</f>
        <v/>
      </c>
      <c r="G37" s="30">
        <f>IFERROR(IF(E37="","",E37-F37),"")</f>
        <v/>
      </c>
      <c r="H37" s="15" t="inlineStr">
        <is>
          <t>T12 col: pulled from T12 Raw Data — blank if no GPR line reported. RR Projection: licensed beds × avg market rate (rent roll) × 12. Delta: T12 minus RR.</t>
        </is>
      </c>
    </row>
    <row r="38" ht="14.25" customHeight="1" s="199">
      <c r="A38" s="177" t="inlineStr">
        <is>
          <t>Less:  Physical vacancy loss</t>
        </is>
      </c>
      <c r="B38" s="24">
        <f>IFERROR((B6-B7)*B36*12,0)</f>
        <v/>
      </c>
      <c r="C38" s="24">
        <f>IFERROR((C6-C7)*C36*12,0)</f>
        <v/>
      </c>
      <c r="D38" s="24">
        <f>IFERROR((D6-D7)*D36*12,0)</f>
        <v/>
      </c>
      <c r="E38" s="24">
        <f>IFERROR(IF(ABS('T12 Raw Data'!$R$61)&gt;0,ABS('T12 Raw Data'!$R$61),F38),F38)</f>
        <v/>
      </c>
      <c r="F38" s="25">
        <f>SUM(B38:D38)</f>
        <v/>
      </c>
      <c r="G38" s="24">
        <f>IFERROR(IF(E38="","",E38-F38),"")</f>
        <v/>
      </c>
      <c r="H38" s="15">
        <f>IF(AND(E37&lt;&gt;"",ABS('T12 Raw Data'!$R$61)&gt;0),"T12 check: GPR−Vacancy−Collected = "&amp;TEXT(E37-E38-E16,"$#,##0")&amp;" (0=clean)","T12 vacancy not reported — using RR projection")</f>
        <v/>
      </c>
    </row>
    <row r="39" ht="14.25" customHeight="1" s="199">
      <c r="A39" s="177" t="inlineStr">
        <is>
          <t>Physical vacancy rate %</t>
        </is>
      </c>
      <c r="B39" s="31">
        <f>IFERROR((B6-B7)/B6,"-")</f>
        <v/>
      </c>
      <c r="C39" s="31">
        <f>IFERROR((C6-C7)/C6,"-")</f>
        <v/>
      </c>
      <c r="D39" s="31">
        <f>IFERROR((D6-D7)/D6,"-")</f>
        <v/>
      </c>
      <c r="E39" s="32">
        <f>IFERROR(IF(AND(E37&lt;&gt;"",ABS('T12 Raw Data'!$R$61)&gt;0),E38/E37,IFERROR((E6-E7)/E6,"-")),IFERROR((E6-E7)/E6,"-"))</f>
        <v/>
      </c>
      <c r="F39" s="32">
        <f>IFERROR((E6-E11)/E6,"-")</f>
        <v/>
      </c>
      <c r="G39" s="31">
        <f>IFERROR(IF(ISNUMBER(E39),F39-E39,"-"),"-")</f>
        <v/>
      </c>
      <c r="H39" s="15" t="inlineStr">
        <is>
          <t>T12: (licensed − avg occupied) / licensed. RR Projection: (licensed − stabilized target) / licensed. Flag if &gt;20%.</t>
        </is>
      </c>
    </row>
    <row r="40" ht="14.25" customHeight="1" s="199">
      <c r="A40" s="180" t="inlineStr">
        <is>
          <t>Less:  Loss to lease  (occupied beds priced below market rate)</t>
        </is>
      </c>
      <c r="B40" s="37">
        <f>IFERROR(B37-B38-B16,0)</f>
        <v/>
      </c>
      <c r="C40" s="37">
        <f>IFERROR(C37-C38-C16,0)</f>
        <v/>
      </c>
      <c r="D40" s="37">
        <f>IFERROR(D37-D38-D16,0)</f>
        <v/>
      </c>
      <c r="E40" s="37">
        <f>IFERROR(IF(ABS('T12 Raw Data'!$R$62)&gt;0,ABS('T12 Raw Data'!$R$62),F37-F38-E16),F37-F38-E16)</f>
        <v/>
      </c>
      <c r="F40" s="37">
        <f>SUM(B40:D40)</f>
        <v/>
      </c>
      <c r="G40" s="37">
        <f>IFERROR(IF(E40="","",E40-F40),"")</f>
        <v/>
      </c>
      <c r="H40" s="38" t="inlineStr">
        <is>
          <t>⚠ RR: occupied beds × market rate × 12 minus T12 collected base rent. Captures concessions, rate-lock, and below-market pricing. T12 col requires GPR line.</t>
        </is>
      </c>
    </row>
    <row r="41" ht="14.25" customHeight="1" s="199">
      <c r="A41" s="39" t="inlineStr">
        <is>
          <t>Loss to lease as % of GPR</t>
        </is>
      </c>
      <c r="B41" s="40">
        <f>IFERROR(B40/B37,"-")</f>
        <v/>
      </c>
      <c r="C41" s="40">
        <f>IFERROR(C40/C37,"-")</f>
        <v/>
      </c>
      <c r="D41" s="40">
        <f>IFERROR(D40/D37,"-")</f>
        <v/>
      </c>
      <c r="E41" s="40">
        <f>IFERROR(IF(E37&lt;&gt;"",E40/E37,IF(F37&gt;0,E40/F37,"-")),"-")</f>
        <v/>
      </c>
      <c r="F41" s="40">
        <f>IFERROR(F40/F37,"-")</f>
        <v/>
      </c>
      <c r="G41" s="40">
        <f>IFERROR(E41-F41,"")</f>
        <v/>
      </c>
      <c r="H41" s="38" t="inlineStr">
        <is>
          <t>⚠ Flag if RR projection &gt;5% — below-market pricing or heavy concessions. T12 col requires GPR line.</t>
        </is>
      </c>
    </row>
    <row r="42" ht="14.25" customHeight="1" s="199"/>
    <row r="43" ht="14.25" customHeight="1" s="199"/>
    <row r="44" ht="14.25" customHeight="1" s="199"/>
    <row r="45" ht="14.25" customHeight="1" s="199">
      <c r="A45" s="181" t="inlineStr">
        <is>
          <t xml:space="preserve">  Other Revenue  —  Normalization Bridge</t>
        </is>
      </c>
      <c r="K45" s="246">
        <f>IF('Rent Roll Recon'!D67=0,"Property has no AL acuity data — flat-rate AL or unpopulated.",IF(MAX('Rent Roll Recon'!D59:D66)/'Rent Roll Recon'!D67&gt;0.5,"⚠ Acuity skewed: top tier &gt; 50% of AL care charges — verify staffing model.","✓ Acuity distribution within normal range."))</f>
        <v/>
      </c>
    </row>
    <row r="46" ht="14.25" customHeight="1" s="199">
      <c r="A46" s="10" t="inlineStr">
        <is>
          <t>Revenue Item</t>
        </is>
      </c>
      <c r="B46" s="10" t="n"/>
      <c r="C46" s="10" t="n"/>
      <c r="D46" s="10" t="n"/>
      <c r="E46" s="10" t="inlineStr">
        <is>
          <t>T12 Actual</t>
        </is>
      </c>
      <c r="F46" s="23" t="inlineStr">
        <is>
          <t>Normalized</t>
        </is>
      </c>
      <c r="G46" s="10" t="inlineStr">
        <is>
          <t>Delta</t>
        </is>
      </c>
      <c r="H46" s="10" t="inlineStr">
        <is>
          <t>Flag / Note</t>
        </is>
      </c>
      <c r="K46" s="213" t="inlineStr">
        <is>
          <t>(hidden helper — rate buckets for V2 chart)</t>
        </is>
      </c>
    </row>
    <row r="47" ht="14.25" customHeight="1" s="199">
      <c r="A47" s="177" t="inlineStr">
        <is>
          <t>Community / move-in fees</t>
        </is>
      </c>
      <c r="B47" s="200" t="n"/>
      <c r="C47" s="200" t="n"/>
      <c r="D47" s="200" t="n"/>
      <c r="E47" s="24">
        <f>IFERROR(INDEX('T12 Raw Data'!R:R,MATCH("Community / move-in fees",'T12 Raw Data'!B:B,0)),0)</f>
        <v/>
      </c>
      <c r="F47" s="41" t="n">
        <v>0</v>
      </c>
      <c r="G47" s="24">
        <f>F47-E47</f>
        <v/>
      </c>
      <c r="H47" s="38" t="inlineStr">
        <is>
          <t>⚠ ONE-TIME — normalize to $0; model separately if absorption schedule exists</t>
        </is>
      </c>
      <c r="K47" s="214" t="inlineStr">
        <is>
          <t>Bucket</t>
        </is>
      </c>
      <c r="L47" s="214" t="inlineStr">
        <is>
          <t>IL</t>
        </is>
      </c>
      <c r="M47" s="214" t="inlineStr">
        <is>
          <t>AL</t>
        </is>
      </c>
      <c r="N47" s="214" t="inlineStr">
        <is>
          <t>MC</t>
        </is>
      </c>
    </row>
    <row r="48" ht="14.25" customHeight="1" s="199">
      <c r="A48" s="177" t="inlineStr">
        <is>
          <t>Concessions &amp; move-in specials</t>
        </is>
      </c>
      <c r="B48" s="200" t="n"/>
      <c r="C48" s="200" t="n"/>
      <c r="D48" s="200" t="n"/>
      <c r="E48" s="24">
        <f>IFERROR(INDEX('T12 Raw Data'!R:R,MATCH("Concessions &amp; specials",'T12 Raw Data'!B:B,0)),0)</f>
        <v/>
      </c>
      <c r="F48" s="41" t="n">
        <v>0</v>
      </c>
      <c r="G48" s="24">
        <f>F48-E48</f>
        <v/>
      </c>
      <c r="H48" s="38" t="inlineStr">
        <is>
          <t>⚠ BURN-OFF — normalize to $0 at stabilized occupancy</t>
        </is>
      </c>
      <c r="K48" t="inlineStr">
        <is>
          <t>$0 – $1,999</t>
        </is>
      </c>
      <c r="L48">
        <f>COUNTIFS('Rent Roll Input'!$S$7:$S$606,'Rent Roll Recon'!$B$2,'Rent Roll Input'!$E$7:$E$606,"&lt;&gt;Vacant",'Rent Roll Input'!$E$7:$E$606,"&lt;&gt;Eviction",'Rent Roll Input'!$H$7:$H$606,"&gt;="&amp;0,'Rent Roll Input'!$H$7:$H$606,"&lt;="&amp;1999.99,'Rent Roll Input'!$D$7:$D$606,"IL")</f>
        <v/>
      </c>
      <c r="M48">
        <f>COUNTIFS('Rent Roll Input'!$S$7:$S$606,'Rent Roll Recon'!$B$2,'Rent Roll Input'!$E$7:$E$606,"&lt;&gt;Vacant",'Rent Roll Input'!$E$7:$E$606,"&lt;&gt;Eviction",'Rent Roll Input'!$H$7:$H$606,"&gt;="&amp;0,'Rent Roll Input'!$H$7:$H$606,"&lt;="&amp;1999.99,'Rent Roll Input'!$D$7:$D$606,"AL")</f>
        <v/>
      </c>
      <c r="N48">
        <f>COUNTIFS('Rent Roll Input'!$S$7:$S$606,'Rent Roll Recon'!$B$2,'Rent Roll Input'!$E$7:$E$606,"&lt;&gt;Vacant",'Rent Roll Input'!$E$7:$E$606,"&lt;&gt;Eviction",'Rent Roll Input'!$H$7:$H$606,"&gt;="&amp;0,'Rent Roll Input'!$H$7:$H$606,"&lt;="&amp;1999.99,'Rent Roll Input'!$D$7:$D$606,"MC")</f>
        <v/>
      </c>
    </row>
    <row r="49" ht="14.25" customHeight="1" s="199">
      <c r="A49" s="177" t="inlineStr">
        <is>
          <t>Respite care</t>
        </is>
      </c>
      <c r="B49" s="200" t="n"/>
      <c r="C49" s="200" t="n"/>
      <c r="D49" s="200" t="n"/>
      <c r="E49" s="24">
        <f>IFERROR(INDEX('T12 Raw Data'!R:R,MATCH("Respite care",'T12 Raw Data'!B:B,0)),0)</f>
        <v/>
      </c>
      <c r="F49" s="41" t="n">
        <v>0</v>
      </c>
      <c r="G49" s="24">
        <f>F49-E49</f>
        <v/>
      </c>
      <c r="H49" s="38" t="inlineStr">
        <is>
          <t>⚠ VOLATILE — assess program; include only if documented &amp; consistent</t>
        </is>
      </c>
      <c r="K49" t="inlineStr">
        <is>
          <t>$2,000 – $3,999</t>
        </is>
      </c>
      <c r="L49">
        <f>COUNTIFS('Rent Roll Input'!$S$7:$S$606,'Rent Roll Recon'!$B$2,'Rent Roll Input'!$E$7:$E$606,"&lt;&gt;Vacant",'Rent Roll Input'!$E$7:$E$606,"&lt;&gt;Eviction",'Rent Roll Input'!$H$7:$H$606,"&gt;="&amp;2000,'Rent Roll Input'!$H$7:$H$606,"&lt;="&amp;3999.99,'Rent Roll Input'!$D$7:$D$606,"IL")</f>
        <v/>
      </c>
      <c r="M49">
        <f>COUNTIFS('Rent Roll Input'!$S$7:$S$606,'Rent Roll Recon'!$B$2,'Rent Roll Input'!$E$7:$E$606,"&lt;&gt;Vacant",'Rent Roll Input'!$E$7:$E$606,"&lt;&gt;Eviction",'Rent Roll Input'!$H$7:$H$606,"&gt;="&amp;2000,'Rent Roll Input'!$H$7:$H$606,"&lt;="&amp;3999.99,'Rent Roll Input'!$D$7:$D$606,"AL")</f>
        <v/>
      </c>
      <c r="N49">
        <f>COUNTIFS('Rent Roll Input'!$S$7:$S$606,'Rent Roll Recon'!$B$2,'Rent Roll Input'!$E$7:$E$606,"&lt;&gt;Vacant",'Rent Roll Input'!$E$7:$E$606,"&lt;&gt;Eviction",'Rent Roll Input'!$H$7:$H$606,"&gt;="&amp;2000,'Rent Roll Input'!$H$7:$H$606,"&lt;="&amp;3999.99,'Rent Roll Input'!$D$7:$D$606,"MC")</f>
        <v/>
      </c>
    </row>
    <row r="50" ht="14.25" customHeight="1" s="199">
      <c r="A50" s="177" t="inlineStr">
        <is>
          <t>Other community revenue</t>
        </is>
      </c>
      <c r="B50" s="200" t="n"/>
      <c r="C50" s="200" t="n"/>
      <c r="D50" s="200" t="n"/>
      <c r="E50" s="24">
        <f>IFERROR(INDEX('T12 Raw Data'!R:R,MATCH("Other community revenue",'T12 Raw Data'!B:B,0)),0)</f>
        <v/>
      </c>
      <c r="F50" s="41" t="n">
        <v>0</v>
      </c>
      <c r="G50" s="24">
        <f>F50-E50</f>
        <v/>
      </c>
      <c r="H50" s="38" t="inlineStr">
        <is>
          <t>Beautician, utility reimbursement, admin fees, finance charges</t>
        </is>
      </c>
      <c r="K50" t="inlineStr">
        <is>
          <t>$4,000 – $5,999</t>
        </is>
      </c>
      <c r="L50">
        <f>COUNTIFS('Rent Roll Input'!$S$7:$S$606,'Rent Roll Recon'!$B$2,'Rent Roll Input'!$E$7:$E$606,"&lt;&gt;Vacant",'Rent Roll Input'!$E$7:$E$606,"&lt;&gt;Eviction",'Rent Roll Input'!$H$7:$H$606,"&gt;="&amp;4000,'Rent Roll Input'!$H$7:$H$606,"&lt;="&amp;5999.99,'Rent Roll Input'!$D$7:$D$606,"IL")</f>
        <v/>
      </c>
      <c r="M50">
        <f>COUNTIFS('Rent Roll Input'!$S$7:$S$606,'Rent Roll Recon'!$B$2,'Rent Roll Input'!$E$7:$E$606,"&lt;&gt;Vacant",'Rent Roll Input'!$E$7:$E$606,"&lt;&gt;Eviction",'Rent Roll Input'!$H$7:$H$606,"&gt;="&amp;4000,'Rent Roll Input'!$H$7:$H$606,"&lt;="&amp;5999.99,'Rent Roll Input'!$D$7:$D$606,"AL")</f>
        <v/>
      </c>
      <c r="N50">
        <f>COUNTIFS('Rent Roll Input'!$S$7:$S$606,'Rent Roll Recon'!$B$2,'Rent Roll Input'!$E$7:$E$606,"&lt;&gt;Vacant",'Rent Roll Input'!$E$7:$E$606,"&lt;&gt;Eviction",'Rent Roll Input'!$H$7:$H$606,"&gt;="&amp;4000,'Rent Roll Input'!$H$7:$H$606,"&lt;="&amp;5999.99,'Rent Roll Input'!$D$7:$D$606,"MC")</f>
        <v/>
      </c>
    </row>
    <row r="51" ht="14.25" customHeight="1" s="199">
      <c r="K51" t="inlineStr">
        <is>
          <t>$6,000 – $7,999</t>
        </is>
      </c>
      <c r="L51">
        <f>COUNTIFS('Rent Roll Input'!$S$7:$S$606,'Rent Roll Recon'!$B$2,'Rent Roll Input'!$E$7:$E$606,"&lt;&gt;Vacant",'Rent Roll Input'!$E$7:$E$606,"&lt;&gt;Eviction",'Rent Roll Input'!$H$7:$H$606,"&gt;="&amp;6000,'Rent Roll Input'!$H$7:$H$606,"&lt;="&amp;7999.99,'Rent Roll Input'!$D$7:$D$606,"IL")</f>
        <v/>
      </c>
      <c r="M51">
        <f>COUNTIFS('Rent Roll Input'!$S$7:$S$606,'Rent Roll Recon'!$B$2,'Rent Roll Input'!$E$7:$E$606,"&lt;&gt;Vacant",'Rent Roll Input'!$E$7:$E$606,"&lt;&gt;Eviction",'Rent Roll Input'!$H$7:$H$606,"&gt;="&amp;6000,'Rent Roll Input'!$H$7:$H$606,"&lt;="&amp;7999.99,'Rent Roll Input'!$D$7:$D$606,"AL")</f>
        <v/>
      </c>
      <c r="N51">
        <f>COUNTIFS('Rent Roll Input'!$S$7:$S$606,'Rent Roll Recon'!$B$2,'Rent Roll Input'!$E$7:$E$606,"&lt;&gt;Vacant",'Rent Roll Input'!$E$7:$E$606,"&lt;&gt;Eviction",'Rent Roll Input'!$H$7:$H$606,"&gt;="&amp;6000,'Rent Roll Input'!$H$7:$H$606,"&lt;="&amp;7999.99,'Rent Roll Input'!$D$7:$D$606,"MC")</f>
        <v/>
      </c>
    </row>
    <row r="52" ht="14.25" customHeight="1" s="199">
      <c r="A52" s="42" t="inlineStr">
        <is>
          <t>EFFECTIVE GROSS INCOME  (EGI)</t>
        </is>
      </c>
      <c r="B52" s="196" t="n"/>
      <c r="C52" s="196" t="n"/>
      <c r="D52" s="196" t="n"/>
      <c r="E52" s="44">
        <f>E16+E23+E47+E48+E49+E50</f>
        <v/>
      </c>
      <c r="F52" s="44">
        <f>E20+E27+F47+F48+F49+F50</f>
        <v/>
      </c>
      <c r="G52" s="44">
        <f>F52-E52</f>
        <v/>
      </c>
      <c r="H52" s="45" t="inlineStr">
        <is>
          <t>100% of EGI</t>
        </is>
      </c>
      <c r="K52" t="inlineStr">
        <is>
          <t>$8,000+</t>
        </is>
      </c>
      <c r="L52">
        <f>COUNTIFS('Rent Roll Input'!$S$7:$S$606,'Rent Roll Recon'!$B$2,'Rent Roll Input'!$E$7:$E$606,"&lt;&gt;Vacant",'Rent Roll Input'!$E$7:$E$606,"&lt;&gt;Eviction",'Rent Roll Input'!$H$7:$H$606,"&gt;="&amp;8000,'Rent Roll Input'!$H$7:$H$606,"&lt;="&amp;99999999,'Rent Roll Input'!$D$7:$D$606,"IL")</f>
        <v/>
      </c>
      <c r="M52">
        <f>COUNTIFS('Rent Roll Input'!$S$7:$S$606,'Rent Roll Recon'!$B$2,'Rent Roll Input'!$E$7:$E$606,"&lt;&gt;Vacant",'Rent Roll Input'!$E$7:$E$606,"&lt;&gt;Eviction",'Rent Roll Input'!$H$7:$H$606,"&gt;="&amp;8000,'Rent Roll Input'!$H$7:$H$606,"&lt;="&amp;99999999,'Rent Roll Input'!$D$7:$D$606,"AL")</f>
        <v/>
      </c>
      <c r="N52">
        <f>COUNTIFS('Rent Roll Input'!$S$7:$S$606,'Rent Roll Recon'!$B$2,'Rent Roll Input'!$E$7:$E$606,"&lt;&gt;Vacant",'Rent Roll Input'!$E$7:$E$606,"&lt;&gt;Eviction",'Rent Roll Input'!$H$7:$H$606,"&gt;="&amp;8000,'Rent Roll Input'!$H$7:$H$606,"&lt;="&amp;99999999,'Rent Roll Input'!$D$7:$D$606,"MC")</f>
        <v/>
      </c>
    </row>
    <row r="53" ht="14.25" customHeight="1" s="199">
      <c r="K53" s="213" t="inlineStr">
        <is>
          <t>(hidden helper — T12 monthly revenue for V4)</t>
        </is>
      </c>
    </row>
    <row r="54" ht="14.25" customHeight="1" s="199">
      <c r="A54" s="182" t="inlineStr">
        <is>
          <t>SECTION 3  ·  EXPENSE ANALYSIS  —  T12 ACTUAL  →  NORMALIZED</t>
        </is>
      </c>
      <c r="K54">
        <f>SUMIFS('T12 Raw Data'!F:F,'T12 Raw Data'!$A:$A,"Revenue")</f>
        <v/>
      </c>
      <c r="L54">
        <f>SUMIFS('T12 Raw Data'!G:G,'T12 Raw Data'!$A:$A,"Revenue")</f>
        <v/>
      </c>
      <c r="M54">
        <f>SUMIFS('T12 Raw Data'!H:H,'T12 Raw Data'!$A:$A,"Revenue")</f>
        <v/>
      </c>
      <c r="N54">
        <f>SUMIFS('T12 Raw Data'!I:I,'T12 Raw Data'!$A:$A,"Revenue")</f>
        <v/>
      </c>
      <c r="O54">
        <f>SUMIFS('T12 Raw Data'!J:J,'T12 Raw Data'!$A:$A,"Revenue")</f>
        <v/>
      </c>
      <c r="P54">
        <f>SUMIFS('T12 Raw Data'!K:K,'T12 Raw Data'!$A:$A,"Revenue")</f>
        <v/>
      </c>
      <c r="Q54">
        <f>SUMIFS('T12 Raw Data'!L:L,'T12 Raw Data'!$A:$A,"Revenue")</f>
        <v/>
      </c>
      <c r="R54">
        <f>SUMIFS('T12 Raw Data'!M:M,'T12 Raw Data'!$A:$A,"Revenue")</f>
        <v/>
      </c>
      <c r="S54">
        <f>SUMIFS('T12 Raw Data'!N:N,'T12 Raw Data'!$A:$A,"Revenue")</f>
        <v/>
      </c>
      <c r="T54">
        <f>SUMIFS('T12 Raw Data'!O:O,'T12 Raw Data'!$A:$A,"Revenue")</f>
        <v/>
      </c>
      <c r="U54">
        <f>SUMIFS('T12 Raw Data'!P:P,'T12 Raw Data'!$A:$A,"Revenue")</f>
        <v/>
      </c>
      <c r="V54">
        <f>SUMIFS('T12 Raw Data'!Q:Q,'T12 Raw Data'!$A:$A,"Revenue")</f>
        <v/>
      </c>
    </row>
    <row r="55" ht="14.25" customHeight="1" s="199">
      <c r="A55" s="10" t="inlineStr">
        <is>
          <t>Expense Category</t>
        </is>
      </c>
      <c r="B55" s="10" t="n"/>
      <c r="C55" s="10" t="n"/>
      <c r="D55" s="10" t="n"/>
      <c r="E55" s="10" t="inlineStr">
        <is>
          <t>T12 Actual</t>
        </is>
      </c>
      <c r="F55" s="23" t="inlineStr">
        <is>
          <t>Normalized</t>
        </is>
      </c>
      <c r="G55" s="10" t="inlineStr">
        <is>
          <t>Delta</t>
        </is>
      </c>
      <c r="H55" s="10" t="inlineStr">
        <is>
          <t>Benchmark / Flag</t>
        </is>
      </c>
    </row>
    <row r="56" ht="14.25" customHeight="1" s="199">
      <c r="A56" s="181" t="inlineStr">
        <is>
          <t xml:space="preserve">  DIRECT LABOR</t>
        </is>
      </c>
    </row>
    <row r="57" ht="14.25" customHeight="1" s="199">
      <c r="A57" s="177" t="inlineStr">
        <is>
          <t>Care staff labor  (AL / MC / IL)</t>
        </is>
      </c>
      <c r="B57" s="200" t="n"/>
      <c r="C57" s="200" t="n"/>
      <c r="D57" s="200" t="n"/>
      <c r="E57" s="24">
        <f>IFERROR(INDEX('T12 Raw Data'!R:R,MATCH("Care staff labor",'T12 Raw Data'!B:B,0)),0)</f>
        <v/>
      </c>
      <c r="F57" s="41">
        <f>E57</f>
        <v/>
      </c>
      <c r="G57" s="24">
        <f>F57-E57</f>
        <v/>
      </c>
      <c r="H57" s="15" t="inlineStr">
        <is>
          <t>Direct care staff — CNAs, caregivers, med techs</t>
        </is>
      </c>
    </row>
    <row r="58" ht="14.25" customHeight="1" s="199">
      <c r="A58" s="177" t="inlineStr">
        <is>
          <t>Wellness / care coordinators</t>
        </is>
      </c>
      <c r="B58" s="200" t="n"/>
      <c r="C58" s="200" t="n"/>
      <c r="D58" s="200" t="n"/>
      <c r="E58" s="24">
        <f>IFERROR(INDEX('T12 Raw Data'!R:R,MATCH("Wellness / care coordinators",'T12 Raw Data'!B:B,0)),0)</f>
        <v/>
      </c>
      <c r="F58" s="41">
        <f>E58</f>
        <v/>
      </c>
      <c r="G58" s="24">
        <f>F58-E58</f>
        <v/>
      </c>
      <c r="H58" s="15" t="inlineStr">
        <is>
          <t>RN, LPN, DON — validate licensure requirements by state</t>
        </is>
      </c>
    </row>
    <row r="59" ht="14.25" customHeight="1" s="199">
      <c r="A59" s="180" t="inlineStr">
        <is>
          <t>Contract / agency labor</t>
        </is>
      </c>
      <c r="B59" s="46" t="n"/>
      <c r="C59" s="46" t="n"/>
      <c r="D59" s="46" t="n"/>
      <c r="E59" s="47">
        <f>IFERROR(INDEX('T12 Raw Data'!R:R,MATCH("Contract / agency labor",'T12 Raw Data'!B:B,0)),0)</f>
        <v/>
      </c>
      <c r="F59" s="41">
        <f>E59</f>
        <v/>
      </c>
      <c r="G59" s="47">
        <f>F59-E59</f>
        <v/>
      </c>
      <c r="H59" s="38" t="inlineStr">
        <is>
          <t>⚠ ELEVATED at distress  Normalize to $0 at stabilization; add back if planned</t>
        </is>
      </c>
    </row>
    <row r="60" ht="14.25" customHeight="1" s="199">
      <c r="A60" s="177" t="inlineStr">
        <is>
          <t>Activities labor</t>
        </is>
      </c>
      <c r="B60" s="200" t="n"/>
      <c r="C60" s="200" t="n"/>
      <c r="D60" s="200" t="n"/>
      <c r="E60" s="24">
        <f>IFERROR(INDEX('T12 Raw Data'!R:R,MATCH("Activities labor",'T12 Raw Data'!B:B,0)),0)</f>
        <v/>
      </c>
      <c r="F60" s="41">
        <f>E60</f>
        <v/>
      </c>
      <c r="G60" s="24">
        <f>F60-E60</f>
        <v/>
      </c>
      <c r="H60" s="15" t="n"/>
    </row>
    <row r="61" ht="14.25" customHeight="1" s="199">
      <c r="A61" s="177" t="inlineStr">
        <is>
          <t>Dining / food service labor</t>
        </is>
      </c>
      <c r="B61" s="200" t="n"/>
      <c r="C61" s="200" t="n"/>
      <c r="D61" s="200" t="n"/>
      <c r="E61" s="24">
        <f>IFERROR(INDEX('T12 Raw Data'!R:R,MATCH("Dining / food service labor",'T12 Raw Data'!B:B,0)),0)</f>
        <v/>
      </c>
      <c r="F61" s="41">
        <f>E61</f>
        <v/>
      </c>
      <c r="G61" s="24">
        <f>F61-E61</f>
        <v/>
      </c>
      <c r="H61" s="15" t="inlineStr">
        <is>
          <t>All kitchen and dining room staff</t>
        </is>
      </c>
    </row>
    <row r="62" ht="14.25" customHeight="1" s="199">
      <c r="A62" s="177" t="inlineStr">
        <is>
          <t>Maintenance &amp; housekeeping labor</t>
        </is>
      </c>
      <c r="B62" s="200" t="n"/>
      <c r="C62" s="200" t="n"/>
      <c r="D62" s="200" t="n"/>
      <c r="E62" s="24">
        <f>IFERROR(INDEX('T12 Raw Data'!R:R,MATCH("Maint. &amp; housekeeping labor",'T12 Raw Data'!B:B,0)),0)</f>
        <v/>
      </c>
      <c r="F62" s="41">
        <f>E62</f>
        <v/>
      </c>
      <c r="G62" s="24">
        <f>F62-E62</f>
        <v/>
      </c>
      <c r="H62" s="15" t="n"/>
    </row>
    <row r="63" ht="14.25" customHeight="1" s="199">
      <c r="A63" s="177" t="inlineStr">
        <is>
          <t>Administrative labor</t>
        </is>
      </c>
      <c r="B63" s="200" t="n"/>
      <c r="C63" s="200" t="n"/>
      <c r="D63" s="200" t="n"/>
      <c r="E63" s="24">
        <f>IFERROR(INDEX('T12 Raw Data'!R:R,MATCH("Administrative labor",'T12 Raw Data'!B:B,0)),0)</f>
        <v/>
      </c>
      <c r="F63" s="41">
        <f>E63</f>
        <v/>
      </c>
      <c r="G63" s="24">
        <f>F63-E63</f>
        <v/>
      </c>
      <c r="H63" s="15" t="inlineStr">
        <is>
          <t>ED, business office, marketing / sales FTEs</t>
        </is>
      </c>
    </row>
    <row r="64" ht="14.25" customHeight="1" s="199">
      <c r="A64" s="180" t="inlineStr">
        <is>
          <t>Bonus wages</t>
        </is>
      </c>
      <c r="B64" s="46" t="n"/>
      <c r="C64" s="46" t="n"/>
      <c r="D64" s="46" t="n"/>
      <c r="E64" s="47">
        <f>IFERROR(INDEX('T12 Raw Data'!R:R,MATCH("Bonus wages",'T12 Raw Data'!B:B,0)),0)</f>
        <v/>
      </c>
      <c r="F64" s="41">
        <f>E64</f>
        <v/>
      </c>
      <c r="G64" s="47">
        <f>F64-E64</f>
        <v/>
      </c>
      <c r="H64" s="38" t="inlineStr">
        <is>
          <t>⚠ VARIABLE  Normalize to stabilized annual bonus assumption</t>
        </is>
      </c>
    </row>
    <row r="65" ht="14.25" customHeight="1" s="199">
      <c r="A65" s="183" t="inlineStr">
        <is>
          <t xml:space="preserve">  Total direct labor</t>
        </is>
      </c>
      <c r="B65" s="196" t="n"/>
      <c r="C65" s="196" t="n"/>
      <c r="D65" s="197" t="n"/>
      <c r="E65" s="30">
        <f>SUM(E57:E64)</f>
        <v/>
      </c>
      <c r="F65" s="30">
        <f>SUM(F57:F64)</f>
        <v/>
      </c>
      <c r="G65" s="30">
        <f>F65-E65</f>
        <v/>
      </c>
      <c r="H65" s="48" t="n"/>
    </row>
    <row r="66" ht="14.25" customHeight="1" s="199"/>
    <row r="67" ht="14.25" customHeight="1" s="199">
      <c r="A67" s="181" t="inlineStr">
        <is>
          <t xml:space="preserve">  PAYROLL BURDEN</t>
        </is>
      </c>
    </row>
    <row r="68" ht="14.25" customHeight="1" s="199">
      <c r="A68" s="180" t="inlineStr">
        <is>
          <t>Overtime wages</t>
        </is>
      </c>
      <c r="B68" s="46" t="n"/>
      <c r="C68" s="46" t="n"/>
      <c r="D68" s="46" t="n"/>
      <c r="E68" s="47">
        <f>IFERROR(INDEX('T12 Raw Data'!R:R,MATCH("Overtime wages",'T12 Raw Data'!B:B,0)),0)</f>
        <v/>
      </c>
      <c r="F68" s="41">
        <f>E68</f>
        <v/>
      </c>
      <c r="G68" s="47">
        <f>F68-E68</f>
        <v/>
      </c>
      <c r="H68" s="38" t="inlineStr">
        <is>
          <t>⚠ EXCESS OT  Normalize to ≤5% of direct wages; flag gap vs. T12</t>
        </is>
      </c>
    </row>
    <row r="69" ht="14.25" customHeight="1" s="199">
      <c r="A69" s="180" t="inlineStr">
        <is>
          <t>PTO wages</t>
        </is>
      </c>
      <c r="B69" s="46" t="n"/>
      <c r="C69" s="46" t="n"/>
      <c r="D69" s="46" t="n"/>
      <c r="E69" s="47">
        <f>IFERROR(INDEX('T12 Raw Data'!R:R,MATCH("PTO wages",'T12 Raw Data'!B:B,0)),0)</f>
        <v/>
      </c>
      <c r="F69" s="41">
        <f>E69</f>
        <v/>
      </c>
      <c r="G69" s="47">
        <f>F69-E69</f>
        <v/>
      </c>
      <c r="H69" s="38" t="inlineStr">
        <is>
          <t>⚠ LUMPY  Annualize; normalize to steady-state accrual rate</t>
        </is>
      </c>
    </row>
    <row r="70" ht="14.25" customHeight="1" s="199">
      <c r="A70" s="177" t="inlineStr">
        <is>
          <t>Payroll taxes</t>
        </is>
      </c>
      <c r="B70" s="200" t="n"/>
      <c r="C70" s="200" t="n"/>
      <c r="D70" s="200" t="n"/>
      <c r="E70" s="24">
        <f>IFERROR(INDEX('T12 Raw Data'!R:R,MATCH("Payroll taxes",'T12 Raw Data'!B:B,0)),0)</f>
        <v/>
      </c>
      <c r="F70" s="41">
        <f>E70</f>
        <v/>
      </c>
      <c r="G70" s="24">
        <f>F70-E70</f>
        <v/>
      </c>
      <c r="H70" s="15" t="inlineStr">
        <is>
          <t>FICA, SUTA, FUTA, UI — track at ~8–10% of gross wages</t>
        </is>
      </c>
    </row>
    <row r="71" ht="14.25" customHeight="1" s="199">
      <c r="A71" s="177" t="inlineStr">
        <is>
          <t>Employee benefits  (health / dental / vision)</t>
        </is>
      </c>
      <c r="B71" s="200" t="n"/>
      <c r="C71" s="200" t="n"/>
      <c r="D71" s="200" t="n"/>
      <c r="E71" s="24">
        <f>IFERROR(INDEX('T12 Raw Data'!R:R,MATCH("Employee benefits",'T12 Raw Data'!B:B,0)),0)</f>
        <v/>
      </c>
      <c r="F71" s="41">
        <f>E71</f>
        <v/>
      </c>
      <c r="G71" s="24">
        <f>F71-E71</f>
        <v/>
      </c>
      <c r="H71" s="15" t="inlineStr">
        <is>
          <t>Validate per-FTE cost; check enrollment changes</t>
        </is>
      </c>
    </row>
    <row r="72" ht="14.25" customHeight="1" s="199">
      <c r="A72" s="177" t="inlineStr">
        <is>
          <t>Workers’ comp insurance</t>
        </is>
      </c>
      <c r="B72" s="200" t="n"/>
      <c r="C72" s="200" t="n"/>
      <c r="D72" s="200" t="n"/>
      <c r="E72" s="24">
        <f>IFERROR(INDEX('T12 Raw Data'!R:R,MATCH("Workers' comp insurance",'T12 Raw Data'!B:B,0)),0)</f>
        <v/>
      </c>
      <c r="F72" s="41">
        <f>E72</f>
        <v/>
      </c>
      <c r="G72" s="24">
        <f>F72-E72</f>
        <v/>
      </c>
      <c r="H72" s="15" t="inlineStr">
        <is>
          <t>Check experience mod; elevated at distressed facilities</t>
        </is>
      </c>
    </row>
    <row r="73" ht="14.25" customHeight="1" s="199">
      <c r="A73" s="177" t="inlineStr">
        <is>
          <t>Employee 401(k) / retirement</t>
        </is>
      </c>
      <c r="B73" s="200" t="n"/>
      <c r="C73" s="200" t="n"/>
      <c r="D73" s="200" t="n"/>
      <c r="E73" s="24">
        <f>IFERROR(INDEX('T12 Raw Data'!R:R,MATCH("Employee 401(k)",'T12 Raw Data'!B:B,0)),0)</f>
        <v/>
      </c>
      <c r="F73" s="41">
        <f>E73</f>
        <v/>
      </c>
      <c r="G73" s="24">
        <f>F73-E73</f>
        <v/>
      </c>
      <c r="H73" s="15" t="inlineStr">
        <is>
          <t>Typically 1–3% of eligible wages</t>
        </is>
      </c>
    </row>
    <row r="74" ht="14.25" customHeight="1" s="199">
      <c r="A74" s="183" t="inlineStr">
        <is>
          <t xml:space="preserve">  Total payroll burden</t>
        </is>
      </c>
      <c r="B74" s="48" t="n"/>
      <c r="C74" s="48" t="n"/>
      <c r="D74" s="48" t="n"/>
      <c r="E74" s="30">
        <f>SUM(E68:E73)</f>
        <v/>
      </c>
      <c r="F74" s="30">
        <f>SUM(F68:F73)</f>
        <v/>
      </c>
      <c r="G74" s="30">
        <f>F74-E74</f>
        <v/>
      </c>
      <c r="H74" s="48" t="n"/>
    </row>
    <row r="75" ht="14.25" customHeight="1" s="199"/>
    <row r="76" ht="14.25" customHeight="1" s="199">
      <c r="A76" s="49" t="inlineStr">
        <is>
          <t>TOTAL LABOR &amp; BURDEN</t>
        </is>
      </c>
      <c r="B76" s="196" t="n"/>
      <c r="C76" s="196" t="n"/>
      <c r="D76" s="196" t="n"/>
      <c r="E76" s="50">
        <f>E65+E74</f>
        <v/>
      </c>
      <c r="F76" s="50">
        <f>F65+F74</f>
        <v/>
      </c>
      <c r="G76" s="50">
        <f>F76-E76</f>
        <v/>
      </c>
      <c r="H76" s="51" t="inlineStr">
        <is>
          <t>Target: 55–65% of EGI</t>
        </is>
      </c>
    </row>
    <row r="77" ht="14.25" customHeight="1" s="199"/>
    <row r="78" ht="14.25" customHeight="1" s="199">
      <c r="A78" s="181" t="inlineStr">
        <is>
          <t xml:space="preserve">  NON-LABOR OPERATING EXPENSES</t>
        </is>
      </c>
    </row>
    <row r="79" ht="14.25" customHeight="1" s="199">
      <c r="A79" s="177" t="inlineStr">
        <is>
          <t>Food cost</t>
        </is>
      </c>
      <c r="B79" s="200" t="n"/>
      <c r="C79" s="200" t="n"/>
      <c r="D79" s="200" t="n"/>
      <c r="E79" s="24">
        <f>IFERROR(INDEX('T12 Raw Data'!R:R,MATCH("Food cost",'T12 Raw Data'!B:B,0)),0)</f>
        <v/>
      </c>
      <c r="F79" s="41">
        <f>E79</f>
        <v/>
      </c>
      <c r="G79" s="24">
        <f>F79-E79</f>
        <v/>
      </c>
      <c r="H79" s="15" t="inlineStr">
        <is>
          <t>Benchmark: $8–12 PPD for AL; $10–14 for MC; $10–16 for IL</t>
        </is>
      </c>
    </row>
    <row r="80" ht="14.25" customHeight="1" s="199">
      <c r="A80" s="177" t="inlineStr">
        <is>
          <t>Dining &amp; kitchen supplies</t>
        </is>
      </c>
      <c r="B80" s="200" t="n"/>
      <c r="C80" s="200" t="n"/>
      <c r="D80" s="200" t="n"/>
      <c r="E80" s="24">
        <f>IFERROR(INDEX('T12 Raw Data'!R:R,MATCH("Dining &amp; kitchen supplies",'T12 Raw Data'!B:B,0)),0)</f>
        <v/>
      </c>
      <c r="F80" s="41">
        <f>E80</f>
        <v/>
      </c>
      <c r="G80" s="24">
        <f>F80-E80</f>
        <v/>
      </c>
      <c r="H80" s="15" t="inlineStr">
        <is>
          <t>Dietary + kitchen supplies combined</t>
        </is>
      </c>
    </row>
    <row r="81" ht="14.25" customHeight="1" s="199">
      <c r="A81" s="177" t="inlineStr">
        <is>
          <t>Nursing &amp; care supplies</t>
        </is>
      </c>
      <c r="B81" s="200" t="n"/>
      <c r="C81" s="200" t="n"/>
      <c r="D81" s="200" t="n"/>
      <c r="E81" s="24">
        <f>IFERROR(INDEX('T12 Raw Data'!R:R,MATCH("Nursing &amp; care supplies",'T12 Raw Data'!B:B,0)),0)</f>
        <v/>
      </c>
      <c r="F81" s="41">
        <f>E81</f>
        <v/>
      </c>
      <c r="G81" s="24">
        <f>F81-E81</f>
        <v/>
      </c>
      <c r="H81" s="15" t="inlineStr">
        <is>
          <t>Incontinence, medications, PPE, clinical supplies</t>
        </is>
      </c>
    </row>
    <row r="82" ht="14.25" customHeight="1" s="199">
      <c r="A82" s="177" t="inlineStr">
        <is>
          <t>Recreation &amp; activity supplies</t>
        </is>
      </c>
      <c r="B82" s="200" t="n"/>
      <c r="C82" s="200" t="n"/>
      <c r="D82" s="200" t="n"/>
      <c r="E82" s="24">
        <f>IFERROR(INDEX('T12 Raw Data'!R:R,MATCH("Recreation &amp; activity suppl.",'T12 Raw Data'!B:B,0)),0)</f>
        <v/>
      </c>
      <c r="F82" s="41">
        <f>E82</f>
        <v/>
      </c>
      <c r="G82" s="24">
        <f>F82-E82</f>
        <v/>
      </c>
      <c r="H82" s="15" t="n"/>
    </row>
    <row r="83" ht="14.25" customHeight="1" s="199">
      <c r="A83" s="177" t="inlineStr">
        <is>
          <t>R&amp;M — fixed  (contracts)</t>
        </is>
      </c>
      <c r="B83" s="200" t="n"/>
      <c r="C83" s="200" t="n"/>
      <c r="D83" s="200" t="n"/>
      <c r="E83" s="24">
        <f>IFERROR(INDEX('T12 Raw Data'!R:R,MATCH("R&amp;M fixed",'T12 Raw Data'!B:B,0)),0)</f>
        <v/>
      </c>
      <c r="F83" s="41">
        <f>E83</f>
        <v/>
      </c>
      <c r="G83" s="24">
        <f>F83-E83</f>
        <v/>
      </c>
      <c r="H83" s="15" t="inlineStr">
        <is>
          <t>Elevator, HVAC, generator, fire suppression contracts</t>
        </is>
      </c>
    </row>
    <row r="84" ht="14.25" customHeight="1" s="199">
      <c r="A84" s="177" t="inlineStr">
        <is>
          <t>R&amp;M — variable  (repairs)</t>
        </is>
      </c>
      <c r="B84" s="200" t="n"/>
      <c r="C84" s="200" t="n"/>
      <c r="D84" s="200" t="n"/>
      <c r="E84" s="24">
        <f>IFERROR(INDEX('T12 Raw Data'!R:R,MATCH("R&amp;M variable",'T12 Raw Data'!B:B,0)),0)</f>
        <v/>
      </c>
      <c r="F84" s="41">
        <f>E84</f>
        <v/>
      </c>
      <c r="G84" s="24">
        <f>F84-E84</f>
        <v/>
      </c>
      <c r="H84" s="15" t="inlineStr">
        <is>
          <t>Variable repairs; flag spikes indicating deferred maintenance</t>
        </is>
      </c>
    </row>
    <row r="85" ht="14.25" customHeight="1" s="199">
      <c r="A85" s="177" t="inlineStr">
        <is>
          <t>Housekeeping &amp; laundry supplies</t>
        </is>
      </c>
      <c r="B85" s="200" t="n"/>
      <c r="C85" s="200" t="n"/>
      <c r="D85" s="200" t="n"/>
      <c r="E85" s="24">
        <f>IFERROR(INDEX('T12 Raw Data'!R:R,MATCH("HK &amp; laundry supplies",'T12 Raw Data'!B:B,0)),0)</f>
        <v/>
      </c>
      <c r="F85" s="41">
        <f>E85</f>
        <v/>
      </c>
      <c r="G85" s="24">
        <f>F85-E85</f>
        <v/>
      </c>
      <c r="H85" s="15" t="inlineStr">
        <is>
          <t>Includes external linen service if outsourced</t>
        </is>
      </c>
    </row>
    <row r="86" ht="14.25" customHeight="1" s="199">
      <c r="A86" s="177" t="inlineStr">
        <is>
          <t>Sales, advertising &amp; marketing</t>
        </is>
      </c>
      <c r="B86" s="200" t="n"/>
      <c r="C86" s="200" t="n"/>
      <c r="D86" s="200" t="n"/>
      <c r="E86" s="24">
        <f>IFERROR(INDEX('T12 Raw Data'!R:R,MATCH("Sales, adv. &amp; marketing",'T12 Raw Data'!B:B,0)),0)</f>
        <v/>
      </c>
      <c r="F86" s="41">
        <f>E86</f>
        <v/>
      </c>
      <c r="G86" s="24">
        <f>F86-E86</f>
        <v/>
      </c>
      <c r="H86" s="15" t="inlineStr">
        <is>
          <t>Benchmark: 2–5% of revenue; includes digital + events</t>
        </is>
      </c>
    </row>
    <row r="87" ht="14.25" customHeight="1" s="199">
      <c r="A87" s="180" t="inlineStr">
        <is>
          <t>Referral fees</t>
        </is>
      </c>
      <c r="B87" s="46" t="n"/>
      <c r="C87" s="46" t="n"/>
      <c r="D87" s="46" t="n"/>
      <c r="E87" s="47">
        <f>IFERROR(INDEX('T12 Raw Data'!R:R,MATCH("Referral fees",'T12 Raw Data'!B:B,0)),0)</f>
        <v/>
      </c>
      <c r="F87" s="41">
        <f>E87</f>
        <v/>
      </c>
      <c r="G87" s="47">
        <f>F87-E87</f>
        <v/>
      </c>
      <c r="H87" s="38" t="inlineStr">
        <is>
          <t>⚠ STABILIZE  Normalize to $0 at steady occupancy; include ramp-up schedule</t>
        </is>
      </c>
    </row>
    <row r="88" ht="14.25" customHeight="1" s="199">
      <c r="A88" s="177" t="inlineStr">
        <is>
          <t>Utilities  (electric, gas, water, trash)</t>
        </is>
      </c>
      <c r="B88" s="200" t="n"/>
      <c r="C88" s="200" t="n"/>
      <c r="D88" s="200" t="n"/>
      <c r="E88" s="24">
        <f>IFERROR(INDEX('T12 Raw Data'!R:R,MATCH("Utilities",'T12 Raw Data'!B:B,0)),0)</f>
        <v/>
      </c>
      <c r="F88" s="41">
        <f>E88</f>
        <v/>
      </c>
      <c r="G88" s="24">
        <f>F88-E88</f>
        <v/>
      </c>
      <c r="H88" s="15" t="n"/>
    </row>
    <row r="89" ht="14.25" customHeight="1" s="199">
      <c r="A89" s="177" t="inlineStr">
        <is>
          <t>Telephone / IT / technology</t>
        </is>
      </c>
      <c r="B89" s="200" t="n"/>
      <c r="C89" s="200" t="n"/>
      <c r="D89" s="200" t="n"/>
      <c r="E89" s="24">
        <f>IFERROR(INDEX('T12 Raw Data'!R:R,MATCH("Telephone / IT",'T12 Raw Data'!B:B,0)),0)</f>
        <v/>
      </c>
      <c r="F89" s="41">
        <f>E89</f>
        <v/>
      </c>
      <c r="G89" s="24">
        <f>F89-E89</f>
        <v/>
      </c>
      <c r="H89" s="15" t="inlineStr">
        <is>
          <t>Review for one-time credits or service changes; include EHR/EMR</t>
        </is>
      </c>
    </row>
    <row r="90" ht="14.25" customHeight="1" s="199">
      <c r="A90" s="177" t="inlineStr">
        <is>
          <t>P&amp;C insurance  (bundled)</t>
        </is>
      </c>
      <c r="B90" s="200" t="n"/>
      <c r="C90" s="200" t="n"/>
      <c r="D90" s="200" t="n"/>
      <c r="E90" s="24">
        <f>IFERROR(INDEX('T12 Raw Data'!R:R,MATCH("P&amp;C insurance (bundled)",'T12 Raw Data'!B:B,0)),0)</f>
        <v/>
      </c>
      <c r="F90" s="41">
        <f>E90</f>
        <v/>
      </c>
      <c r="G90" s="24">
        <f>F90-E90</f>
        <v/>
      </c>
      <c r="H90" s="15" t="inlineStr">
        <is>
          <t>Confirm policy year / renewal; check for mid-year adjustments</t>
        </is>
      </c>
    </row>
    <row r="91" ht="14.25" customHeight="1" s="199">
      <c r="A91" s="177" t="inlineStr">
        <is>
          <t>Auto insurance</t>
        </is>
      </c>
      <c r="B91" s="200" t="n"/>
      <c r="C91" s="200" t="n"/>
      <c r="D91" s="200" t="n"/>
      <c r="E91" s="24">
        <f>IFERROR(INDEX('T12 Raw Data'!R:R,MATCH("Auto insurance",'T12 Raw Data'!B:B,0)),0)</f>
        <v/>
      </c>
      <c r="F91" s="41">
        <f>E91</f>
        <v/>
      </c>
      <c r="G91" s="24">
        <f>F91-E91</f>
        <v/>
      </c>
      <c r="H91" s="15" t="n"/>
    </row>
    <row r="92" ht="14.25" customHeight="1" s="199">
      <c r="A92" s="177" t="inlineStr">
        <is>
          <t>Fire / security monitoring</t>
        </is>
      </c>
      <c r="B92" s="200" t="n"/>
      <c r="C92" s="200" t="n"/>
      <c r="D92" s="200" t="n"/>
      <c r="E92" s="24">
        <f>IFERROR(INDEX('T12 Raw Data'!R:R,MATCH("Fire / security monitoring",'T12 Raw Data'!B:B,0)),0)</f>
        <v/>
      </c>
      <c r="F92" s="41">
        <f>E92</f>
        <v/>
      </c>
      <c r="G92" s="24">
        <f>F92-E92</f>
        <v/>
      </c>
      <c r="H92" s="15" t="inlineStr">
        <is>
          <t>Contract-based; confirm annual cost</t>
        </is>
      </c>
    </row>
    <row r="93" ht="14.25" customHeight="1" s="199">
      <c r="A93" s="177" t="inlineStr">
        <is>
          <t>Pest elimination</t>
        </is>
      </c>
      <c r="B93" s="200" t="n"/>
      <c r="C93" s="200" t="n"/>
      <c r="D93" s="200" t="n"/>
      <c r="E93" s="24">
        <f>IFERROR(INDEX('T12 Raw Data'!R:R,MATCH("Pest elimination",'T12 Raw Data'!B:B,0)),0)</f>
        <v/>
      </c>
      <c r="F93" s="41">
        <f>E93</f>
        <v/>
      </c>
      <c r="G93" s="24">
        <f>F93-E93</f>
        <v/>
      </c>
      <c r="H93" s="15" t="n"/>
    </row>
    <row r="94" ht="14.25" customHeight="1" s="199">
      <c r="A94" s="180" t="inlineStr">
        <is>
          <t>Real estate taxes</t>
        </is>
      </c>
      <c r="B94" s="196" t="n"/>
      <c r="C94" s="196" t="n"/>
      <c r="D94" s="197" t="n"/>
      <c r="E94" s="47">
        <f>IFERROR(INDEX('T12 Raw Data'!R:R,MATCH("Real estate taxes",'T12 Raw Data'!B:B,0)),0)</f>
        <v/>
      </c>
      <c r="F94" s="41">
        <f>E94</f>
        <v/>
      </c>
      <c r="G94" s="47">
        <f>F94-E94</f>
        <v/>
      </c>
      <c r="H94" s="38" t="inlineStr">
        <is>
          <t>⚠ VERIFY  Confirm assessed value post-acquisition; exclude reversals</t>
        </is>
      </c>
    </row>
    <row r="95" ht="14.25" customHeight="1" s="199">
      <c r="A95" s="177" t="inlineStr">
        <is>
          <t>Personal property taxes</t>
        </is>
      </c>
      <c r="B95" s="200" t="n"/>
      <c r="C95" s="200" t="n"/>
      <c r="D95" s="200" t="n"/>
      <c r="E95" s="24">
        <f>IFERROR(INDEX('T12 Raw Data'!R:R,MATCH("Personal property taxes",'T12 Raw Data'!B:B,0)),0)</f>
        <v/>
      </c>
      <c r="F95" s="41">
        <f>E95</f>
        <v/>
      </c>
      <c r="G95" s="24">
        <f>F95-E95</f>
        <v/>
      </c>
      <c r="H95" s="15" t="n"/>
    </row>
    <row r="96" ht="14.25" customHeight="1" s="199">
      <c r="A96" s="177" t="inlineStr">
        <is>
          <t>Legal expenses</t>
        </is>
      </c>
      <c r="B96" s="200" t="n"/>
      <c r="C96" s="200" t="n"/>
      <c r="D96" s="200" t="n"/>
      <c r="E96" s="24">
        <f>IFERROR(INDEX('T12 Raw Data'!R:R,MATCH("Legal expenses",'T12 Raw Data'!B:B,0)),0)</f>
        <v/>
      </c>
      <c r="F96" s="41">
        <f>E96</f>
        <v/>
      </c>
      <c r="G96" s="24">
        <f>F96-E96</f>
        <v/>
      </c>
      <c r="H96" s="15" t="n"/>
    </row>
    <row r="97" ht="14.25" customHeight="1" s="199">
      <c r="A97" s="177" t="inlineStr">
        <is>
          <t>Professional services  (accounting / consulting)</t>
        </is>
      </c>
      <c r="B97" s="196" t="n"/>
      <c r="C97" s="196" t="n"/>
      <c r="D97" s="197" t="n"/>
      <c r="E97" s="24">
        <f>IFERROR(INDEX('T12 Raw Data'!R:R,MATCH("Professional services",'T12 Raw Data'!B:B,0)),0)</f>
        <v/>
      </c>
      <c r="F97" s="41">
        <f>E97</f>
        <v/>
      </c>
      <c r="G97" s="24">
        <f>F97-E97</f>
        <v/>
      </c>
      <c r="H97" s="15" t="inlineStr">
        <is>
          <t>Includes dietary consultant, audit, accounting</t>
        </is>
      </c>
    </row>
    <row r="98" ht="14.25" customHeight="1" s="199">
      <c r="A98" s="180" t="inlineStr">
        <is>
          <t>Bad debt expense</t>
        </is>
      </c>
      <c r="B98" s="46" t="n"/>
      <c r="C98" s="46" t="n"/>
      <c r="D98" s="46" t="n"/>
      <c r="E98" s="47">
        <f>IFERROR(INDEX('T12 Raw Data'!R:R,MATCH("Bad debt expense",'T12 Raw Data'!B:B,0)),0)</f>
        <v/>
      </c>
      <c r="F98" s="41">
        <f>E98</f>
        <v/>
      </c>
      <c r="G98" s="47">
        <f>F98-E98</f>
        <v/>
      </c>
      <c r="H98" s="38" t="inlineStr">
        <is>
          <t>⚠ ELEVATED  Normalize to 1–2% of gross revenue at stabilization</t>
        </is>
      </c>
    </row>
    <row r="99" ht="14.25" customHeight="1" s="199">
      <c r="A99" s="177" t="inlineStr">
        <is>
          <t>Permits, licenses &amp; dues</t>
        </is>
      </c>
      <c r="B99" s="196" t="n"/>
      <c r="C99" s="196" t="n"/>
      <c r="D99" s="197" t="n"/>
      <c r="E99" s="24">
        <f>IFERROR(INDEX('T12 Raw Data'!R:R,MATCH("Permits, licenses &amp; dues",'T12 Raw Data'!B:B,0)),0)</f>
        <v/>
      </c>
      <c r="F99" s="41">
        <f>E99</f>
        <v/>
      </c>
      <c r="G99" s="24">
        <f>F99-E99</f>
        <v/>
      </c>
      <c r="H99" s="15" t="inlineStr">
        <is>
          <t>State survey fees, DOH, association dues, clinical licenses</t>
        </is>
      </c>
    </row>
    <row r="100" ht="14.25" customHeight="1" s="199">
      <c r="A100" s="177" t="inlineStr">
        <is>
          <t>Office, admin &amp; G&amp;A</t>
        </is>
      </c>
      <c r="B100" s="200" t="n"/>
      <c r="C100" s="200" t="n"/>
      <c r="D100" s="200" t="n"/>
      <c r="E100" s="24">
        <f>IFERROR(INDEX('T12 Raw Data'!R:R,MATCH("Office, admin &amp; G&amp;A",'T12 Raw Data'!B:B,0)),0)</f>
        <v/>
      </c>
      <c r="F100" s="41">
        <f>E100</f>
        <v/>
      </c>
      <c r="G100" s="24">
        <f>F100-E100</f>
        <v/>
      </c>
      <c r="H100" s="15" t="inlineStr">
        <is>
          <t>Postage, printing, copier, bank charges, pre-employment, auto expenses</t>
        </is>
      </c>
    </row>
    <row r="101" ht="14.25" customHeight="1" s="199">
      <c r="A101" s="177" t="inlineStr">
        <is>
          <t>Other / miscellaneous</t>
        </is>
      </c>
      <c r="B101" s="200" t="n"/>
      <c r="C101" s="200" t="n"/>
      <c r="D101" s="200" t="n"/>
      <c r="E101" s="24">
        <f>IFERROR(INDEX('T12 Raw Data'!R:R,MATCH("Other / miscellaneous",'T12 Raw Data'!B:B,0)),0)</f>
        <v/>
      </c>
      <c r="F101" s="41">
        <f>E101</f>
        <v/>
      </c>
      <c r="G101" s="24">
        <f>F101-E101</f>
        <v/>
      </c>
      <c r="H101" s="15" t="n"/>
    </row>
    <row r="102" ht="14.25" customHeight="1" s="199">
      <c r="A102" s="180" t="inlineStr">
        <is>
          <t>Lease / ground lease  (if applicable)</t>
        </is>
      </c>
      <c r="B102" s="196" t="n"/>
      <c r="C102" s="196" t="n"/>
      <c r="D102" s="197" t="n"/>
      <c r="E102" s="47">
        <f>IFERROR(INDEX('T12 Raw Data'!R:R,MATCH("Lease / ground lease",'T12 Raw Data'!B:B,0)),0)</f>
        <v/>
      </c>
      <c r="F102" s="52">
        <f>E102</f>
        <v/>
      </c>
      <c r="G102" s="47">
        <f>F102-E102</f>
        <v/>
      </c>
      <c r="H102" s="38" t="inlineStr">
        <is>
          <t>⚠ MANUAL ENTRY — enter lease expense if facility is leased; excluded from Raw Data auto-mapping</t>
        </is>
      </c>
    </row>
    <row r="103" ht="14.25" customHeight="1" s="199">
      <c r="A103" s="183" t="inlineStr">
        <is>
          <t xml:space="preserve">  Total non-labor opex</t>
        </is>
      </c>
      <c r="B103" s="48" t="n"/>
      <c r="C103" s="48" t="n"/>
      <c r="D103" s="48" t="n"/>
      <c r="E103" s="30">
        <f>SUM(E79:E102)</f>
        <v/>
      </c>
      <c r="F103" s="30">
        <f>SUM(F79:F102)</f>
        <v/>
      </c>
      <c r="G103" s="30">
        <f>F103-E103</f>
        <v/>
      </c>
      <c r="H103" s="48" t="n"/>
    </row>
    <row r="104" ht="14.25" customHeight="1" s="199"/>
    <row r="105" ht="14.25" customHeight="1" s="199">
      <c r="A105" s="49" t="inlineStr">
        <is>
          <t>TOTAL OPERATING EXPENSES  (excl. mgmt fee)</t>
        </is>
      </c>
      <c r="B105" s="196" t="n"/>
      <c r="C105" s="196" t="n"/>
      <c r="D105" s="196" t="n"/>
      <c r="E105" s="50">
        <f>E76+E103</f>
        <v/>
      </c>
      <c r="F105" s="50">
        <f>F76+F103</f>
        <v/>
      </c>
      <c r="G105" s="50">
        <f>F105-E105</f>
        <v/>
      </c>
      <c r="H105" s="53" t="n"/>
    </row>
    <row r="106" ht="14.25" customHeight="1" s="199">
      <c r="A106" s="180" t="inlineStr">
        <is>
          <t>Management fee</t>
        </is>
      </c>
      <c r="B106" s="46" t="n"/>
      <c r="C106" s="46" t="n"/>
      <c r="D106" s="46" t="n"/>
      <c r="E106" s="47">
        <f>IFERROR(INDEX('T12 Raw Data'!R:R,MATCH("Management fee",'T12 Raw Data'!B:B,0)),0)</f>
        <v/>
      </c>
      <c r="F106" s="41">
        <f>E106</f>
        <v/>
      </c>
      <c r="G106" s="47">
        <f>F106-E106</f>
        <v/>
      </c>
      <c r="H106" s="38" t="inlineStr">
        <is>
          <t>EXCLUDED from EBITDARM  Evaluate operator separately from real estate; typically 5–7% of revenue</t>
        </is>
      </c>
    </row>
    <row r="107" ht="14.25" customHeight="1" s="199"/>
    <row r="108" ht="14.25" customHeight="1" s="199">
      <c r="A108" s="54" t="inlineStr">
        <is>
          <t>EBITDARM</t>
        </is>
      </c>
      <c r="B108" s="196" t="n"/>
      <c r="C108" s="196" t="n"/>
      <c r="D108" s="197" t="n"/>
      <c r="E108" s="56">
        <f>E52-E105</f>
        <v/>
      </c>
      <c r="F108" s="56">
        <f>F52-F105</f>
        <v/>
      </c>
      <c r="G108" s="56">
        <f>F108-E108</f>
        <v/>
      </c>
      <c r="H108" s="57">
        <f>IFERROR("DARM margin: "&amp;TEXT(F108/F52,"0.0%"),"")</f>
        <v/>
      </c>
    </row>
    <row r="109" ht="14.25" customHeight="1" s="199"/>
    <row r="110" ht="14.25" customHeight="1" s="199">
      <c r="A110" s="58" t="inlineStr">
        <is>
          <t>EBITDAR  (after mgmt fee)</t>
        </is>
      </c>
      <c r="B110" s="196" t="n"/>
      <c r="C110" s="196" t="n"/>
      <c r="D110" s="197" t="n"/>
      <c r="E110" s="59">
        <f>E108-E106</f>
        <v/>
      </c>
      <c r="F110" s="59">
        <f>F108-F106</f>
        <v/>
      </c>
      <c r="G110" s="59">
        <f>F110-E110</f>
        <v/>
      </c>
      <c r="H110" s="60">
        <f>IFERROR("DAR margin: "&amp;TEXT(F110/F52,"0.0%"),"")</f>
        <v/>
      </c>
    </row>
    <row r="111" ht="14.25" customHeight="1" s="199"/>
    <row r="112" ht="14.25" customHeight="1" s="199">
      <c r="A112" s="61" t="inlineStr">
        <is>
          <t>Depreciation  (non-cash, excluded from EBITDA calc)</t>
        </is>
      </c>
      <c r="B112" s="200" t="n"/>
      <c r="C112" s="200" t="n"/>
      <c r="D112" s="200" t="n"/>
      <c r="E112" s="24">
        <f>0</f>
        <v/>
      </c>
      <c r="F112" s="41" t="n">
        <v>0</v>
      </c>
      <c r="G112" s="24">
        <f>F112-E112</f>
        <v/>
      </c>
      <c r="H112" s="15" t="inlineStr">
        <is>
          <t>T12 depreciation from income statement (non-operating)</t>
        </is>
      </c>
    </row>
    <row r="113" ht="14.25" customHeight="1" s="199">
      <c r="A113" s="62" t="inlineStr">
        <is>
          <t>EBITDA</t>
        </is>
      </c>
      <c r="B113" s="196" t="n"/>
      <c r="C113" s="196" t="n"/>
      <c r="D113" s="197" t="n"/>
      <c r="E113" s="63">
        <f>E110-E112</f>
        <v/>
      </c>
      <c r="F113" s="63">
        <f>F110-F112</f>
        <v/>
      </c>
      <c r="G113" s="63">
        <f>F113-E113</f>
        <v/>
      </c>
      <c r="H113" s="64" t="n"/>
    </row>
    <row r="114" ht="14.25" customHeight="1" s="199"/>
    <row r="115" ht="14.25" customHeight="1" s="199">
      <c r="A115" s="194" t="inlineStr">
        <is>
          <t>SECTION 4  ·  NOI &amp; CAP RATE ANALYSIS  —  ACQUISITION METRICS</t>
        </is>
      </c>
    </row>
    <row r="116" ht="14.25" customHeight="1" s="199">
      <c r="A116" s="10" t="inlineStr">
        <is>
          <t>Metric</t>
        </is>
      </c>
      <c r="B116" s="10" t="n"/>
      <c r="C116" s="10" t="n"/>
      <c r="D116" s="10" t="n"/>
      <c r="E116" s="10" t="inlineStr">
        <is>
          <t>T12 Actual</t>
        </is>
      </c>
      <c r="F116" s="23" t="inlineStr">
        <is>
          <t>Normalized</t>
        </is>
      </c>
      <c r="G116" s="10" t="n"/>
      <c r="H116" s="10" t="inlineStr">
        <is>
          <t>Notes</t>
        </is>
      </c>
    </row>
    <row r="117" ht="14.25" customHeight="1" s="199">
      <c r="A117" s="66" t="inlineStr">
        <is>
          <t>Purchase price  (input)</t>
        </is>
      </c>
      <c r="B117" s="200" t="n"/>
      <c r="C117" s="200" t="n"/>
      <c r="D117" s="200" t="n"/>
      <c r="E117" s="41" t="n"/>
      <c r="F117" s="25">
        <f>E117</f>
        <v/>
      </c>
      <c r="G117" s="200" t="n"/>
      <c r="H117" s="15" t="inlineStr">
        <is>
          <t>Total acquisition price including closing costs</t>
        </is>
      </c>
    </row>
    <row r="118" ht="14.25" customHeight="1" s="199">
      <c r="A118" s="177" t="inlineStr">
        <is>
          <t>Going-in cap rate  (T12 EBITDARM / price)</t>
        </is>
      </c>
      <c r="B118" s="200" t="n"/>
      <c r="C118" s="200" t="n"/>
      <c r="D118" s="200" t="n"/>
      <c r="E118" s="31">
        <f>IFERROR(E108/E117,"-")</f>
        <v/>
      </c>
      <c r="F118" s="32">
        <f>IFERROR(F108/F117,"-")</f>
        <v/>
      </c>
      <c r="G118" s="200" t="n"/>
      <c r="H118" s="15" t="inlineStr">
        <is>
          <t>T12 EBITDARM ÷ purchase price</t>
        </is>
      </c>
    </row>
    <row r="119" ht="14.25" customHeight="1" s="199">
      <c r="A119" s="67" t="inlineStr">
        <is>
          <t>Target / hurdle cap rate  (input)</t>
        </is>
      </c>
      <c r="B119" s="200" t="n"/>
      <c r="C119" s="200" t="n"/>
      <c r="D119" s="200" t="n"/>
      <c r="E119" s="68" t="n"/>
      <c r="F119" s="31">
        <f>E119</f>
        <v/>
      </c>
      <c r="G119" s="40">
        <f>IFERROR(F118-E119,"-")</f>
        <v/>
      </c>
      <c r="H119" s="38" t="inlineStr">
        <is>
          <t>Enter hurdle rate. G = stabilized cap minus target.</t>
        </is>
      </c>
    </row>
    <row r="120" ht="14.25" customHeight="1" s="199">
      <c r="A120" s="177" t="inlineStr">
        <is>
          <t>Going-in cap rate  (T12 EBITDAR / price)</t>
        </is>
      </c>
      <c r="B120" s="200" t="n"/>
      <c r="C120" s="200" t="n"/>
      <c r="D120" s="200" t="n"/>
      <c r="E120" s="31">
        <f>IFERROR(E110/E117,"-")</f>
        <v/>
      </c>
      <c r="F120" s="32">
        <f>IFERROR(F110/F117,"-")</f>
        <v/>
      </c>
      <c r="G120" s="200" t="n"/>
      <c r="H120" s="15" t="inlineStr">
        <is>
          <t>T12 EBITDAR ÷ purchase price (after mgmt fee)</t>
        </is>
      </c>
    </row>
    <row r="121" ht="14.25" customHeight="1" s="199">
      <c r="A121" s="67" t="inlineStr">
        <is>
          <t>Cap rate expansion  (stabilized minus going-in)</t>
        </is>
      </c>
      <c r="B121" s="200" t="n"/>
      <c r="C121" s="200" t="n"/>
      <c r="D121" s="200" t="n"/>
      <c r="E121" s="31">
        <f>IFERROR(F118-E118,"-")</f>
        <v/>
      </c>
      <c r="F121" s="31">
        <f>IFERROR(F120-E120,"-")</f>
        <v/>
      </c>
      <c r="G121" s="31">
        <f>IFERROR(E121-F121,"-")</f>
        <v/>
      </c>
      <c r="H121" s="15" t="inlineStr">
        <is>
          <t>E=EBITDARM basis, F=EBITDAR basis. Positive=NOI improvement at stabilization.</t>
        </is>
      </c>
    </row>
    <row r="122" ht="14.25" customHeight="1" s="199"/>
    <row r="123" ht="14.25" customHeight="1" s="199">
      <c r="A123" s="177" t="inlineStr">
        <is>
          <t>Price per total licensed bed</t>
        </is>
      </c>
      <c r="B123" s="200" t="n"/>
      <c r="C123" s="200" t="n"/>
      <c r="D123" s="200" t="n"/>
      <c r="E123" s="24">
        <f>IFERROR(E117/E6,"-")</f>
        <v/>
      </c>
      <c r="F123" s="25">
        <f>IFERROR(F117/E6,"-")</f>
        <v/>
      </c>
      <c r="G123" s="200" t="n"/>
      <c r="H123" s="15" t="inlineStr">
        <is>
          <t>Purchase price ÷ total licensed beds</t>
        </is>
      </c>
    </row>
    <row r="124" ht="14.25" customHeight="1" s="199">
      <c r="A124" s="177" t="inlineStr">
        <is>
          <t>Price per AL bed</t>
        </is>
      </c>
      <c r="B124" s="200" t="n"/>
      <c r="C124" s="200" t="n"/>
      <c r="D124" s="200" t="n"/>
      <c r="E124" s="24">
        <f>IFERROR(E117/C6,"-")</f>
        <v/>
      </c>
      <c r="F124" s="25">
        <f>IFERROR(F117/C6,"-")</f>
        <v/>
      </c>
      <c r="G124" s="200" t="n"/>
      <c r="H124" s="15" t="inlineStr">
        <is>
          <t>Purchase price ÷ AL licensed beds</t>
        </is>
      </c>
    </row>
    <row r="125" ht="14.25" customHeight="1" s="199">
      <c r="A125" s="177" t="inlineStr">
        <is>
          <t>Price per MC bed</t>
        </is>
      </c>
      <c r="B125" s="200" t="n"/>
      <c r="C125" s="200" t="n"/>
      <c r="D125" s="200" t="n"/>
      <c r="E125" s="24">
        <f>IFERROR(E117/D6,"-")</f>
        <v/>
      </c>
      <c r="F125" s="25">
        <f>IFERROR(F117/D6,"-")</f>
        <v/>
      </c>
      <c r="G125" s="200" t="n"/>
      <c r="H125" s="15" t="inlineStr">
        <is>
          <t>Purchase price ÷ MC licensed beds</t>
        </is>
      </c>
    </row>
    <row r="126" ht="14.25" customHeight="1" s="199"/>
    <row r="127" ht="14.25" customHeight="1" s="199">
      <c r="A127" s="177" t="inlineStr">
        <is>
          <t>Gross revenue multiple  (GRM)</t>
        </is>
      </c>
      <c r="B127" s="200" t="n"/>
      <c r="C127" s="200" t="n"/>
      <c r="D127" s="200" t="n"/>
      <c r="E127" s="69">
        <f>IFERROR(E117/E52,"-")</f>
        <v/>
      </c>
      <c r="F127" s="70">
        <f>IFERROR(F117/F52,"-")</f>
        <v/>
      </c>
      <c r="G127" s="200" t="n"/>
      <c r="H127" s="15" t="inlineStr">
        <is>
          <t>Purchase price ÷ EGI</t>
        </is>
      </c>
    </row>
    <row r="128" ht="14.25" customHeight="1" s="199">
      <c r="A128" s="177" t="inlineStr">
        <is>
          <t>EBITDARM multiple</t>
        </is>
      </c>
      <c r="B128" s="200" t="n"/>
      <c r="C128" s="200" t="n"/>
      <c r="D128" s="200" t="n"/>
      <c r="E128" s="69">
        <f>IFERROR(E117/E108,"-")</f>
        <v/>
      </c>
      <c r="F128" s="70">
        <f>IFERROR(F117/F108,"-")</f>
        <v/>
      </c>
      <c r="G128" s="200" t="n"/>
      <c r="H128" s="15" t="inlineStr">
        <is>
          <t>Purchase price ÷ EBITDARM</t>
        </is>
      </c>
    </row>
    <row r="129" ht="14.25" customHeight="1" s="199"/>
    <row r="130" ht="14.25" customHeight="1" s="199">
      <c r="A130" s="194" t="inlineStr">
        <is>
          <t>SECTION 5  ·  KPI DASHBOARD  —  T12 ACTUAL vs. NORMALIZED</t>
        </is>
      </c>
    </row>
    <row r="131" ht="14.25" customHeight="1" s="199">
      <c r="A131" s="10" t="inlineStr">
        <is>
          <t>Key Performance Indicator</t>
        </is>
      </c>
      <c r="B131" s="10" t="n"/>
      <c r="C131" s="10" t="n"/>
      <c r="D131" s="10" t="n"/>
      <c r="E131" s="10" t="inlineStr">
        <is>
          <t>T12 Actual</t>
        </is>
      </c>
      <c r="F131" s="23" t="inlineStr">
        <is>
          <t>Normalized</t>
        </is>
      </c>
      <c r="G131" s="10" t="n"/>
      <c r="H131" s="10" t="inlineStr">
        <is>
          <t>Benchmark</t>
        </is>
      </c>
    </row>
    <row r="132" ht="14.25" customHeight="1" s="199">
      <c r="A132" s="181" t="inlineStr">
        <is>
          <t xml:space="preserve">  OCCUPANCY</t>
        </is>
      </c>
    </row>
    <row r="133" ht="14.25" customHeight="1" s="199">
      <c r="A133" s="71" t="inlineStr">
        <is>
          <t>Physical occupancy %  —  IL</t>
        </is>
      </c>
      <c r="B133" s="72" t="n"/>
      <c r="C133" s="72" t="n"/>
      <c r="D133" s="72" t="n"/>
      <c r="E133" s="73">
        <f>IFERROR(B7/B6,"-")</f>
        <v/>
      </c>
      <c r="F133" s="73">
        <f>IFERROR(B11/B6,"-")</f>
        <v/>
      </c>
      <c r="G133" s="72" t="n"/>
      <c r="H133" s="74" t="inlineStr">
        <is>
          <t>Target: 90%+ stabilized for IL</t>
        </is>
      </c>
    </row>
    <row r="134" ht="14.25" customHeight="1" s="199">
      <c r="A134" s="71" t="inlineStr">
        <is>
          <t>Physical occupancy %  —  AL</t>
        </is>
      </c>
      <c r="B134" s="72" t="n"/>
      <c r="C134" s="72" t="n"/>
      <c r="D134" s="72" t="n"/>
      <c r="E134" s="73">
        <f>IFERROR(C7/C6,"-")</f>
        <v/>
      </c>
      <c r="F134" s="73">
        <f>IFERROR(C11/C6,"-")</f>
        <v/>
      </c>
      <c r="G134" s="72" t="n"/>
      <c r="H134" s="74" t="inlineStr">
        <is>
          <t>Target: 87–92% stabilized for AL</t>
        </is>
      </c>
    </row>
    <row r="135" ht="14.25" customHeight="1" s="199">
      <c r="A135" s="71" t="inlineStr">
        <is>
          <t>Physical occupancy %  —  MC</t>
        </is>
      </c>
      <c r="B135" s="72" t="n"/>
      <c r="C135" s="72" t="n"/>
      <c r="D135" s="72" t="n"/>
      <c r="E135" s="73">
        <f>IFERROR(D7/D6,"-")</f>
        <v/>
      </c>
      <c r="F135" s="73">
        <f>IFERROR(D11/D6,"-")</f>
        <v/>
      </c>
      <c r="G135" s="72" t="n"/>
      <c r="H135" s="74" t="inlineStr">
        <is>
          <t>Target: 85–90% stabilized for MC</t>
        </is>
      </c>
    </row>
    <row r="136" ht="14.25" customHeight="1" s="199">
      <c r="A136" s="75" t="inlineStr">
        <is>
          <t>Blended physical occupancy %</t>
        </is>
      </c>
      <c r="B136" s="200" t="n"/>
      <c r="C136" s="200" t="n"/>
      <c r="D136" s="200" t="n"/>
      <c r="E136" s="31">
        <f>IFERROR(E7/E6,"-")</f>
        <v/>
      </c>
      <c r="F136" s="31">
        <f>IFERROR(E11/E6,"-")</f>
        <v/>
      </c>
      <c r="G136" s="200" t="n"/>
      <c r="H136" s="15" t="inlineStr">
        <is>
          <t>Blended across all care types</t>
        </is>
      </c>
    </row>
    <row r="137" ht="14.25" customHeight="1" s="199">
      <c r="A137" s="181" t="inlineStr">
        <is>
          <t xml:space="preserve">  REVENUE PER UNIT / BED</t>
        </is>
      </c>
    </row>
    <row r="138" ht="14.25" customHeight="1" s="199">
      <c r="A138" s="71" t="inlineStr">
        <is>
          <t>ADR — IL  (avg daily rate, monthly)</t>
        </is>
      </c>
      <c r="B138" s="72" t="n"/>
      <c r="C138" s="72" t="n"/>
      <c r="D138" s="72" t="n"/>
      <c r="E138" s="76">
        <f>IFERROR(B16/(B7*12),"-")</f>
        <v/>
      </c>
      <c r="F138" s="76">
        <f>IFERROR(B20/(B11*12),"-")</f>
        <v/>
      </c>
      <c r="G138" s="72" t="n"/>
      <c r="H138" s="74" t="inlineStr">
        <is>
          <t>Avg monthly base rate per occupied IL unit</t>
        </is>
      </c>
    </row>
    <row r="139" ht="14.25" customHeight="1" s="199">
      <c r="A139" s="71" t="inlineStr">
        <is>
          <t>ADR — AL  (avg daily rate, monthly)</t>
        </is>
      </c>
      <c r="B139" s="72" t="n"/>
      <c r="C139" s="72" t="n"/>
      <c r="D139" s="72" t="n"/>
      <c r="E139" s="76">
        <f>IFERROR(C16/(C7*12),"-")</f>
        <v/>
      </c>
      <c r="F139" s="76">
        <f>IFERROR(C20/(C11*12),"-")</f>
        <v/>
      </c>
      <c r="G139" s="72" t="n"/>
      <c r="H139" s="74" t="inlineStr">
        <is>
          <t>Avg monthly base rate per occupied AL bed</t>
        </is>
      </c>
    </row>
    <row r="140" ht="14.25" customHeight="1" s="199">
      <c r="A140" s="71" t="inlineStr">
        <is>
          <t>ADR — MC  (avg daily rate, monthly)</t>
        </is>
      </c>
      <c r="B140" s="72" t="n"/>
      <c r="C140" s="72" t="n"/>
      <c r="D140" s="72" t="n"/>
      <c r="E140" s="76">
        <f>IFERROR(D16/(D7*12),"-")</f>
        <v/>
      </c>
      <c r="F140" s="76">
        <f>IFERROR(D20/(D11*12),"-")</f>
        <v/>
      </c>
      <c r="G140" s="72" t="n"/>
      <c r="H140" s="74" t="inlineStr">
        <is>
          <t>Avg monthly base rate per occupied MC bed</t>
        </is>
      </c>
    </row>
    <row r="141" ht="14.25" customHeight="1" s="199">
      <c r="A141" s="71" t="inlineStr">
        <is>
          <t>RevPOR — IL  (base + LOC / occ. unit / month)</t>
        </is>
      </c>
      <c r="B141" s="72" t="n"/>
      <c r="C141" s="72" t="n"/>
      <c r="D141" s="72" t="n"/>
      <c r="E141" s="76">
        <f>IFERROR((B16+B23)/(B7*12),"-")</f>
        <v/>
      </c>
      <c r="F141" s="76">
        <f>IFERROR((B20+B27)/(B11*12),"-")</f>
        <v/>
      </c>
      <c r="G141" s="72" t="n"/>
      <c r="H141" s="74" t="inlineStr">
        <is>
          <t>Total IL revenue per occupied unit per month</t>
        </is>
      </c>
    </row>
    <row r="142" ht="14.25" customHeight="1" s="199">
      <c r="A142" s="75" t="inlineStr">
        <is>
          <t>RevPOR — AL  (base + LOC / occ. bed / month)</t>
        </is>
      </c>
      <c r="B142" s="200" t="n"/>
      <c r="C142" s="200" t="n"/>
      <c r="D142" s="200" t="n"/>
      <c r="E142" s="24">
        <f>IFERROR((C16+C23)/(C7*12),"-")</f>
        <v/>
      </c>
      <c r="F142" s="24">
        <f>IFERROR((C20+C27)/(C11*12),"-")</f>
        <v/>
      </c>
      <c r="G142" s="200" t="n"/>
      <c r="H142" s="15" t="inlineStr">
        <is>
          <t>Total AL revenue per occupied bed per month (base + LOC)</t>
        </is>
      </c>
    </row>
    <row r="143" ht="14.25" customHeight="1" s="199">
      <c r="A143" s="71" t="inlineStr">
        <is>
          <t>RevPOR — MC  (base + LOC / occ. bed / month)</t>
        </is>
      </c>
      <c r="B143" s="72" t="n"/>
      <c r="C143" s="72" t="n"/>
      <c r="D143" s="72" t="n"/>
      <c r="E143" s="76">
        <f>IFERROR((D16+D23)/(D7*12),"-")</f>
        <v/>
      </c>
      <c r="F143" s="76">
        <f>IFERROR((D20+D27)/(D11*12),"-")</f>
        <v/>
      </c>
      <c r="G143" s="72" t="n"/>
      <c r="H143" s="74" t="inlineStr">
        <is>
          <t>Total MC revenue per occupied bed per month; typically highest</t>
        </is>
      </c>
    </row>
    <row r="144" ht="14.25" customHeight="1" s="199">
      <c r="A144" s="71" t="inlineStr">
        <is>
          <t>EGI per occupied bed / month</t>
        </is>
      </c>
      <c r="B144" s="72" t="n"/>
      <c r="C144" s="72" t="n"/>
      <c r="D144" s="72" t="n"/>
      <c r="E144" s="76">
        <f>IFERROR(E52/(E7*12),"-")</f>
        <v/>
      </c>
      <c r="F144" s="76">
        <f>IFERROR(F52/(E11*12),"-")</f>
        <v/>
      </c>
      <c r="G144" s="72" t="n"/>
      <c r="H144" s="74" t="inlineStr">
        <is>
          <t>Total EGI ÷ total occupied beds ÷ 12</t>
        </is>
      </c>
    </row>
    <row r="145" ht="14.25" customHeight="1" s="199">
      <c r="A145" s="75" t="inlineStr">
        <is>
          <t>RevPAB — EGI per available bed / month</t>
        </is>
      </c>
      <c r="B145" s="200" t="n"/>
      <c r="C145" s="200" t="n"/>
      <c r="D145" s="200" t="n"/>
      <c r="E145" s="24">
        <f>IFERROR(E52/(E6*12),"-")</f>
        <v/>
      </c>
      <c r="F145" s="24">
        <f>IFERROR(F52/(E6*12),"-")</f>
        <v/>
      </c>
      <c r="G145" s="200" t="n"/>
      <c r="H145" s="15" t="inlineStr">
        <is>
          <t>Revenue per available (licensed) bed per month</t>
        </is>
      </c>
    </row>
    <row r="146" ht="14.25" customHeight="1" s="199">
      <c r="A146" s="71" t="inlineStr">
        <is>
          <t>LOC revenue as % of base rent  (acuity indicator)</t>
        </is>
      </c>
      <c r="B146" s="72" t="n"/>
      <c r="C146" s="72" t="n"/>
      <c r="D146" s="72" t="n"/>
      <c r="E146" s="73">
        <f>IFERROR(E23/E16,"-")</f>
        <v/>
      </c>
      <c r="F146" s="73">
        <f>IFERROR(F27/F20,"-")</f>
        <v/>
      </c>
      <c r="G146" s="72" t="n"/>
      <c r="H146" s="74" t="inlineStr">
        <is>
          <t>Higher = higher acuity mix; validate vs. care level assessments</t>
        </is>
      </c>
    </row>
    <row r="147" ht="14.25" customHeight="1" s="199">
      <c r="A147" s="181" t="inlineStr">
        <is>
          <t xml:space="preserve">  LABOR METRICS</t>
        </is>
      </c>
    </row>
    <row r="148" ht="14.25" customHeight="1" s="199">
      <c r="A148" s="71" t="inlineStr">
        <is>
          <t>Total labor &amp; burden  (% EGI)</t>
        </is>
      </c>
      <c r="B148" s="72" t="n"/>
      <c r="C148" s="72" t="n"/>
      <c r="D148" s="72" t="n"/>
      <c r="E148" s="73">
        <f>IFERROR(E76/E52,"-")</f>
        <v/>
      </c>
      <c r="F148" s="73">
        <f>IFERROR(F76/F52,"-")</f>
        <v/>
      </c>
      <c r="G148" s="72" t="n"/>
      <c r="H148" s="74" t="inlineStr">
        <is>
          <t>Target: 55–65% of EGI; varies by acuity mix</t>
        </is>
      </c>
    </row>
    <row r="149" ht="14.25" customHeight="1" s="199">
      <c r="A149" s="71" t="inlineStr">
        <is>
          <t>Direct labor  (% EGI)</t>
        </is>
      </c>
      <c r="B149" s="72" t="n"/>
      <c r="C149" s="72" t="n"/>
      <c r="D149" s="72" t="n"/>
      <c r="E149" s="73">
        <f>IFERROR(E65/E52,"-")</f>
        <v/>
      </c>
      <c r="F149" s="73">
        <f>IFERROR(F65/F52,"-")</f>
        <v/>
      </c>
      <c r="G149" s="72" t="n"/>
      <c r="H149" s="74" t="inlineStr">
        <is>
          <t>Target: 45–55% of EGI</t>
        </is>
      </c>
    </row>
    <row r="150" ht="14.25" customHeight="1" s="199">
      <c r="A150" s="71" t="inlineStr">
        <is>
          <t>Overtime wages  (% of direct wages)</t>
        </is>
      </c>
      <c r="B150" s="72" t="n"/>
      <c r="C150" s="72" t="n"/>
      <c r="D150" s="72" t="n"/>
      <c r="E150" s="73">
        <f>IFERROR(E68/E65,"-")</f>
        <v/>
      </c>
      <c r="F150" s="73">
        <f>IFERROR(F68/F65,"-")</f>
        <v/>
      </c>
      <c r="G150" s="72" t="n"/>
      <c r="H150" s="74" t="inlineStr">
        <is>
          <t>Target: ≤5% of direct wages at stabilization</t>
        </is>
      </c>
    </row>
    <row r="151" ht="14.25" customHeight="1" s="199">
      <c r="A151" s="71" t="inlineStr">
        <is>
          <t>PTO wages  (% of direct wages)</t>
        </is>
      </c>
      <c r="B151" s="72" t="n"/>
      <c r="C151" s="72" t="n"/>
      <c r="D151" s="72" t="n"/>
      <c r="E151" s="73">
        <f>IFERROR(E69/E65,"-")</f>
        <v/>
      </c>
      <c r="F151" s="73">
        <f>IFERROR(F69/F65,"-")</f>
        <v/>
      </c>
      <c r="G151" s="72" t="n"/>
      <c r="H151" s="74" t="inlineStr">
        <is>
          <t>Steady-state: 4–6% of direct wages</t>
        </is>
      </c>
    </row>
    <row r="152" ht="14.25" customHeight="1" s="199">
      <c r="A152" s="71" t="inlineStr">
        <is>
          <t>Contract / agency labor  (% of direct labor)</t>
        </is>
      </c>
      <c r="B152" s="72" t="n"/>
      <c r="C152" s="72" t="n"/>
      <c r="D152" s="72" t="n"/>
      <c r="E152" s="73">
        <f>IFERROR(E59/E65,"-")</f>
        <v/>
      </c>
      <c r="F152" s="73">
        <f>IFERROR(F59/F65,"-")</f>
        <v/>
      </c>
      <c r="G152" s="72" t="n"/>
      <c r="H152" s="74" t="inlineStr">
        <is>
          <t>Target: ≤3% at stabilization; flag if elevated</t>
        </is>
      </c>
    </row>
    <row r="153" ht="14.25" customHeight="1" s="199">
      <c r="A153" s="181" t="inlineStr">
        <is>
          <t xml:space="preserve">  DINING METRICS</t>
        </is>
      </c>
    </row>
    <row r="154" ht="14.25" customHeight="1" s="199">
      <c r="A154" s="71" t="inlineStr">
        <is>
          <t>Food cost per patient day  (PPD)</t>
        </is>
      </c>
      <c r="B154" s="72" t="n"/>
      <c r="C154" s="72" t="n"/>
      <c r="D154" s="72" t="n"/>
      <c r="E154" s="76">
        <f>IFERROR(E79/(E7*365),"-")</f>
        <v/>
      </c>
      <c r="F154" s="76">
        <f>IFERROR(F79/(E11*365),"-")</f>
        <v/>
      </c>
      <c r="G154" s="72" t="n"/>
      <c r="H154" s="74" t="inlineStr">
        <is>
          <t>Benchmark: $8–12 PPD for AL; $10–14 for MC; $10–16 for IL</t>
        </is>
      </c>
    </row>
    <row r="155" ht="14.25" customHeight="1" s="199">
      <c r="A155" s="75" t="inlineStr">
        <is>
          <t>Food cost  (% EGI)</t>
        </is>
      </c>
      <c r="B155" s="200" t="n"/>
      <c r="C155" s="200" t="n"/>
      <c r="D155" s="200" t="n"/>
      <c r="E155" s="31">
        <f>IFERROR(E79/E52,"-")</f>
        <v/>
      </c>
      <c r="F155" s="31">
        <f>IFERROR(F79/F52,"-")</f>
        <v/>
      </c>
      <c r="G155" s="200" t="n"/>
      <c r="H155" s="15" t="inlineStr">
        <is>
          <t>Target: 6–9% of EGI</t>
        </is>
      </c>
    </row>
    <row r="156" ht="14.25" customHeight="1" s="199">
      <c r="A156" s="181" t="inlineStr">
        <is>
          <t xml:space="preserve">  FINANCIAL METRICS</t>
        </is>
      </c>
    </row>
    <row r="157" ht="14.25" customHeight="1" s="199">
      <c r="A157" s="71" t="inlineStr">
        <is>
          <t>Management fee  (% revenue)</t>
        </is>
      </c>
      <c r="B157" s="72" t="n"/>
      <c r="C157" s="72" t="n"/>
      <c r="D157" s="72" t="n"/>
      <c r="E157" s="73">
        <f>IFERROR(E106/E52,"-")</f>
        <v/>
      </c>
      <c r="F157" s="73">
        <f>IFERROR(F106/F52,"-")</f>
        <v/>
      </c>
      <c r="G157" s="72" t="n"/>
      <c r="H157" s="74" t="inlineStr">
        <is>
          <t>Industry range: 5–7% of revenue</t>
        </is>
      </c>
    </row>
    <row r="158" ht="14.25" customHeight="1" s="199">
      <c r="A158" s="71" t="inlineStr">
        <is>
          <t>Bad debt  (% gross revenue)</t>
        </is>
      </c>
      <c r="B158" s="72" t="n"/>
      <c r="C158" s="72" t="n"/>
      <c r="D158" s="72" t="n"/>
      <c r="E158" s="73">
        <f>IFERROR(E98/E52,"-")</f>
        <v/>
      </c>
      <c r="F158" s="73">
        <f>IFERROR(F98/F52,"-")</f>
        <v/>
      </c>
      <c r="G158" s="72" t="n"/>
      <c r="H158" s="74" t="inlineStr">
        <is>
          <t>Normalize to ≤2% at stabilization</t>
        </is>
      </c>
    </row>
    <row r="159" ht="14.25" customHeight="1" s="199">
      <c r="A159" s="71" t="inlineStr">
        <is>
          <t>P&amp;C insurance  (% EGI)</t>
        </is>
      </c>
      <c r="B159" s="72" t="n"/>
      <c r="C159" s="72" t="n"/>
      <c r="D159" s="72" t="n"/>
      <c r="E159" s="73">
        <f>IFERROR(E90/E52,"-")</f>
        <v/>
      </c>
      <c r="F159" s="73">
        <f>IFERROR(F90/F52,"-")</f>
        <v/>
      </c>
      <c r="G159" s="72" t="n"/>
      <c r="H159" s="74" t="inlineStr">
        <is>
          <t>Benchmark: 4–7% of EGI; confirm renewal pricing</t>
        </is>
      </c>
    </row>
    <row r="160" ht="14.25" customHeight="1" s="199">
      <c r="A160" s="71" t="inlineStr">
        <is>
          <t>OpEx per occupied bed / month  (excl. mgmt fee)</t>
        </is>
      </c>
      <c r="B160" s="72" t="n"/>
      <c r="C160" s="72" t="n"/>
      <c r="D160" s="72" t="n"/>
      <c r="E160" s="76">
        <f>IFERROR(E105/(E7*12),"-")</f>
        <v/>
      </c>
      <c r="F160" s="76">
        <f>IFERROR(F105/(E11*12),"-")</f>
        <v/>
      </c>
      <c r="G160" s="72" t="n"/>
      <c r="H160" s="74" t="inlineStr">
        <is>
          <t>All-in operating cost per occ. bed — track vs. market comps</t>
        </is>
      </c>
    </row>
    <row r="161" ht="14.25" customHeight="1" s="199">
      <c r="A161" s="71" t="inlineStr">
        <is>
          <t>EBITDARM  ($)</t>
        </is>
      </c>
      <c r="B161" s="72" t="n"/>
      <c r="C161" s="72" t="n"/>
      <c r="D161" s="72" t="n"/>
      <c r="E161" s="77">
        <f>E108</f>
        <v/>
      </c>
      <c r="F161" s="77">
        <f>F108</f>
        <v/>
      </c>
      <c r="G161" s="72" t="n"/>
      <c r="H161" s="74" t="inlineStr">
        <is>
          <t>Target: 20–30%+ for AL/MC; 25–35% for IL</t>
        </is>
      </c>
    </row>
    <row r="162" ht="14.25" customHeight="1" s="199">
      <c r="A162" s="71" t="inlineStr">
        <is>
          <t>EBITDARM margin  (%)</t>
        </is>
      </c>
      <c r="B162" s="72" t="n"/>
      <c r="C162" s="72" t="n"/>
      <c r="D162" s="72" t="n"/>
      <c r="E162" s="73">
        <f>IFERROR(E108/E52,"-")</f>
        <v/>
      </c>
      <c r="F162" s="73">
        <f>IFERROR(F108/F52,"-")</f>
        <v/>
      </c>
      <c r="G162" s="72" t="n"/>
      <c r="H162" s="74" t="inlineStr">
        <is>
          <t>Target: 20–30%+ for AL/MC; 25–35% for IL</t>
        </is>
      </c>
    </row>
    <row r="163" ht="14.25" customHeight="1" s="199">
      <c r="A163" s="71" t="inlineStr">
        <is>
          <t>EBITDAR  ($)  (after mgmt fee)</t>
        </is>
      </c>
      <c r="B163" s="72" t="n"/>
      <c r="C163" s="72" t="n"/>
      <c r="D163" s="72" t="n"/>
      <c r="E163" s="77">
        <f>E110</f>
        <v/>
      </c>
      <c r="F163" s="77">
        <f>F110</f>
        <v/>
      </c>
      <c r="G163" s="72" t="n"/>
      <c r="H163" s="74" t="inlineStr">
        <is>
          <t>Target: 15–25%+ (varies by mgmt fee structure)</t>
        </is>
      </c>
    </row>
    <row r="164" ht="14.25" customHeight="1" s="199">
      <c r="A164" s="71" t="inlineStr">
        <is>
          <t>EBITDAR margin  (%)</t>
        </is>
      </c>
      <c r="B164" s="72" t="n"/>
      <c r="C164" s="72" t="n"/>
      <c r="D164" s="72" t="n"/>
      <c r="E164" s="73">
        <f>IFERROR(E110/E52,"-")</f>
        <v/>
      </c>
      <c r="F164" s="73">
        <f>IFERROR(F110/F52,"-")</f>
        <v/>
      </c>
      <c r="G164" s="72" t="n"/>
      <c r="H164" s="74" t="inlineStr">
        <is>
          <t>Target: 15–25%+ (varies by mgmt fee structure)</t>
        </is>
      </c>
    </row>
    <row r="165" ht="14.25" customHeight="1" s="199"/>
    <row r="166" ht="14.25" customHeight="1" s="199">
      <c r="A166" s="190" t="inlineStr">
        <is>
          <t xml:space="preserve">  COLOR KEY:  Yellow = hardcoded input  |  Gray = formula  |  Amber = normalization flag / one-time  |  Blue/Green rows = totals &amp; NOI  |  Blue-gray = sub-totals</t>
        </is>
      </c>
    </row>
    <row r="168">
      <c r="A168" s="225" t="inlineStr">
        <is>
          <t>RR ↔ T12 — 2nd Person Revenue Reconciliation  (BL-0004)</t>
        </is>
      </c>
    </row>
    <row r="169">
      <c r="A169" s="226" t="inlineStr">
        <is>
          <t>Metric</t>
        </is>
      </c>
      <c r="B169" s="226" t="inlineStr">
        <is>
          <t>RR projection
(annual)</t>
        </is>
      </c>
      <c r="C169" s="226" t="inlineStr">
        <is>
          <t>T12 actual
(annual)</t>
        </is>
      </c>
      <c r="D169" s="226" t="inlineStr">
        <is>
          <t>Variance %</t>
        </is>
      </c>
      <c r="E169" s="226" t="inlineStr">
        <is>
          <t>Note</t>
        </is>
      </c>
      <c r="F169" s="196" t="n"/>
      <c r="G169" s="197" t="n"/>
    </row>
    <row r="170">
      <c r="A170" s="229" t="inlineStr">
        <is>
          <t>2P revenue
(Σ Rent Roll Input!V × 12  vs.  T12 Raw Data!R15)</t>
        </is>
      </c>
      <c r="B170" s="235">
        <f>SUM('Rent Roll Input'!$V$7:$V$606)*12</f>
        <v/>
      </c>
      <c r="C170" s="235">
        <f>IFERROR('T12 Raw Data'!$R$15,0)</f>
        <v/>
      </c>
      <c r="D170" s="240">
        <f>IFERROR((B170-C170)/C170,"")</f>
        <v/>
      </c>
      <c r="E170" s="241">
        <f>IF(NOT(ISNUMBER(D170)),"",IF(ABS(D170)&gt;0.1,"⚠ 2P revenue gap of "&amp;TEXT(D170,"0.0%")&amp;" — verify SP column matches operator's published 2P rate","✓ 2P revenue reconciles within "&amp;TEXT(0.1,"0%")&amp;" of T12"))</f>
        <v/>
      </c>
      <c r="F170" s="196" t="n"/>
      <c r="G170" s="197" t="n"/>
    </row>
  </sheetData>
  <mergeCells count="21">
    <mergeCell ref="A67:H67"/>
    <mergeCell ref="A15:H15"/>
    <mergeCell ref="A97:D97"/>
    <mergeCell ref="E170:G170"/>
    <mergeCell ref="A1:H1"/>
    <mergeCell ref="A45:H45"/>
    <mergeCell ref="A102:D102"/>
    <mergeCell ref="E169:G169"/>
    <mergeCell ref="A56:H56"/>
    <mergeCell ref="A94:D94"/>
    <mergeCell ref="A168:G168"/>
    <mergeCell ref="A104:H104"/>
    <mergeCell ref="A65:D65"/>
    <mergeCell ref="A99:D99"/>
    <mergeCell ref="A126:H126"/>
    <mergeCell ref="A22:H22"/>
    <mergeCell ref="A4:H4"/>
    <mergeCell ref="A29:H29"/>
    <mergeCell ref="A43:H43"/>
    <mergeCell ref="A13:H13"/>
    <mergeCell ref="A34:H34"/>
  </mergeCells>
  <pageMargins left="0.75" right="0.75" top="1" bottom="1" header="0.511811023622047" footer="0.511811023622047"/>
  <pageSetup orientation="portrait" paperSize="9" horizontalDpi="300" verticalDpi="300"/>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Z511"/>
  <sheetViews>
    <sheetView zoomScaleNormal="100" workbookViewId="0">
      <pane ySplit="11" topLeftCell="A12" activePane="bottomLeft" state="frozen"/>
      <selection pane="bottomLeft" activeCell="H32" sqref="H32"/>
    </sheetView>
  </sheetViews>
  <sheetFormatPr baseColWidth="8" defaultColWidth="8.7109375" defaultRowHeight="15"/>
  <cols>
    <col width="14" customWidth="1" style="199" min="1" max="1"/>
    <col width="36" customWidth="1" style="199" min="2" max="2"/>
    <col width="14.5703125" customWidth="1" style="199" min="3" max="3"/>
    <col width="11.85546875" customWidth="1" style="199" min="4" max="14"/>
    <col width="13" customWidth="1" style="199" min="15" max="15"/>
    <col width="25.140625" customWidth="1" style="199" min="16" max="16"/>
  </cols>
  <sheetData>
    <row r="1" ht="16.5" customHeight="1" s="199">
      <c r="A1" s="187" t="inlineStr">
        <is>
          <t>T12 Input  —  Paste T12 data here</t>
        </is>
      </c>
      <c r="AZ1" t="inlineStr">
        <is>
          <t>T12 raw paste area (MRI / Yardi / normalizer output)</t>
        </is>
      </c>
    </row>
    <row r="2">
      <c r="A2" s="215" t="n"/>
      <c r="AZ2" t="inlineStr">
        <is>
          <t>input</t>
        </is>
      </c>
    </row>
    <row r="3">
      <c r="A3" s="186" t="inlineStr">
        <is>
          <t>How to use — no setup, no refresh, instant results</t>
        </is>
      </c>
      <c r="AZ3" t="inlineStr">
        <is>
          <t>visible</t>
        </is>
      </c>
    </row>
    <row r="4">
      <c r="A4" s="185" t="inlineStr">
        <is>
          <t>1.  Upload this Analyzer + your raw T12 to the Streamlit app.</t>
        </is>
      </c>
      <c r="AZ4" t="inlineStr">
        <is>
          <t>v0.2.7</t>
        </is>
      </c>
    </row>
    <row r="5">
      <c r="A5" s="185" t="inlineStr">
        <is>
          <t>2.  Map any UNMATCHED descriptions in-app before downloading.</t>
        </is>
      </c>
    </row>
    <row r="6">
      <c r="A6" s="184" t="inlineStr">
        <is>
          <t>3.  Open the populated Analyzer — Coverage Check (col P) confirms all rows mapped.</t>
        </is>
      </c>
    </row>
    <row r="7">
      <c r="A7" s="184" t="inlineStr">
        <is>
          <t>4.  Mappings persist in Description_Map for next upload.</t>
        </is>
      </c>
    </row>
    <row r="8">
      <c r="A8" s="185" t="n"/>
    </row>
    <row r="9">
      <c r="A9" s="184" t="inlineStr">
        <is>
          <t>Layout: Account # (col A, optional, populated for Yardi-style T12s only), Description (col B, required), 12 months (cols C-N), T12 Total (col O). Headers in row 11 reflect the source T12 period.</t>
        </is>
      </c>
    </row>
    <row r="11">
      <c r="A11" s="172" t="inlineStr">
        <is>
          <t>Account #</t>
        </is>
      </c>
      <c r="B11" s="173" t="inlineStr">
        <is>
          <t>Description</t>
        </is>
      </c>
      <c r="O11" s="173" t="inlineStr">
        <is>
          <t>T12 Total</t>
        </is>
      </c>
      <c r="P11" s="79" t="inlineStr">
        <is>
          <t>Coverage Check</t>
        </is>
      </c>
    </row>
    <row r="12" ht="15" customHeight="1" s="199">
      <c r="C12" s="80" t="n"/>
      <c r="D12" s="80" t="n"/>
      <c r="E12" s="80" t="n"/>
      <c r="F12" s="80" t="n"/>
      <c r="G12" s="80" t="n"/>
      <c r="H12" s="80" t="n"/>
      <c r="I12" s="80" t="n"/>
      <c r="J12" s="80" t="n"/>
      <c r="K12" s="80" t="n"/>
      <c r="L12" s="80" t="n"/>
      <c r="M12" s="80" t="n"/>
      <c r="N12" s="80" t="n"/>
      <c r="P12" s="81">
        <f>IF(TRIM(B12)&lt;&gt;"",IFERROR(INDEX(DescMap_Label,MATCH(TRIM(B12),DescMap_Description,0)),"UNMATCHED"),"")</f>
        <v/>
      </c>
    </row>
    <row r="13" ht="15" customHeight="1" s="199">
      <c r="C13" s="80" t="n"/>
      <c r="D13" s="80" t="n"/>
      <c r="E13" s="80" t="n"/>
      <c r="F13" s="80" t="n"/>
      <c r="G13" s="80" t="n"/>
      <c r="H13" s="80" t="n"/>
      <c r="I13" s="80" t="n"/>
      <c r="J13" s="80" t="n"/>
      <c r="K13" s="80" t="n"/>
      <c r="L13" s="80" t="n"/>
      <c r="M13" s="80" t="n"/>
      <c r="N13" s="80" t="n"/>
      <c r="O13" s="80" t="n"/>
      <c r="P13" s="81">
        <f>IF(TRIM(B13)&lt;&gt;"",IFERROR(INDEX(DescMap_Label,MATCH(TRIM(B13),DescMap_Description,0)),"UNMATCHED"),"")</f>
        <v/>
      </c>
    </row>
    <row r="14" ht="15" customHeight="1" s="199">
      <c r="C14" s="80" t="n"/>
      <c r="D14" s="80" t="n"/>
      <c r="E14" s="80" t="n"/>
      <c r="F14" s="80" t="n"/>
      <c r="G14" s="80" t="n"/>
      <c r="H14" s="80" t="n"/>
      <c r="I14" s="80" t="n"/>
      <c r="J14" s="80" t="n"/>
      <c r="K14" s="80" t="n"/>
      <c r="L14" s="80" t="n"/>
      <c r="M14" s="80" t="n"/>
      <c r="N14" s="80" t="n"/>
      <c r="O14" s="80" t="n"/>
      <c r="P14" s="81">
        <f>IF(TRIM(B14)&lt;&gt;"",IFERROR(INDEX(DescMap_Label,MATCH(TRIM(B14),DescMap_Description,0)),"UNMATCHED"),"")</f>
        <v/>
      </c>
    </row>
    <row r="15" ht="15" customHeight="1" s="199">
      <c r="C15" s="80" t="n"/>
      <c r="D15" s="80" t="n"/>
      <c r="E15" s="80" t="n"/>
      <c r="F15" s="80" t="n"/>
      <c r="G15" s="80" t="n"/>
      <c r="H15" s="80" t="n"/>
      <c r="I15" s="80" t="n"/>
      <c r="J15" s="80" t="n"/>
      <c r="K15" s="80" t="n"/>
      <c r="L15" s="80" t="n"/>
      <c r="M15" s="80" t="n"/>
      <c r="N15" s="80" t="n"/>
      <c r="O15" s="80" t="n"/>
      <c r="P15" s="81">
        <f>IF(TRIM(B15)&lt;&gt;"",IFERROR(INDEX(DescMap_Label,MATCH(TRIM(B15),DescMap_Description,0)),"UNMATCHED"),"")</f>
        <v/>
      </c>
    </row>
    <row r="16" ht="15" customHeight="1" s="199">
      <c r="C16" s="80" t="n"/>
      <c r="D16" s="80" t="n"/>
      <c r="E16" s="80" t="n"/>
      <c r="F16" s="80" t="n"/>
      <c r="G16" s="80" t="n"/>
      <c r="H16" s="80" t="n"/>
      <c r="I16" s="80" t="n"/>
      <c r="J16" s="80" t="n"/>
      <c r="K16" s="80" t="n"/>
      <c r="L16" s="80" t="n"/>
      <c r="M16" s="80" t="n"/>
      <c r="N16" s="80" t="n"/>
      <c r="O16" s="80" t="n"/>
      <c r="P16" s="81">
        <f>IF(TRIM(B16)&lt;&gt;"",IFERROR(INDEX(DescMap_Label,MATCH(TRIM(B16),DescMap_Description,0)),"UNMATCHED"),"")</f>
        <v/>
      </c>
    </row>
    <row r="17" ht="15" customHeight="1" s="199">
      <c r="C17" s="80" t="n"/>
      <c r="D17" s="80" t="n"/>
      <c r="E17" s="80" t="n"/>
      <c r="F17" s="80" t="n"/>
      <c r="G17" s="80" t="n"/>
      <c r="H17" s="80" t="n"/>
      <c r="I17" s="80" t="n"/>
      <c r="J17" s="80" t="n"/>
      <c r="K17" s="80" t="n"/>
      <c r="L17" s="80" t="n"/>
      <c r="M17" s="80" t="n"/>
      <c r="N17" s="80" t="n"/>
      <c r="O17" s="80" t="n"/>
      <c r="P17" s="81">
        <f>IF(TRIM(B17)&lt;&gt;"",IFERROR(INDEX(DescMap_Label,MATCH(TRIM(B17),DescMap_Description,0)),"UNMATCHED"),"")</f>
        <v/>
      </c>
    </row>
    <row r="18" ht="15" customHeight="1" s="199">
      <c r="C18" s="80" t="n"/>
      <c r="D18" s="80" t="n"/>
      <c r="E18" s="80" t="n"/>
      <c r="F18" s="80" t="n"/>
      <c r="G18" s="80" t="n"/>
      <c r="H18" s="80" t="n"/>
      <c r="I18" s="80" t="n"/>
      <c r="J18" s="80" t="n"/>
      <c r="K18" s="80" t="n"/>
      <c r="L18" s="80" t="n"/>
      <c r="M18" s="80" t="n"/>
      <c r="N18" s="80" t="n"/>
      <c r="O18" s="80" t="n"/>
      <c r="P18" s="81">
        <f>IF(TRIM(B18)&lt;&gt;"",IFERROR(INDEX(DescMap_Label,MATCH(TRIM(B18),DescMap_Description,0)),"UNMATCHED"),"")</f>
        <v/>
      </c>
    </row>
    <row r="19" ht="15" customHeight="1" s="199">
      <c r="C19" s="80" t="n"/>
      <c r="D19" s="80" t="n"/>
      <c r="E19" s="80" t="n"/>
      <c r="F19" s="80" t="n"/>
      <c r="G19" s="80" t="n"/>
      <c r="H19" s="80" t="n"/>
      <c r="I19" s="80" t="n"/>
      <c r="J19" s="80" t="n"/>
      <c r="K19" s="80" t="n"/>
      <c r="L19" s="80" t="n"/>
      <c r="M19" s="80" t="n"/>
      <c r="N19" s="80" t="n"/>
      <c r="O19" s="80" t="n"/>
      <c r="P19" s="81">
        <f>IF(TRIM(B19)&lt;&gt;"",IFERROR(INDEX(DescMap_Label,MATCH(TRIM(B19),DescMap_Description,0)),"UNMATCHED"),"")</f>
        <v/>
      </c>
    </row>
    <row r="20" ht="15" customHeight="1" s="199">
      <c r="C20" s="80" t="n"/>
      <c r="D20" s="80" t="n"/>
      <c r="E20" s="80" t="n"/>
      <c r="F20" s="80" t="n"/>
      <c r="G20" s="80" t="n"/>
      <c r="H20" s="80" t="n"/>
      <c r="I20" s="80" t="n"/>
      <c r="J20" s="80" t="n"/>
      <c r="K20" s="80" t="n"/>
      <c r="L20" s="80" t="n"/>
      <c r="M20" s="80" t="n"/>
      <c r="N20" s="80" t="n"/>
      <c r="O20" s="80" t="n"/>
      <c r="P20" s="81">
        <f>IF(TRIM(B20)&lt;&gt;"",IFERROR(INDEX(DescMap_Label,MATCH(TRIM(B20),DescMap_Description,0)),"UNMATCHED"),"")</f>
        <v/>
      </c>
    </row>
    <row r="21" ht="15" customHeight="1" s="199">
      <c r="C21" s="80" t="n"/>
      <c r="D21" s="80" t="n"/>
      <c r="E21" s="80" t="n"/>
      <c r="F21" s="80" t="n"/>
      <c r="G21" s="80" t="n"/>
      <c r="H21" s="80" t="n"/>
      <c r="I21" s="80" t="n"/>
      <c r="J21" s="80" t="n"/>
      <c r="K21" s="80" t="n"/>
      <c r="L21" s="80" t="n"/>
      <c r="M21" s="80" t="n"/>
      <c r="N21" s="80" t="n"/>
      <c r="O21" s="80" t="n"/>
      <c r="P21" s="81">
        <f>IF(TRIM(B21)&lt;&gt;"",IFERROR(INDEX(DescMap_Label,MATCH(TRIM(B21),DescMap_Description,0)),"UNMATCHED"),"")</f>
        <v/>
      </c>
    </row>
    <row r="22" ht="15" customHeight="1" s="199">
      <c r="C22" s="80" t="n"/>
      <c r="D22" s="80" t="n"/>
      <c r="E22" s="80" t="n"/>
      <c r="F22" s="80" t="n"/>
      <c r="G22" s="80" t="n"/>
      <c r="H22" s="80" t="n"/>
      <c r="I22" s="80" t="n"/>
      <c r="J22" s="80" t="n"/>
      <c r="K22" s="80" t="n"/>
      <c r="L22" s="80" t="n"/>
      <c r="M22" s="80" t="n"/>
      <c r="N22" s="80" t="n"/>
      <c r="O22" s="80" t="n"/>
      <c r="P22" s="81">
        <f>IF(TRIM(B22)&lt;&gt;"",IFERROR(INDEX(DescMap_Label,MATCH(TRIM(B22),DescMap_Description,0)),"UNMATCHED"),"")</f>
        <v/>
      </c>
    </row>
    <row r="23" ht="15" customHeight="1" s="199">
      <c r="C23" s="80" t="n"/>
      <c r="D23" s="80" t="n"/>
      <c r="E23" s="80" t="n"/>
      <c r="F23" s="80" t="n"/>
      <c r="G23" s="80" t="n"/>
      <c r="H23" s="80" t="n"/>
      <c r="I23" s="80" t="n"/>
      <c r="J23" s="80" t="n"/>
      <c r="K23" s="80" t="n"/>
      <c r="L23" s="80" t="n"/>
      <c r="M23" s="80" t="n"/>
      <c r="N23" s="80" t="n"/>
      <c r="O23" s="80" t="n"/>
      <c r="P23" s="81">
        <f>IF(TRIM(B23)&lt;&gt;"",IFERROR(INDEX(DescMap_Label,MATCH(TRIM(B23),DescMap_Description,0)),"UNMATCHED"),"")</f>
        <v/>
      </c>
    </row>
    <row r="24" ht="15" customHeight="1" s="199">
      <c r="C24" s="80" t="n"/>
      <c r="D24" s="80" t="n"/>
      <c r="E24" s="80" t="n"/>
      <c r="F24" s="80" t="n"/>
      <c r="G24" s="80" t="n"/>
      <c r="H24" s="80" t="n"/>
      <c r="I24" s="80" t="n"/>
      <c r="J24" s="80" t="n"/>
      <c r="K24" s="80" t="n"/>
      <c r="L24" s="80" t="n"/>
      <c r="M24" s="80" t="n"/>
      <c r="N24" s="80" t="n"/>
      <c r="O24" s="80" t="n"/>
      <c r="P24" s="81">
        <f>IF(TRIM(B24)&lt;&gt;"",IFERROR(INDEX(DescMap_Label,MATCH(TRIM(B24),DescMap_Description,0)),"UNMATCHED"),"")</f>
        <v/>
      </c>
    </row>
    <row r="25" ht="15" customHeight="1" s="199">
      <c r="C25" s="80" t="n"/>
      <c r="D25" s="80" t="n"/>
      <c r="E25" s="80" t="n"/>
      <c r="F25" s="80" t="n"/>
      <c r="G25" s="80" t="n"/>
      <c r="H25" s="80" t="n"/>
      <c r="I25" s="80" t="n"/>
      <c r="J25" s="80" t="n"/>
      <c r="K25" s="80" t="n"/>
      <c r="L25" s="80" t="n"/>
      <c r="M25" s="80" t="n"/>
      <c r="N25" s="80" t="n"/>
      <c r="O25" s="80" t="n"/>
      <c r="P25" s="81">
        <f>IF(TRIM(B25)&lt;&gt;"",IFERROR(INDEX(DescMap_Label,MATCH(TRIM(B25),DescMap_Description,0)),"UNMATCHED"),"")</f>
        <v/>
      </c>
    </row>
    <row r="26" ht="15" customHeight="1" s="199">
      <c r="C26" s="80" t="n"/>
      <c r="D26" s="80" t="n"/>
      <c r="E26" s="80" t="n"/>
      <c r="F26" s="80" t="n"/>
      <c r="G26" s="80" t="n"/>
      <c r="H26" s="80" t="n"/>
      <c r="I26" s="80" t="n"/>
      <c r="J26" s="80" t="n"/>
      <c r="K26" s="80" t="n"/>
      <c r="L26" s="80" t="n"/>
      <c r="M26" s="80" t="n"/>
      <c r="N26" s="80" t="n"/>
      <c r="O26" s="80" t="n"/>
      <c r="P26" s="81">
        <f>IF(TRIM(B26)&lt;&gt;"",IFERROR(INDEX(DescMap_Label,MATCH(TRIM(B26),DescMap_Description,0)),"UNMATCHED"),"")</f>
        <v/>
      </c>
    </row>
    <row r="27" ht="15" customHeight="1" s="199">
      <c r="C27" s="80" t="n"/>
      <c r="D27" s="80" t="n"/>
      <c r="E27" s="80" t="n"/>
      <c r="F27" s="80" t="n"/>
      <c r="G27" s="80" t="n"/>
      <c r="H27" s="80" t="n"/>
      <c r="I27" s="80" t="n"/>
      <c r="J27" s="80" t="n"/>
      <c r="K27" s="80" t="n"/>
      <c r="L27" s="80" t="n"/>
      <c r="M27" s="80" t="n"/>
      <c r="N27" s="80" t="n"/>
      <c r="O27" s="80" t="n"/>
      <c r="P27" s="81">
        <f>IF(TRIM(B27)&lt;&gt;"",IFERROR(INDEX(DescMap_Label,MATCH(TRIM(B27),DescMap_Description,0)),"UNMATCHED"),"")</f>
        <v/>
      </c>
    </row>
    <row r="28" ht="15" customHeight="1" s="199">
      <c r="C28" s="80" t="n"/>
      <c r="D28" s="80" t="n"/>
      <c r="E28" s="80" t="n"/>
      <c r="F28" s="80" t="n"/>
      <c r="G28" s="80" t="n"/>
      <c r="H28" s="80" t="n"/>
      <c r="I28" s="80" t="n"/>
      <c r="J28" s="80" t="n"/>
      <c r="K28" s="80" t="n"/>
      <c r="L28" s="80" t="n"/>
      <c r="M28" s="80" t="n"/>
      <c r="N28" s="80" t="n"/>
      <c r="O28" s="80" t="n"/>
      <c r="P28" s="81">
        <f>IF(TRIM(B28)&lt;&gt;"",IFERROR(INDEX(DescMap_Label,MATCH(TRIM(B28),DescMap_Description,0)),"UNMATCHED"),"")</f>
        <v/>
      </c>
    </row>
    <row r="29" ht="15" customHeight="1" s="199">
      <c r="C29" s="80" t="n"/>
      <c r="D29" s="80" t="n"/>
      <c r="E29" s="80" t="n"/>
      <c r="F29" s="80" t="n"/>
      <c r="G29" s="80" t="n"/>
      <c r="H29" s="80" t="n"/>
      <c r="I29" s="80" t="n"/>
      <c r="J29" s="80" t="n"/>
      <c r="K29" s="80" t="n"/>
      <c r="L29" s="80" t="n"/>
      <c r="M29" s="80" t="n"/>
      <c r="N29" s="80" t="n"/>
      <c r="O29" s="80" t="n"/>
      <c r="P29" s="81">
        <f>IF(TRIM(B29)&lt;&gt;"",IFERROR(INDEX(DescMap_Label,MATCH(TRIM(B29),DescMap_Description,0)),"UNMATCHED"),"")</f>
        <v/>
      </c>
    </row>
    <row r="30" ht="15" customHeight="1" s="199">
      <c r="C30" s="80" t="n"/>
      <c r="D30" s="80" t="n"/>
      <c r="E30" s="80" t="n"/>
      <c r="F30" s="80" t="n"/>
      <c r="G30" s="80" t="n"/>
      <c r="H30" s="80" t="n"/>
      <c r="I30" s="80" t="n"/>
      <c r="J30" s="80" t="n"/>
      <c r="K30" s="80" t="n"/>
      <c r="L30" s="80" t="n"/>
      <c r="M30" s="80" t="n"/>
      <c r="N30" s="80" t="n"/>
      <c r="O30" s="80" t="n"/>
      <c r="P30" s="81">
        <f>IF(TRIM(B30)&lt;&gt;"",IFERROR(INDEX(DescMap_Label,MATCH(TRIM(B30),DescMap_Description,0)),"UNMATCHED"),"")</f>
        <v/>
      </c>
    </row>
    <row r="31" ht="15" customHeight="1" s="199">
      <c r="C31" s="80" t="n"/>
      <c r="D31" s="80" t="n"/>
      <c r="E31" s="80" t="n"/>
      <c r="F31" s="80" t="n"/>
      <c r="G31" s="80" t="n"/>
      <c r="H31" s="80" t="n"/>
      <c r="I31" s="80" t="n"/>
      <c r="J31" s="80" t="n"/>
      <c r="K31" s="80" t="n"/>
      <c r="L31" s="80" t="n"/>
      <c r="M31" s="80" t="n"/>
      <c r="N31" s="80" t="n"/>
      <c r="O31" s="80" t="n"/>
      <c r="P31" s="81">
        <f>IF(TRIM(B31)&lt;&gt;"",IFERROR(INDEX(DescMap_Label,MATCH(TRIM(B31),DescMap_Description,0)),"UNMATCHED"),"")</f>
        <v/>
      </c>
    </row>
    <row r="32" ht="15" customHeight="1" s="199">
      <c r="C32" s="80" t="n"/>
      <c r="D32" s="80" t="n"/>
      <c r="E32" s="80" t="n"/>
      <c r="F32" s="80" t="n"/>
      <c r="G32" s="80" t="n"/>
      <c r="H32" s="80" t="n"/>
      <c r="I32" s="80" t="n"/>
      <c r="J32" s="80" t="n"/>
      <c r="K32" s="80" t="n"/>
      <c r="L32" s="80" t="n"/>
      <c r="M32" s="80" t="n"/>
      <c r="N32" s="80" t="n"/>
      <c r="O32" s="80" t="n"/>
      <c r="P32" s="81">
        <f>IF(TRIM(B32)&lt;&gt;"",IFERROR(INDEX(DescMap_Label,MATCH(TRIM(B32),DescMap_Description,0)),"UNMATCHED"),"")</f>
        <v/>
      </c>
    </row>
    <row r="33" ht="15" customHeight="1" s="199">
      <c r="C33" s="80" t="n"/>
      <c r="D33" s="80" t="n"/>
      <c r="E33" s="80" t="n"/>
      <c r="F33" s="80" t="n"/>
      <c r="G33" s="80" t="n"/>
      <c r="H33" s="80" t="n"/>
      <c r="I33" s="80" t="n"/>
      <c r="J33" s="80" t="n"/>
      <c r="K33" s="80" t="n"/>
      <c r="L33" s="80" t="n"/>
      <c r="M33" s="80" t="n"/>
      <c r="N33" s="80" t="n"/>
      <c r="O33" s="80" t="n"/>
      <c r="P33" s="81">
        <f>IF(TRIM(B33)&lt;&gt;"",IFERROR(INDEX(DescMap_Label,MATCH(TRIM(B33),DescMap_Description,0)),"UNMATCHED"),"")</f>
        <v/>
      </c>
    </row>
    <row r="34" ht="15" customHeight="1" s="199">
      <c r="C34" s="80" t="n"/>
      <c r="D34" s="80" t="n"/>
      <c r="E34" s="80" t="n"/>
      <c r="F34" s="80" t="n"/>
      <c r="G34" s="80" t="n"/>
      <c r="H34" s="80" t="n"/>
      <c r="I34" s="80" t="n"/>
      <c r="J34" s="80" t="n"/>
      <c r="K34" s="80" t="n"/>
      <c r="L34" s="80" t="n"/>
      <c r="M34" s="80" t="n"/>
      <c r="N34" s="80" t="n"/>
      <c r="O34" s="80" t="n"/>
      <c r="P34" s="81">
        <f>IF(TRIM(B34)&lt;&gt;"",IFERROR(INDEX(DescMap_Label,MATCH(TRIM(B34),DescMap_Description,0)),"UNMATCHED"),"")</f>
        <v/>
      </c>
    </row>
    <row r="35" ht="15" customHeight="1" s="199">
      <c r="C35" s="80" t="n"/>
      <c r="D35" s="80" t="n"/>
      <c r="E35" s="80" t="n"/>
      <c r="F35" s="80" t="n"/>
      <c r="G35" s="80" t="n"/>
      <c r="H35" s="80" t="n"/>
      <c r="I35" s="80" t="n"/>
      <c r="J35" s="80" t="n"/>
      <c r="K35" s="80" t="n"/>
      <c r="L35" s="80" t="n"/>
      <c r="M35" s="80" t="n"/>
      <c r="N35" s="80" t="n"/>
      <c r="O35" s="80" t="n"/>
      <c r="P35" s="81">
        <f>IF(TRIM(B35)&lt;&gt;"",IFERROR(INDEX(DescMap_Label,MATCH(TRIM(B35),DescMap_Description,0)),"UNMATCHED"),"")</f>
        <v/>
      </c>
    </row>
    <row r="36" ht="15" customHeight="1" s="199">
      <c r="C36" s="80" t="n"/>
      <c r="D36" s="80" t="n"/>
      <c r="E36" s="80" t="n"/>
      <c r="F36" s="80" t="n"/>
      <c r="G36" s="80" t="n"/>
      <c r="H36" s="80" t="n"/>
      <c r="I36" s="80" t="n"/>
      <c r="J36" s="80" t="n"/>
      <c r="K36" s="80" t="n"/>
      <c r="L36" s="80" t="n"/>
      <c r="M36" s="80" t="n"/>
      <c r="N36" s="80" t="n"/>
      <c r="O36" s="80" t="n"/>
      <c r="P36" s="81">
        <f>IF(TRIM(B36)&lt;&gt;"",IFERROR(INDEX(DescMap_Label,MATCH(TRIM(B36),DescMap_Description,0)),"UNMATCHED"),"")</f>
        <v/>
      </c>
    </row>
    <row r="37" ht="15" customHeight="1" s="199">
      <c r="C37" s="80" t="n"/>
      <c r="D37" s="80" t="n"/>
      <c r="E37" s="80" t="n"/>
      <c r="F37" s="80" t="n"/>
      <c r="G37" s="80" t="n"/>
      <c r="H37" s="80" t="n"/>
      <c r="I37" s="80" t="n"/>
      <c r="J37" s="80" t="n"/>
      <c r="K37" s="80" t="n"/>
      <c r="L37" s="80" t="n"/>
      <c r="M37" s="80" t="n"/>
      <c r="N37" s="80" t="n"/>
      <c r="O37" s="80" t="n"/>
      <c r="P37" s="81">
        <f>IF(TRIM(B37)&lt;&gt;"",IFERROR(INDEX(DescMap_Label,MATCH(TRIM(B37),DescMap_Description,0)),"UNMATCHED"),"")</f>
        <v/>
      </c>
    </row>
    <row r="38" ht="15" customHeight="1" s="199">
      <c r="C38" s="80" t="n"/>
      <c r="D38" s="80" t="n"/>
      <c r="E38" s="80" t="n"/>
      <c r="F38" s="80" t="n"/>
      <c r="G38" s="80" t="n"/>
      <c r="H38" s="80" t="n"/>
      <c r="I38" s="80" t="n"/>
      <c r="J38" s="80" t="n"/>
      <c r="K38" s="80" t="n"/>
      <c r="L38" s="80" t="n"/>
      <c r="M38" s="80" t="n"/>
      <c r="N38" s="80" t="n"/>
      <c r="O38" s="80" t="n"/>
      <c r="P38" s="81">
        <f>IF(TRIM(B38)&lt;&gt;"",IFERROR(INDEX(DescMap_Label,MATCH(TRIM(B38),DescMap_Description,0)),"UNMATCHED"),"")</f>
        <v/>
      </c>
    </row>
    <row r="39" ht="15" customHeight="1" s="199">
      <c r="C39" s="80" t="n"/>
      <c r="D39" s="80" t="n"/>
      <c r="E39" s="80" t="n"/>
      <c r="F39" s="80" t="n"/>
      <c r="G39" s="80" t="n"/>
      <c r="H39" s="80" t="n"/>
      <c r="I39" s="80" t="n"/>
      <c r="J39" s="80" t="n"/>
      <c r="K39" s="80" t="n"/>
      <c r="L39" s="80" t="n"/>
      <c r="M39" s="80" t="n"/>
      <c r="N39" s="80" t="n"/>
      <c r="O39" s="80" t="n"/>
      <c r="P39" s="81">
        <f>IF(TRIM(B39)&lt;&gt;"",IFERROR(INDEX(DescMap_Label,MATCH(TRIM(B39),DescMap_Description,0)),"UNMATCHED"),"")</f>
        <v/>
      </c>
    </row>
    <row r="40" ht="15" customHeight="1" s="199">
      <c r="C40" s="80" t="n"/>
      <c r="D40" s="80" t="n"/>
      <c r="E40" s="80" t="n"/>
      <c r="F40" s="80" t="n"/>
      <c r="G40" s="80" t="n"/>
      <c r="H40" s="80" t="n"/>
      <c r="I40" s="80" t="n"/>
      <c r="J40" s="80" t="n"/>
      <c r="K40" s="80" t="n"/>
      <c r="L40" s="80" t="n"/>
      <c r="M40" s="80" t="n"/>
      <c r="N40" s="80" t="n"/>
      <c r="O40" s="80" t="n"/>
      <c r="P40" s="81">
        <f>IF(TRIM(B40)&lt;&gt;"",IFERROR(INDEX(DescMap_Label,MATCH(TRIM(B40),DescMap_Description,0)),"UNMATCHED"),"")</f>
        <v/>
      </c>
    </row>
    <row r="41" ht="15" customHeight="1" s="199">
      <c r="C41" s="80" t="n"/>
      <c r="D41" s="80" t="n"/>
      <c r="E41" s="80" t="n"/>
      <c r="F41" s="80" t="n"/>
      <c r="G41" s="80" t="n"/>
      <c r="H41" s="80" t="n"/>
      <c r="I41" s="80" t="n"/>
      <c r="J41" s="80" t="n"/>
      <c r="K41" s="80" t="n"/>
      <c r="L41" s="80" t="n"/>
      <c r="M41" s="80" t="n"/>
      <c r="N41" s="80" t="n"/>
      <c r="O41" s="80" t="n"/>
      <c r="P41" s="81">
        <f>IF(TRIM(B41)&lt;&gt;"",IFERROR(INDEX(DescMap_Label,MATCH(TRIM(B41),DescMap_Description,0)),"UNMATCHED"),"")</f>
        <v/>
      </c>
    </row>
    <row r="42" ht="15" customHeight="1" s="199">
      <c r="C42" s="80" t="n"/>
      <c r="D42" s="80" t="n"/>
      <c r="E42" s="80" t="n"/>
      <c r="F42" s="80" t="n"/>
      <c r="G42" s="80" t="n"/>
      <c r="H42" s="80" t="n"/>
      <c r="I42" s="80" t="n"/>
      <c r="J42" s="80" t="n"/>
      <c r="K42" s="80" t="n"/>
      <c r="L42" s="80" t="n"/>
      <c r="M42" s="80" t="n"/>
      <c r="N42" s="80" t="n"/>
      <c r="O42" s="80" t="n"/>
      <c r="P42" s="81">
        <f>IF(TRIM(B42)&lt;&gt;"",IFERROR(INDEX(DescMap_Label,MATCH(TRIM(B42),DescMap_Description,0)),"UNMATCHED"),"")</f>
        <v/>
      </c>
    </row>
    <row r="43" ht="15" customHeight="1" s="199">
      <c r="C43" s="80" t="n"/>
      <c r="D43" s="80" t="n"/>
      <c r="E43" s="80" t="n"/>
      <c r="F43" s="80" t="n"/>
      <c r="G43" s="80" t="n"/>
      <c r="H43" s="80" t="n"/>
      <c r="I43" s="80" t="n"/>
      <c r="J43" s="80" t="n"/>
      <c r="K43" s="80" t="n"/>
      <c r="L43" s="80" t="n"/>
      <c r="M43" s="80" t="n"/>
      <c r="N43" s="80" t="n"/>
      <c r="O43" s="80" t="n"/>
      <c r="P43" s="81">
        <f>IF(TRIM(B43)&lt;&gt;"",IFERROR(INDEX(DescMap_Label,MATCH(TRIM(B43),DescMap_Description,0)),"UNMATCHED"),"")</f>
        <v/>
      </c>
    </row>
    <row r="44" ht="15" customHeight="1" s="199">
      <c r="C44" s="80" t="n"/>
      <c r="D44" s="80" t="n"/>
      <c r="E44" s="80" t="n"/>
      <c r="F44" s="80" t="n"/>
      <c r="G44" s="80" t="n"/>
      <c r="H44" s="80" t="n"/>
      <c r="I44" s="80" t="n"/>
      <c r="J44" s="80" t="n"/>
      <c r="K44" s="80" t="n"/>
      <c r="L44" s="80" t="n"/>
      <c r="M44" s="80" t="n"/>
      <c r="N44" s="80" t="n"/>
      <c r="O44" s="80" t="n"/>
      <c r="P44" s="81">
        <f>IF(TRIM(B44)&lt;&gt;"",IFERROR(INDEX(DescMap_Label,MATCH(TRIM(B44),DescMap_Description,0)),"UNMATCHED"),"")</f>
        <v/>
      </c>
    </row>
    <row r="45" ht="15" customHeight="1" s="199">
      <c r="C45" s="80" t="n"/>
      <c r="D45" s="80" t="n"/>
      <c r="E45" s="80" t="n"/>
      <c r="F45" s="80" t="n"/>
      <c r="G45" s="80" t="n"/>
      <c r="H45" s="80" t="n"/>
      <c r="I45" s="80" t="n"/>
      <c r="J45" s="80" t="n"/>
      <c r="K45" s="80" t="n"/>
      <c r="L45" s="80" t="n"/>
      <c r="M45" s="80" t="n"/>
      <c r="N45" s="80" t="n"/>
      <c r="O45" s="80" t="n"/>
      <c r="P45" s="81">
        <f>IF(TRIM(B45)&lt;&gt;"",IFERROR(INDEX(DescMap_Label,MATCH(TRIM(B45),DescMap_Description,0)),"UNMATCHED"),"")</f>
        <v/>
      </c>
    </row>
    <row r="46" ht="15" customHeight="1" s="199">
      <c r="C46" s="80" t="n"/>
      <c r="D46" s="80" t="n"/>
      <c r="E46" s="80" t="n"/>
      <c r="F46" s="80" t="n"/>
      <c r="G46" s="80" t="n"/>
      <c r="H46" s="80" t="n"/>
      <c r="I46" s="80" t="n"/>
      <c r="J46" s="80" t="n"/>
      <c r="K46" s="80" t="n"/>
      <c r="L46" s="80" t="n"/>
      <c r="M46" s="80" t="n"/>
      <c r="N46" s="80" t="n"/>
      <c r="O46" s="80" t="n"/>
      <c r="P46" s="81">
        <f>IF(TRIM(B46)&lt;&gt;"",IFERROR(INDEX(DescMap_Label,MATCH(TRIM(B46),DescMap_Description,0)),"UNMATCHED"),"")</f>
        <v/>
      </c>
    </row>
    <row r="47" ht="15" customHeight="1" s="199">
      <c r="C47" s="80" t="n"/>
      <c r="D47" s="80" t="n"/>
      <c r="E47" s="80" t="n"/>
      <c r="F47" s="80" t="n"/>
      <c r="G47" s="80" t="n"/>
      <c r="H47" s="80" t="n"/>
      <c r="I47" s="80" t="n"/>
      <c r="J47" s="80" t="n"/>
      <c r="K47" s="80" t="n"/>
      <c r="L47" s="80" t="n"/>
      <c r="M47" s="80" t="n"/>
      <c r="N47" s="80" t="n"/>
      <c r="O47" s="80" t="n"/>
      <c r="P47" s="81">
        <f>IF(TRIM(B47)&lt;&gt;"",IFERROR(INDEX(DescMap_Label,MATCH(TRIM(B47),DescMap_Description,0)),"UNMATCHED"),"")</f>
        <v/>
      </c>
    </row>
    <row r="48" ht="15" customHeight="1" s="199">
      <c r="C48" s="80" t="n"/>
      <c r="D48" s="80" t="n"/>
      <c r="E48" s="80" t="n"/>
      <c r="F48" s="80" t="n"/>
      <c r="G48" s="80" t="n"/>
      <c r="H48" s="80" t="n"/>
      <c r="I48" s="80" t="n"/>
      <c r="J48" s="80" t="n"/>
      <c r="K48" s="80" t="n"/>
      <c r="L48" s="80" t="n"/>
      <c r="M48" s="80" t="n"/>
      <c r="N48" s="80" t="n"/>
      <c r="O48" s="80" t="n"/>
      <c r="P48" s="81">
        <f>IF(TRIM(B48)&lt;&gt;"",IFERROR(INDEX(DescMap_Label,MATCH(TRIM(B48),DescMap_Description,0)),"UNMATCHED"),"")</f>
        <v/>
      </c>
    </row>
    <row r="49" ht="15" customHeight="1" s="199">
      <c r="C49" s="80" t="n"/>
      <c r="D49" s="80" t="n"/>
      <c r="E49" s="80" t="n"/>
      <c r="F49" s="80" t="n"/>
      <c r="G49" s="80" t="n"/>
      <c r="H49" s="80" t="n"/>
      <c r="I49" s="80" t="n"/>
      <c r="J49" s="80" t="n"/>
      <c r="K49" s="80" t="n"/>
      <c r="L49" s="80" t="n"/>
      <c r="M49" s="80" t="n"/>
      <c r="N49" s="80" t="n"/>
      <c r="O49" s="80" t="n"/>
      <c r="P49" s="81">
        <f>IF(TRIM(B49)&lt;&gt;"",IFERROR(INDEX(DescMap_Label,MATCH(TRIM(B49),DescMap_Description,0)),"UNMATCHED"),"")</f>
        <v/>
      </c>
    </row>
    <row r="50" ht="15" customHeight="1" s="199">
      <c r="C50" s="80" t="n"/>
      <c r="D50" s="80" t="n"/>
      <c r="E50" s="80" t="n"/>
      <c r="F50" s="80" t="n"/>
      <c r="G50" s="80" t="n"/>
      <c r="H50" s="80" t="n"/>
      <c r="I50" s="80" t="n"/>
      <c r="J50" s="80" t="n"/>
      <c r="K50" s="80" t="n"/>
      <c r="L50" s="80" t="n"/>
      <c r="M50" s="80" t="n"/>
      <c r="N50" s="80" t="n"/>
      <c r="O50" s="80" t="n"/>
      <c r="P50" s="81">
        <f>IF(TRIM(B50)&lt;&gt;"",IFERROR(INDEX(DescMap_Label,MATCH(TRIM(B50),DescMap_Description,0)),"UNMATCHED"),"")</f>
        <v/>
      </c>
    </row>
    <row r="51" ht="15" customHeight="1" s="199">
      <c r="C51" s="80" t="n"/>
      <c r="D51" s="80" t="n"/>
      <c r="E51" s="80" t="n"/>
      <c r="F51" s="80" t="n"/>
      <c r="G51" s="80" t="n"/>
      <c r="H51" s="80" t="n"/>
      <c r="I51" s="80" t="n"/>
      <c r="J51" s="80" t="n"/>
      <c r="K51" s="80" t="n"/>
      <c r="L51" s="80" t="n"/>
      <c r="M51" s="80" t="n"/>
      <c r="N51" s="80" t="n"/>
      <c r="O51" s="80" t="n"/>
      <c r="P51" s="81">
        <f>IF(TRIM(B51)&lt;&gt;"",IFERROR(INDEX(DescMap_Label,MATCH(TRIM(B51),DescMap_Description,0)),"UNMATCHED"),"")</f>
        <v/>
      </c>
    </row>
    <row r="52" ht="15" customHeight="1" s="199">
      <c r="C52" s="80" t="n"/>
      <c r="D52" s="80" t="n"/>
      <c r="E52" s="80" t="n"/>
      <c r="F52" s="80" t="n"/>
      <c r="G52" s="80" t="n"/>
      <c r="H52" s="80" t="n"/>
      <c r="I52" s="80" t="n"/>
      <c r="J52" s="80" t="n"/>
      <c r="K52" s="80" t="n"/>
      <c r="L52" s="80" t="n"/>
      <c r="M52" s="80" t="n"/>
      <c r="N52" s="80" t="n"/>
      <c r="O52" s="80" t="n"/>
      <c r="P52" s="81">
        <f>IF(TRIM(B52)&lt;&gt;"",IFERROR(INDEX(DescMap_Label,MATCH(TRIM(B52),DescMap_Description,0)),"UNMATCHED"),"")</f>
        <v/>
      </c>
    </row>
    <row r="53" ht="15" customHeight="1" s="199">
      <c r="C53" s="80" t="n"/>
      <c r="D53" s="80" t="n"/>
      <c r="E53" s="80" t="n"/>
      <c r="F53" s="80" t="n"/>
      <c r="G53" s="80" t="n"/>
      <c r="H53" s="80" t="n"/>
      <c r="I53" s="80" t="n"/>
      <c r="J53" s="80" t="n"/>
      <c r="K53" s="80" t="n"/>
      <c r="L53" s="80" t="n"/>
      <c r="M53" s="80" t="n"/>
      <c r="N53" s="80" t="n"/>
      <c r="O53" s="80" t="n"/>
      <c r="P53" s="81">
        <f>IF(TRIM(B53)&lt;&gt;"",IFERROR(INDEX(DescMap_Label,MATCH(TRIM(B53),DescMap_Description,0)),"UNMATCHED"),"")</f>
        <v/>
      </c>
    </row>
    <row r="54" ht="15" customHeight="1" s="199">
      <c r="C54" s="80" t="n"/>
      <c r="D54" s="80" t="n"/>
      <c r="E54" s="80" t="n"/>
      <c r="F54" s="80" t="n"/>
      <c r="G54" s="80" t="n"/>
      <c r="H54" s="80" t="n"/>
      <c r="I54" s="80" t="n"/>
      <c r="J54" s="80" t="n"/>
      <c r="K54" s="80" t="n"/>
      <c r="L54" s="80" t="n"/>
      <c r="M54" s="80" t="n"/>
      <c r="N54" s="80" t="n"/>
      <c r="O54" s="80" t="n"/>
      <c r="P54" s="81">
        <f>IF(TRIM(B54)&lt;&gt;"",IFERROR(INDEX(DescMap_Label,MATCH(TRIM(B54),DescMap_Description,0)),"UNMATCHED"),"")</f>
        <v/>
      </c>
    </row>
    <row r="55" ht="15" customHeight="1" s="199">
      <c r="C55" s="80" t="n"/>
      <c r="D55" s="80" t="n"/>
      <c r="E55" s="80" t="n"/>
      <c r="F55" s="80" t="n"/>
      <c r="G55" s="80" t="n"/>
      <c r="H55" s="80" t="n"/>
      <c r="I55" s="80" t="n"/>
      <c r="J55" s="80" t="n"/>
      <c r="K55" s="80" t="n"/>
      <c r="L55" s="80" t="n"/>
      <c r="M55" s="80" t="n"/>
      <c r="N55" s="80" t="n"/>
      <c r="O55" s="80" t="n"/>
      <c r="P55" s="81">
        <f>IF(TRIM(B55)&lt;&gt;"",IFERROR(INDEX(DescMap_Label,MATCH(TRIM(B55),DescMap_Description,0)),"UNMATCHED"),"")</f>
        <v/>
      </c>
    </row>
    <row r="56" ht="15" customHeight="1" s="199">
      <c r="C56" s="80" t="n"/>
      <c r="D56" s="80" t="n"/>
      <c r="E56" s="80" t="n"/>
      <c r="F56" s="80" t="n"/>
      <c r="G56" s="80" t="n"/>
      <c r="H56" s="80" t="n"/>
      <c r="I56" s="80" t="n"/>
      <c r="J56" s="80" t="n"/>
      <c r="K56" s="80" t="n"/>
      <c r="L56" s="80" t="n"/>
      <c r="M56" s="80" t="n"/>
      <c r="N56" s="80" t="n"/>
      <c r="O56" s="80" t="n"/>
      <c r="P56" s="81">
        <f>IF(TRIM(B56)&lt;&gt;"",IFERROR(INDEX(DescMap_Label,MATCH(TRIM(B56),DescMap_Description,0)),"UNMATCHED"),"")</f>
        <v/>
      </c>
    </row>
    <row r="57" ht="15" customHeight="1" s="199">
      <c r="C57" s="80" t="n"/>
      <c r="D57" s="80" t="n"/>
      <c r="E57" s="80" t="n"/>
      <c r="F57" s="80" t="n"/>
      <c r="G57" s="80" t="n"/>
      <c r="H57" s="80" t="n"/>
      <c r="I57" s="80" t="n"/>
      <c r="J57" s="80" t="n"/>
      <c r="K57" s="80" t="n"/>
      <c r="L57" s="80" t="n"/>
      <c r="M57" s="80" t="n"/>
      <c r="N57" s="80" t="n"/>
      <c r="O57" s="80" t="n"/>
      <c r="P57" s="81">
        <f>IF(TRIM(B57)&lt;&gt;"",IFERROR(INDEX(DescMap_Label,MATCH(TRIM(B57),DescMap_Description,0)),"UNMATCHED"),"")</f>
        <v/>
      </c>
    </row>
    <row r="58" ht="15" customHeight="1" s="199">
      <c r="C58" s="80" t="n"/>
      <c r="D58" s="80" t="n"/>
      <c r="E58" s="80" t="n"/>
      <c r="F58" s="80" t="n"/>
      <c r="G58" s="80" t="n"/>
      <c r="H58" s="80" t="n"/>
      <c r="I58" s="80" t="n"/>
      <c r="J58" s="80" t="n"/>
      <c r="K58" s="80" t="n"/>
      <c r="L58" s="80" t="n"/>
      <c r="M58" s="80" t="n"/>
      <c r="N58" s="80" t="n"/>
      <c r="O58" s="80" t="n"/>
      <c r="P58" s="81">
        <f>IF(TRIM(B58)&lt;&gt;"",IFERROR(INDEX(DescMap_Label,MATCH(TRIM(B58),DescMap_Description,0)),"UNMATCHED"),"")</f>
        <v/>
      </c>
    </row>
    <row r="59" ht="15" customHeight="1" s="199">
      <c r="C59" s="80" t="n"/>
      <c r="D59" s="80" t="n"/>
      <c r="E59" s="80" t="n"/>
      <c r="F59" s="80" t="n"/>
      <c r="G59" s="80" t="n"/>
      <c r="H59" s="80" t="n"/>
      <c r="I59" s="80" t="n"/>
      <c r="J59" s="80" t="n"/>
      <c r="K59" s="80" t="n"/>
      <c r="L59" s="80" t="n"/>
      <c r="M59" s="80" t="n"/>
      <c r="N59" s="80" t="n"/>
      <c r="O59" s="80" t="n"/>
      <c r="P59" s="81">
        <f>IF(TRIM(B59)&lt;&gt;"",IFERROR(INDEX(DescMap_Label,MATCH(TRIM(B59),DescMap_Description,0)),"UNMATCHED"),"")</f>
        <v/>
      </c>
    </row>
    <row r="60" ht="15" customHeight="1" s="199">
      <c r="C60" s="80" t="n"/>
      <c r="D60" s="80" t="n"/>
      <c r="E60" s="80" t="n"/>
      <c r="F60" s="80" t="n"/>
      <c r="G60" s="80" t="n"/>
      <c r="H60" s="80" t="n"/>
      <c r="I60" s="80" t="n"/>
      <c r="J60" s="80" t="n"/>
      <c r="K60" s="80" t="n"/>
      <c r="L60" s="80" t="n"/>
      <c r="M60" s="80" t="n"/>
      <c r="N60" s="80" t="n"/>
      <c r="O60" s="80" t="n"/>
      <c r="P60" s="81">
        <f>IF(TRIM(B60)&lt;&gt;"",IFERROR(INDEX(DescMap_Label,MATCH(TRIM(B60),DescMap_Description,0)),"UNMATCHED"),"")</f>
        <v/>
      </c>
    </row>
    <row r="61" ht="15" customHeight="1" s="199">
      <c r="C61" s="80" t="n"/>
      <c r="D61" s="80" t="n"/>
      <c r="E61" s="80" t="n"/>
      <c r="F61" s="80" t="n"/>
      <c r="G61" s="80" t="n"/>
      <c r="H61" s="80" t="n"/>
      <c r="I61" s="80" t="n"/>
      <c r="J61" s="80" t="n"/>
      <c r="K61" s="80" t="n"/>
      <c r="L61" s="80" t="n"/>
      <c r="M61" s="80" t="n"/>
      <c r="N61" s="80" t="n"/>
      <c r="O61" s="80" t="n"/>
      <c r="P61" s="81">
        <f>IF(TRIM(B61)&lt;&gt;"",IFERROR(INDEX(DescMap_Label,MATCH(TRIM(B61),DescMap_Description,0)),"UNMATCHED"),"")</f>
        <v/>
      </c>
    </row>
    <row r="62" ht="15" customHeight="1" s="199">
      <c r="C62" s="80" t="n"/>
      <c r="D62" s="80" t="n"/>
      <c r="E62" s="80" t="n"/>
      <c r="F62" s="80" t="n"/>
      <c r="G62" s="80" t="n"/>
      <c r="H62" s="80" t="n"/>
      <c r="I62" s="80" t="n"/>
      <c r="J62" s="80" t="n"/>
      <c r="K62" s="80" t="n"/>
      <c r="L62" s="80" t="n"/>
      <c r="M62" s="80" t="n"/>
      <c r="N62" s="80" t="n"/>
      <c r="O62" s="80" t="n"/>
      <c r="P62" s="81">
        <f>IF(TRIM(B62)&lt;&gt;"",IFERROR(INDEX(DescMap_Label,MATCH(TRIM(B62),DescMap_Description,0)),"UNMATCHED"),"")</f>
        <v/>
      </c>
    </row>
    <row r="63" ht="15" customHeight="1" s="199">
      <c r="C63" s="80" t="n"/>
      <c r="D63" s="80" t="n"/>
      <c r="E63" s="80" t="n"/>
      <c r="F63" s="80" t="n"/>
      <c r="G63" s="80" t="n"/>
      <c r="H63" s="80" t="n"/>
      <c r="I63" s="80" t="n"/>
      <c r="J63" s="80" t="n"/>
      <c r="K63" s="80" t="n"/>
      <c r="L63" s="80" t="n"/>
      <c r="M63" s="80" t="n"/>
      <c r="N63" s="80" t="n"/>
      <c r="O63" s="80" t="n"/>
      <c r="P63" s="81">
        <f>IF(TRIM(B63)&lt;&gt;"",IFERROR(INDEX(DescMap_Label,MATCH(TRIM(B63),DescMap_Description,0)),"UNMATCHED"),"")</f>
        <v/>
      </c>
    </row>
    <row r="64" ht="15" customHeight="1" s="199">
      <c r="C64" s="80" t="n"/>
      <c r="D64" s="80" t="n"/>
      <c r="E64" s="80" t="n"/>
      <c r="F64" s="80" t="n"/>
      <c r="G64" s="80" t="n"/>
      <c r="H64" s="80" t="n"/>
      <c r="I64" s="80" t="n"/>
      <c r="J64" s="80" t="n"/>
      <c r="K64" s="80" t="n"/>
      <c r="L64" s="80" t="n"/>
      <c r="M64" s="80" t="n"/>
      <c r="N64" s="80" t="n"/>
      <c r="O64" s="80" t="n"/>
      <c r="P64" s="81">
        <f>IF(TRIM(B64)&lt;&gt;"",IFERROR(INDEX(DescMap_Label,MATCH(TRIM(B64),DescMap_Description,0)),"UNMATCHED"),"")</f>
        <v/>
      </c>
    </row>
    <row r="65" ht="15" customHeight="1" s="199">
      <c r="C65" s="80" t="n"/>
      <c r="D65" s="80" t="n"/>
      <c r="E65" s="80" t="n"/>
      <c r="F65" s="80" t="n"/>
      <c r="G65" s="80" t="n"/>
      <c r="H65" s="80" t="n"/>
      <c r="I65" s="80" t="n"/>
      <c r="J65" s="80" t="n"/>
      <c r="K65" s="80" t="n"/>
      <c r="L65" s="80" t="n"/>
      <c r="M65" s="80" t="n"/>
      <c r="N65" s="80" t="n"/>
      <c r="O65" s="80" t="n"/>
      <c r="P65" s="81">
        <f>IF(TRIM(B65)&lt;&gt;"",IFERROR(INDEX(DescMap_Label,MATCH(TRIM(B65),DescMap_Description,0)),"UNMATCHED"),"")</f>
        <v/>
      </c>
    </row>
    <row r="66" ht="15" customHeight="1" s="199">
      <c r="C66" s="80" t="n"/>
      <c r="D66" s="80" t="n"/>
      <c r="E66" s="80" t="n"/>
      <c r="F66" s="80" t="n"/>
      <c r="G66" s="80" t="n"/>
      <c r="H66" s="80" t="n"/>
      <c r="I66" s="80" t="n"/>
      <c r="J66" s="80" t="n"/>
      <c r="K66" s="80" t="n"/>
      <c r="L66" s="80" t="n"/>
      <c r="M66" s="80" t="n"/>
      <c r="N66" s="80" t="n"/>
      <c r="O66" s="80" t="n"/>
      <c r="P66" s="81">
        <f>IF(TRIM(B66)&lt;&gt;"",IFERROR(INDEX(DescMap_Label,MATCH(TRIM(B66),DescMap_Description,0)),"UNMATCHED"),"")</f>
        <v/>
      </c>
    </row>
    <row r="67" ht="15" customHeight="1" s="199">
      <c r="C67" s="80" t="n"/>
      <c r="D67" s="80" t="n"/>
      <c r="E67" s="80" t="n"/>
      <c r="F67" s="80" t="n"/>
      <c r="G67" s="80" t="n"/>
      <c r="H67" s="80" t="n"/>
      <c r="I67" s="80" t="n"/>
      <c r="J67" s="80" t="n"/>
      <c r="K67" s="80" t="n"/>
      <c r="L67" s="80" t="n"/>
      <c r="M67" s="80" t="n"/>
      <c r="N67" s="80" t="n"/>
      <c r="O67" s="80" t="n"/>
      <c r="P67" s="81">
        <f>IF(TRIM(B67)&lt;&gt;"",IFERROR(INDEX(DescMap_Label,MATCH(TRIM(B67),DescMap_Description,0)),"UNMATCHED"),"")</f>
        <v/>
      </c>
    </row>
    <row r="68" ht="15" customHeight="1" s="199">
      <c r="C68" s="80" t="n"/>
      <c r="D68" s="80" t="n"/>
      <c r="E68" s="80" t="n"/>
      <c r="F68" s="80" t="n"/>
      <c r="G68" s="80" t="n"/>
      <c r="H68" s="80" t="n"/>
      <c r="I68" s="80" t="n"/>
      <c r="J68" s="80" t="n"/>
      <c r="K68" s="80" t="n"/>
      <c r="L68" s="80" t="n"/>
      <c r="M68" s="80" t="n"/>
      <c r="N68" s="80" t="n"/>
      <c r="O68" s="80" t="n"/>
      <c r="P68" s="81">
        <f>IF(TRIM(B68)&lt;&gt;"",IFERROR(INDEX(DescMap_Label,MATCH(TRIM(B68),DescMap_Description,0)),"UNMATCHED"),"")</f>
        <v/>
      </c>
    </row>
    <row r="69" ht="15" customHeight="1" s="199">
      <c r="C69" s="80" t="n"/>
      <c r="D69" s="80" t="n"/>
      <c r="E69" s="80" t="n"/>
      <c r="F69" s="80" t="n"/>
      <c r="G69" s="80" t="n"/>
      <c r="H69" s="80" t="n"/>
      <c r="I69" s="80" t="n"/>
      <c r="J69" s="80" t="n"/>
      <c r="K69" s="80" t="n"/>
      <c r="L69" s="80" t="n"/>
      <c r="M69" s="80" t="n"/>
      <c r="N69" s="80" t="n"/>
      <c r="O69" s="80" t="n"/>
      <c r="P69" s="81">
        <f>IF(TRIM(B69)&lt;&gt;"",IFERROR(INDEX(DescMap_Label,MATCH(TRIM(B69),DescMap_Description,0)),"UNMATCHED"),"")</f>
        <v/>
      </c>
    </row>
    <row r="70" ht="15" customHeight="1" s="199">
      <c r="C70" s="80" t="n"/>
      <c r="D70" s="80" t="n"/>
      <c r="E70" s="80" t="n"/>
      <c r="F70" s="80" t="n"/>
      <c r="G70" s="80" t="n"/>
      <c r="H70" s="80" t="n"/>
      <c r="I70" s="80" t="n"/>
      <c r="J70" s="80" t="n"/>
      <c r="K70" s="80" t="n"/>
      <c r="L70" s="80" t="n"/>
      <c r="M70" s="80" t="n"/>
      <c r="N70" s="80" t="n"/>
      <c r="O70" s="80" t="n"/>
      <c r="P70" s="81">
        <f>IF(TRIM(B70)&lt;&gt;"",IFERROR(INDEX(DescMap_Label,MATCH(TRIM(B70),DescMap_Description,0)),"UNMATCHED"),"")</f>
        <v/>
      </c>
    </row>
    <row r="71" ht="15" customHeight="1" s="199">
      <c r="C71" s="80" t="n"/>
      <c r="D71" s="80" t="n"/>
      <c r="E71" s="80" t="n"/>
      <c r="F71" s="80" t="n"/>
      <c r="G71" s="80" t="n"/>
      <c r="H71" s="80" t="n"/>
      <c r="I71" s="80" t="n"/>
      <c r="J71" s="80" t="n"/>
      <c r="K71" s="80" t="n"/>
      <c r="L71" s="80" t="n"/>
      <c r="M71" s="80" t="n"/>
      <c r="N71" s="80" t="n"/>
      <c r="O71" s="80" t="n"/>
      <c r="P71" s="81">
        <f>IF(TRIM(B71)&lt;&gt;"",IFERROR(INDEX(DescMap_Label,MATCH(TRIM(B71),DescMap_Description,0)),"UNMATCHED"),"")</f>
        <v/>
      </c>
    </row>
    <row r="72" ht="15" customHeight="1" s="199">
      <c r="C72" s="80" t="n"/>
      <c r="D72" s="80" t="n"/>
      <c r="E72" s="80" t="n"/>
      <c r="F72" s="80" t="n"/>
      <c r="G72" s="80" t="n"/>
      <c r="H72" s="80" t="n"/>
      <c r="I72" s="80" t="n"/>
      <c r="J72" s="80" t="n"/>
      <c r="K72" s="80" t="n"/>
      <c r="L72" s="80" t="n"/>
      <c r="M72" s="80" t="n"/>
      <c r="N72" s="80" t="n"/>
      <c r="O72" s="80" t="n"/>
      <c r="P72" s="81">
        <f>IF(TRIM(B72)&lt;&gt;"",IFERROR(INDEX(DescMap_Label,MATCH(TRIM(B72),DescMap_Description,0)),"UNMATCHED"),"")</f>
        <v/>
      </c>
    </row>
    <row r="73" ht="15" customHeight="1" s="199">
      <c r="C73" s="80" t="n"/>
      <c r="D73" s="80" t="n"/>
      <c r="E73" s="80" t="n"/>
      <c r="F73" s="80" t="n"/>
      <c r="G73" s="80" t="n"/>
      <c r="H73" s="80" t="n"/>
      <c r="I73" s="80" t="n"/>
      <c r="J73" s="80" t="n"/>
      <c r="K73" s="80" t="n"/>
      <c r="L73" s="80" t="n"/>
      <c r="M73" s="80" t="n"/>
      <c r="N73" s="80" t="n"/>
      <c r="O73" s="80" t="n"/>
      <c r="P73" s="81">
        <f>IF(TRIM(B73)&lt;&gt;"",IFERROR(INDEX(DescMap_Label,MATCH(TRIM(B73),DescMap_Description,0)),"UNMATCHED"),"")</f>
        <v/>
      </c>
    </row>
    <row r="74" ht="15" customHeight="1" s="199">
      <c r="C74" s="80" t="n"/>
      <c r="D74" s="80" t="n"/>
      <c r="E74" s="80" t="n"/>
      <c r="F74" s="80" t="n"/>
      <c r="G74" s="80" t="n"/>
      <c r="H74" s="80" t="n"/>
      <c r="I74" s="80" t="n"/>
      <c r="J74" s="80" t="n"/>
      <c r="K74" s="80" t="n"/>
      <c r="L74" s="80" t="n"/>
      <c r="M74" s="80" t="n"/>
      <c r="N74" s="80" t="n"/>
      <c r="O74" s="80" t="n"/>
      <c r="P74" s="81">
        <f>IF(TRIM(B74)&lt;&gt;"",IFERROR(INDEX(DescMap_Label,MATCH(TRIM(B74),DescMap_Description,0)),"UNMATCHED"),"")</f>
        <v/>
      </c>
    </row>
    <row r="75" ht="15" customHeight="1" s="199">
      <c r="C75" s="80" t="n"/>
      <c r="D75" s="80" t="n"/>
      <c r="E75" s="80" t="n"/>
      <c r="F75" s="80" t="n"/>
      <c r="G75" s="80" t="n"/>
      <c r="H75" s="80" t="n"/>
      <c r="I75" s="80" t="n"/>
      <c r="J75" s="80" t="n"/>
      <c r="K75" s="80" t="n"/>
      <c r="L75" s="80" t="n"/>
      <c r="M75" s="80" t="n"/>
      <c r="N75" s="80" t="n"/>
      <c r="O75" s="80" t="n"/>
      <c r="P75" s="81">
        <f>IF(TRIM(B75)&lt;&gt;"",IFERROR(INDEX(DescMap_Label,MATCH(TRIM(B75),DescMap_Description,0)),"UNMATCHED"),"")</f>
        <v/>
      </c>
    </row>
    <row r="76" ht="15" customHeight="1" s="199">
      <c r="C76" s="80" t="n"/>
      <c r="D76" s="80" t="n"/>
      <c r="E76" s="80" t="n"/>
      <c r="F76" s="80" t="n"/>
      <c r="G76" s="80" t="n"/>
      <c r="H76" s="80" t="n"/>
      <c r="I76" s="80" t="n"/>
      <c r="J76" s="80" t="n"/>
      <c r="K76" s="80" t="n"/>
      <c r="L76" s="80" t="n"/>
      <c r="M76" s="80" t="n"/>
      <c r="N76" s="80" t="n"/>
      <c r="O76" s="80" t="n"/>
      <c r="P76" s="81">
        <f>IF(TRIM(B76)&lt;&gt;"",IFERROR(INDEX(DescMap_Label,MATCH(TRIM(B76),DescMap_Description,0)),"UNMATCHED"),"")</f>
        <v/>
      </c>
    </row>
    <row r="77" ht="15" customHeight="1" s="199">
      <c r="C77" s="80" t="n"/>
      <c r="D77" s="80" t="n"/>
      <c r="E77" s="80" t="n"/>
      <c r="F77" s="80" t="n"/>
      <c r="G77" s="80" t="n"/>
      <c r="H77" s="80" t="n"/>
      <c r="I77" s="80" t="n"/>
      <c r="J77" s="80" t="n"/>
      <c r="K77" s="80" t="n"/>
      <c r="L77" s="80" t="n"/>
      <c r="M77" s="80" t="n"/>
      <c r="N77" s="80" t="n"/>
      <c r="O77" s="80" t="n"/>
      <c r="P77" s="81">
        <f>IF(TRIM(B77)&lt;&gt;"",IFERROR(INDEX(DescMap_Label,MATCH(TRIM(B77),DescMap_Description,0)),"UNMATCHED"),"")</f>
        <v/>
      </c>
    </row>
    <row r="78" ht="15" customHeight="1" s="199">
      <c r="C78" s="80" t="n"/>
      <c r="D78" s="80" t="n"/>
      <c r="E78" s="80" t="n"/>
      <c r="F78" s="80" t="n"/>
      <c r="G78" s="80" t="n"/>
      <c r="H78" s="80" t="n"/>
      <c r="I78" s="80" t="n"/>
      <c r="J78" s="80" t="n"/>
      <c r="K78" s="80" t="n"/>
      <c r="L78" s="80" t="n"/>
      <c r="M78" s="80" t="n"/>
      <c r="N78" s="80" t="n"/>
      <c r="O78" s="80" t="n"/>
      <c r="P78" s="81">
        <f>IF(TRIM(B78)&lt;&gt;"",IFERROR(INDEX(DescMap_Label,MATCH(TRIM(B78),DescMap_Description,0)),"UNMATCHED"),"")</f>
        <v/>
      </c>
    </row>
    <row r="79" ht="15" customHeight="1" s="199">
      <c r="C79" s="80" t="n"/>
      <c r="D79" s="80" t="n"/>
      <c r="E79" s="80" t="n"/>
      <c r="F79" s="80" t="n"/>
      <c r="G79" s="80" t="n"/>
      <c r="H79" s="80" t="n"/>
      <c r="I79" s="80" t="n"/>
      <c r="J79" s="80" t="n"/>
      <c r="K79" s="80" t="n"/>
      <c r="L79" s="80" t="n"/>
      <c r="M79" s="80" t="n"/>
      <c r="N79" s="80" t="n"/>
      <c r="O79" s="80" t="n"/>
      <c r="P79" s="81">
        <f>IF(TRIM(B79)&lt;&gt;"",IFERROR(INDEX(DescMap_Label,MATCH(TRIM(B79),DescMap_Description,0)),"UNMATCHED"),"")</f>
        <v/>
      </c>
    </row>
    <row r="80" ht="15" customHeight="1" s="199">
      <c r="C80" s="80" t="n"/>
      <c r="D80" s="80" t="n"/>
      <c r="E80" s="80" t="n"/>
      <c r="F80" s="80" t="n"/>
      <c r="G80" s="80" t="n"/>
      <c r="H80" s="80" t="n"/>
      <c r="I80" s="80" t="n"/>
      <c r="J80" s="80" t="n"/>
      <c r="K80" s="80" t="n"/>
      <c r="L80" s="80" t="n"/>
      <c r="M80" s="80" t="n"/>
      <c r="N80" s="80" t="n"/>
      <c r="O80" s="80" t="n"/>
      <c r="P80" s="81">
        <f>IF(TRIM(B80)&lt;&gt;"",IFERROR(INDEX(DescMap_Label,MATCH(TRIM(B80),DescMap_Description,0)),"UNMATCHED"),"")</f>
        <v/>
      </c>
    </row>
    <row r="81" ht="15" customHeight="1" s="199">
      <c r="C81" s="80" t="n"/>
      <c r="D81" s="80" t="n"/>
      <c r="E81" s="80" t="n"/>
      <c r="F81" s="80" t="n"/>
      <c r="G81" s="80" t="n"/>
      <c r="H81" s="80" t="n"/>
      <c r="I81" s="80" t="n"/>
      <c r="J81" s="80" t="n"/>
      <c r="K81" s="80" t="n"/>
      <c r="L81" s="80" t="n"/>
      <c r="M81" s="80" t="n"/>
      <c r="N81" s="80" t="n"/>
      <c r="O81" s="80" t="n"/>
      <c r="P81" s="81">
        <f>IF(TRIM(B81)&lt;&gt;"",IFERROR(INDEX(DescMap_Label,MATCH(TRIM(B81),DescMap_Description,0)),"UNMATCHED"),"")</f>
        <v/>
      </c>
    </row>
    <row r="82" ht="15" customHeight="1" s="199">
      <c r="C82" s="80" t="n"/>
      <c r="D82" s="80" t="n"/>
      <c r="E82" s="80" t="n"/>
      <c r="F82" s="80" t="n"/>
      <c r="G82" s="80" t="n"/>
      <c r="H82" s="80" t="n"/>
      <c r="I82" s="80" t="n"/>
      <c r="J82" s="80" t="n"/>
      <c r="K82" s="80" t="n"/>
      <c r="L82" s="80" t="n"/>
      <c r="M82" s="80" t="n"/>
      <c r="N82" s="80" t="n"/>
      <c r="O82" s="80" t="n"/>
      <c r="P82" s="81">
        <f>IF(TRIM(B82)&lt;&gt;"",IFERROR(INDEX(DescMap_Label,MATCH(TRIM(B82),DescMap_Description,0)),"UNMATCHED"),"")</f>
        <v/>
      </c>
    </row>
    <row r="83" ht="15" customHeight="1" s="199">
      <c r="C83" s="80" t="n"/>
      <c r="D83" s="80" t="n"/>
      <c r="E83" s="80" t="n"/>
      <c r="F83" s="80" t="n"/>
      <c r="G83" s="80" t="n"/>
      <c r="H83" s="80" t="n"/>
      <c r="I83" s="80" t="n"/>
      <c r="J83" s="80" t="n"/>
      <c r="K83" s="80" t="n"/>
      <c r="L83" s="80" t="n"/>
      <c r="M83" s="80" t="n"/>
      <c r="N83" s="80" t="n"/>
      <c r="O83" s="80" t="n"/>
      <c r="P83" s="81">
        <f>IF(TRIM(B83)&lt;&gt;"",IFERROR(INDEX(DescMap_Label,MATCH(TRIM(B83),DescMap_Description,0)),"UNMATCHED"),"")</f>
        <v/>
      </c>
    </row>
    <row r="84" ht="15" customHeight="1" s="199">
      <c r="C84" s="80" t="n"/>
      <c r="D84" s="80" t="n"/>
      <c r="E84" s="80" t="n"/>
      <c r="F84" s="80" t="n"/>
      <c r="G84" s="80" t="n"/>
      <c r="H84" s="80" t="n"/>
      <c r="I84" s="80" t="n"/>
      <c r="J84" s="80" t="n"/>
      <c r="K84" s="80" t="n"/>
      <c r="L84" s="80" t="n"/>
      <c r="M84" s="80" t="n"/>
      <c r="N84" s="80" t="n"/>
      <c r="O84" s="80" t="n"/>
      <c r="P84" s="81">
        <f>IF(TRIM(B84)&lt;&gt;"",IFERROR(INDEX(DescMap_Label,MATCH(TRIM(B84),DescMap_Description,0)),"UNMATCHED"),"")</f>
        <v/>
      </c>
    </row>
    <row r="85" ht="15" customHeight="1" s="199">
      <c r="C85" s="80" t="n"/>
      <c r="D85" s="80" t="n"/>
      <c r="E85" s="80" t="n"/>
      <c r="F85" s="80" t="n"/>
      <c r="G85" s="80" t="n"/>
      <c r="H85" s="80" t="n"/>
      <c r="I85" s="80" t="n"/>
      <c r="J85" s="80" t="n"/>
      <c r="K85" s="80" t="n"/>
      <c r="L85" s="80" t="n"/>
      <c r="M85" s="80" t="n"/>
      <c r="N85" s="80" t="n"/>
      <c r="O85" s="80" t="n"/>
      <c r="P85" s="81">
        <f>IF(TRIM(B85)&lt;&gt;"",IFERROR(INDEX(DescMap_Label,MATCH(TRIM(B85),DescMap_Description,0)),"UNMATCHED"),"")</f>
        <v/>
      </c>
    </row>
    <row r="86" ht="15" customHeight="1" s="199">
      <c r="C86" s="80" t="n"/>
      <c r="D86" s="80" t="n"/>
      <c r="E86" s="80" t="n"/>
      <c r="F86" s="80" t="n"/>
      <c r="G86" s="80" t="n"/>
      <c r="H86" s="80" t="n"/>
      <c r="I86" s="80" t="n"/>
      <c r="J86" s="80" t="n"/>
      <c r="K86" s="80" t="n"/>
      <c r="L86" s="80" t="n"/>
      <c r="M86" s="80" t="n"/>
      <c r="N86" s="80" t="n"/>
      <c r="O86" s="80" t="n"/>
      <c r="P86" s="81">
        <f>IF(TRIM(B86)&lt;&gt;"",IFERROR(INDEX(DescMap_Label,MATCH(TRIM(B86),DescMap_Description,0)),"UNMATCHED"),"")</f>
        <v/>
      </c>
    </row>
    <row r="87" ht="15" customHeight="1" s="199">
      <c r="C87" s="80" t="n"/>
      <c r="D87" s="80" t="n"/>
      <c r="E87" s="80" t="n"/>
      <c r="F87" s="80" t="n"/>
      <c r="G87" s="80" t="n"/>
      <c r="H87" s="80" t="n"/>
      <c r="I87" s="80" t="n"/>
      <c r="J87" s="80" t="n"/>
      <c r="K87" s="80" t="n"/>
      <c r="L87" s="80" t="n"/>
      <c r="M87" s="80" t="n"/>
      <c r="N87" s="80" t="n"/>
      <c r="O87" s="80" t="n"/>
      <c r="P87" s="81">
        <f>IF(TRIM(B87)&lt;&gt;"",IFERROR(INDEX(DescMap_Label,MATCH(TRIM(B87),DescMap_Description,0)),"UNMATCHED"),"")</f>
        <v/>
      </c>
    </row>
    <row r="88" ht="15" customHeight="1" s="199">
      <c r="C88" s="80" t="n"/>
      <c r="D88" s="80" t="n"/>
      <c r="E88" s="80" t="n"/>
      <c r="F88" s="80" t="n"/>
      <c r="G88" s="80" t="n"/>
      <c r="H88" s="80" t="n"/>
      <c r="I88" s="80" t="n"/>
      <c r="J88" s="80" t="n"/>
      <c r="K88" s="80" t="n"/>
      <c r="L88" s="80" t="n"/>
      <c r="M88" s="80" t="n"/>
      <c r="N88" s="80" t="n"/>
      <c r="O88" s="80" t="n"/>
      <c r="P88" s="81">
        <f>IF(TRIM(B88)&lt;&gt;"",IFERROR(INDEX(DescMap_Label,MATCH(TRIM(B88),DescMap_Description,0)),"UNMATCHED"),"")</f>
        <v/>
      </c>
    </row>
    <row r="89" ht="15" customHeight="1" s="199">
      <c r="C89" s="80" t="n"/>
      <c r="D89" s="80" t="n"/>
      <c r="E89" s="80" t="n"/>
      <c r="F89" s="80" t="n"/>
      <c r="G89" s="80" t="n"/>
      <c r="H89" s="80" t="n"/>
      <c r="I89" s="80" t="n"/>
      <c r="J89" s="80" t="n"/>
      <c r="K89" s="80" t="n"/>
      <c r="L89" s="80" t="n"/>
      <c r="M89" s="80" t="n"/>
      <c r="N89" s="80" t="n"/>
      <c r="O89" s="80" t="n"/>
      <c r="P89" s="81">
        <f>IF(TRIM(B89)&lt;&gt;"",IFERROR(INDEX(DescMap_Label,MATCH(TRIM(B89),DescMap_Description,0)),"UNMATCHED"),"")</f>
        <v/>
      </c>
    </row>
    <row r="90" ht="15" customHeight="1" s="199">
      <c r="C90" s="80" t="n"/>
      <c r="D90" s="80" t="n"/>
      <c r="E90" s="80" t="n"/>
      <c r="F90" s="80" t="n"/>
      <c r="G90" s="80" t="n"/>
      <c r="H90" s="80" t="n"/>
      <c r="I90" s="80" t="n"/>
      <c r="J90" s="80" t="n"/>
      <c r="K90" s="80" t="n"/>
      <c r="L90" s="80" t="n"/>
      <c r="M90" s="80" t="n"/>
      <c r="N90" s="80" t="n"/>
      <c r="O90" s="80" t="n"/>
      <c r="P90" s="81">
        <f>IF(TRIM(B90)&lt;&gt;"",IFERROR(INDEX(DescMap_Label,MATCH(TRIM(B90),DescMap_Description,0)),"UNMATCHED"),"")</f>
        <v/>
      </c>
    </row>
    <row r="91" ht="15" customHeight="1" s="199">
      <c r="C91" s="80" t="n"/>
      <c r="D91" s="80" t="n"/>
      <c r="E91" s="80" t="n"/>
      <c r="F91" s="80" t="n"/>
      <c r="G91" s="80" t="n"/>
      <c r="H91" s="80" t="n"/>
      <c r="I91" s="80" t="n"/>
      <c r="J91" s="80" t="n"/>
      <c r="K91" s="80" t="n"/>
      <c r="L91" s="80" t="n"/>
      <c r="M91" s="80" t="n"/>
      <c r="N91" s="80" t="n"/>
      <c r="O91" s="80" t="n"/>
      <c r="P91" s="81">
        <f>IF(TRIM(B91)&lt;&gt;"",IFERROR(INDEX(DescMap_Label,MATCH(TRIM(B91),DescMap_Description,0)),"UNMATCHED"),"")</f>
        <v/>
      </c>
    </row>
    <row r="92" ht="15" customHeight="1" s="199">
      <c r="C92" s="80" t="n"/>
      <c r="D92" s="80" t="n"/>
      <c r="E92" s="80" t="n"/>
      <c r="F92" s="80" t="n"/>
      <c r="G92" s="80" t="n"/>
      <c r="H92" s="80" t="n"/>
      <c r="I92" s="80" t="n"/>
      <c r="J92" s="80" t="n"/>
      <c r="K92" s="80" t="n"/>
      <c r="L92" s="80" t="n"/>
      <c r="M92" s="80" t="n"/>
      <c r="N92" s="80" t="n"/>
      <c r="O92" s="80" t="n"/>
      <c r="P92" s="81">
        <f>IF(TRIM(B92)&lt;&gt;"",IFERROR(INDEX(DescMap_Label,MATCH(TRIM(B92),DescMap_Description,0)),"UNMATCHED"),"")</f>
        <v/>
      </c>
    </row>
    <row r="93" ht="15" customHeight="1" s="199">
      <c r="C93" s="80" t="n"/>
      <c r="D93" s="80" t="n"/>
      <c r="E93" s="80" t="n"/>
      <c r="F93" s="80" t="n"/>
      <c r="G93" s="80" t="n"/>
      <c r="H93" s="80" t="n"/>
      <c r="I93" s="80" t="n"/>
      <c r="J93" s="80" t="n"/>
      <c r="K93" s="80" t="n"/>
      <c r="L93" s="80" t="n"/>
      <c r="M93" s="80" t="n"/>
      <c r="N93" s="80" t="n"/>
      <c r="O93" s="80" t="n"/>
      <c r="P93" s="81">
        <f>IF(TRIM(B93)&lt;&gt;"",IFERROR(INDEX(DescMap_Label,MATCH(TRIM(B93),DescMap_Description,0)),"UNMATCHED"),"")</f>
        <v/>
      </c>
    </row>
    <row r="94" ht="15" customHeight="1" s="199">
      <c r="C94" s="80" t="n"/>
      <c r="D94" s="80" t="n"/>
      <c r="E94" s="80" t="n"/>
      <c r="F94" s="80" t="n"/>
      <c r="G94" s="80" t="n"/>
      <c r="H94" s="80" t="n"/>
      <c r="I94" s="80" t="n"/>
      <c r="J94" s="80" t="n"/>
      <c r="K94" s="80" t="n"/>
      <c r="L94" s="80" t="n"/>
      <c r="M94" s="80" t="n"/>
      <c r="N94" s="80" t="n"/>
      <c r="O94" s="80" t="n"/>
      <c r="P94" s="81">
        <f>IF(TRIM(B94)&lt;&gt;"",IFERROR(INDEX(DescMap_Label,MATCH(TRIM(B94),DescMap_Description,0)),"UNMATCHED"),"")</f>
        <v/>
      </c>
    </row>
    <row r="95" ht="15" customHeight="1" s="199">
      <c r="C95" s="80" t="n"/>
      <c r="D95" s="80" t="n"/>
      <c r="E95" s="80" t="n"/>
      <c r="F95" s="80" t="n"/>
      <c r="G95" s="80" t="n"/>
      <c r="H95" s="80" t="n"/>
      <c r="I95" s="80" t="n"/>
      <c r="J95" s="80" t="n"/>
      <c r="K95" s="80" t="n"/>
      <c r="L95" s="80" t="n"/>
      <c r="M95" s="80" t="n"/>
      <c r="N95" s="80" t="n"/>
      <c r="O95" s="80" t="n"/>
      <c r="P95" s="81">
        <f>IF(TRIM(B95)&lt;&gt;"",IFERROR(INDEX(DescMap_Label,MATCH(TRIM(B95),DescMap_Description,0)),"UNMATCHED"),"")</f>
        <v/>
      </c>
    </row>
    <row r="96" ht="15" customHeight="1" s="199">
      <c r="C96" s="80" t="n"/>
      <c r="D96" s="80" t="n"/>
      <c r="E96" s="80" t="n"/>
      <c r="F96" s="80" t="n"/>
      <c r="G96" s="80" t="n"/>
      <c r="H96" s="80" t="n"/>
      <c r="I96" s="80" t="n"/>
      <c r="J96" s="80" t="n"/>
      <c r="K96" s="80" t="n"/>
      <c r="L96" s="80" t="n"/>
      <c r="M96" s="80" t="n"/>
      <c r="N96" s="80" t="n"/>
      <c r="O96" s="80" t="n"/>
      <c r="P96" s="81">
        <f>IF(TRIM(B96)&lt;&gt;"",IFERROR(INDEX(DescMap_Label,MATCH(TRIM(B96),DescMap_Description,0)),"UNMATCHED"),"")</f>
        <v/>
      </c>
    </row>
    <row r="97" ht="15" customHeight="1" s="199">
      <c r="C97" s="80" t="n"/>
      <c r="D97" s="80" t="n"/>
      <c r="E97" s="80" t="n"/>
      <c r="F97" s="80" t="n"/>
      <c r="G97" s="80" t="n"/>
      <c r="H97" s="80" t="n"/>
      <c r="I97" s="80" t="n"/>
      <c r="J97" s="80" t="n"/>
      <c r="K97" s="80" t="n"/>
      <c r="L97" s="80" t="n"/>
      <c r="M97" s="80" t="n"/>
      <c r="N97" s="80" t="n"/>
      <c r="O97" s="80" t="n"/>
      <c r="P97" s="81">
        <f>IF(TRIM(B97)&lt;&gt;"",IFERROR(INDEX(DescMap_Label,MATCH(TRIM(B97),DescMap_Description,0)),"UNMATCHED"),"")</f>
        <v/>
      </c>
    </row>
    <row r="98" ht="15" customHeight="1" s="199">
      <c r="C98" s="80" t="n"/>
      <c r="D98" s="80" t="n"/>
      <c r="E98" s="80" t="n"/>
      <c r="F98" s="80" t="n"/>
      <c r="G98" s="80" t="n"/>
      <c r="H98" s="80" t="n"/>
      <c r="I98" s="80" t="n"/>
      <c r="J98" s="80" t="n"/>
      <c r="K98" s="80" t="n"/>
      <c r="L98" s="80" t="n"/>
      <c r="M98" s="80" t="n"/>
      <c r="N98" s="80" t="n"/>
      <c r="O98" s="80" t="n"/>
      <c r="P98" s="81">
        <f>IF(TRIM(B98)&lt;&gt;"",IFERROR(INDEX(DescMap_Label,MATCH(TRIM(B98),DescMap_Description,0)),"UNMATCHED"),"")</f>
        <v/>
      </c>
    </row>
    <row r="99" ht="15" customHeight="1" s="199">
      <c r="C99" s="80" t="n"/>
      <c r="D99" s="80" t="n"/>
      <c r="E99" s="80" t="n"/>
      <c r="F99" s="80" t="n"/>
      <c r="G99" s="80" t="n"/>
      <c r="H99" s="80" t="n"/>
      <c r="I99" s="80" t="n"/>
      <c r="J99" s="80" t="n"/>
      <c r="K99" s="80" t="n"/>
      <c r="L99" s="80" t="n"/>
      <c r="M99" s="80" t="n"/>
      <c r="N99" s="80" t="n"/>
      <c r="O99" s="80" t="n"/>
      <c r="P99" s="81">
        <f>IF(TRIM(B99)&lt;&gt;"",IFERROR(INDEX(DescMap_Label,MATCH(TRIM(B99),DescMap_Description,0)),"UNMATCHED"),"")</f>
        <v/>
      </c>
    </row>
    <row r="100" ht="15" customHeight="1" s="199">
      <c r="C100" s="80" t="n"/>
      <c r="D100" s="80" t="n"/>
      <c r="E100" s="80" t="n"/>
      <c r="F100" s="80" t="n"/>
      <c r="G100" s="80" t="n"/>
      <c r="H100" s="80" t="n"/>
      <c r="I100" s="80" t="n"/>
      <c r="J100" s="80" t="n"/>
      <c r="K100" s="80" t="n"/>
      <c r="L100" s="80" t="n"/>
      <c r="M100" s="80" t="n"/>
      <c r="N100" s="80" t="n"/>
      <c r="O100" s="80" t="n"/>
      <c r="P100" s="81">
        <f>IF(TRIM(B100)&lt;&gt;"",IFERROR(INDEX(DescMap_Label,MATCH(TRIM(B100),DescMap_Description,0)),"UNMATCHED"),"")</f>
        <v/>
      </c>
    </row>
    <row r="101" ht="15" customHeight="1" s="199">
      <c r="C101" s="80" t="n"/>
      <c r="D101" s="80" t="n"/>
      <c r="E101" s="80" t="n"/>
      <c r="F101" s="80" t="n"/>
      <c r="G101" s="80" t="n"/>
      <c r="H101" s="80" t="n"/>
      <c r="I101" s="80" t="n"/>
      <c r="J101" s="80" t="n"/>
      <c r="K101" s="80" t="n"/>
      <c r="L101" s="80" t="n"/>
      <c r="M101" s="80" t="n"/>
      <c r="N101" s="80" t="n"/>
      <c r="O101" s="80" t="n"/>
      <c r="P101" s="81">
        <f>IF(TRIM(B101)&lt;&gt;"",IFERROR(INDEX(DescMap_Label,MATCH(TRIM(B101),DescMap_Description,0)),"UNMATCHED"),"")</f>
        <v/>
      </c>
    </row>
    <row r="102" ht="15" customHeight="1" s="199">
      <c r="C102" s="80" t="n"/>
      <c r="D102" s="80" t="n"/>
      <c r="E102" s="80" t="n"/>
      <c r="F102" s="80" t="n"/>
      <c r="G102" s="80" t="n"/>
      <c r="H102" s="80" t="n"/>
      <c r="I102" s="80" t="n"/>
      <c r="J102" s="80" t="n"/>
      <c r="K102" s="80" t="n"/>
      <c r="L102" s="80" t="n"/>
      <c r="M102" s="80" t="n"/>
      <c r="N102" s="80" t="n"/>
      <c r="O102" s="80" t="n"/>
      <c r="P102" s="81">
        <f>IF(TRIM(B102)&lt;&gt;"",IFERROR(INDEX(DescMap_Label,MATCH(TRIM(B102),DescMap_Description,0)),"UNMATCHED"),"")</f>
        <v/>
      </c>
    </row>
    <row r="103" ht="15" customHeight="1" s="199">
      <c r="C103" s="80" t="n"/>
      <c r="D103" s="80" t="n"/>
      <c r="E103" s="80" t="n"/>
      <c r="F103" s="80" t="n"/>
      <c r="G103" s="80" t="n"/>
      <c r="H103" s="80" t="n"/>
      <c r="I103" s="80" t="n"/>
      <c r="J103" s="80" t="n"/>
      <c r="K103" s="80" t="n"/>
      <c r="L103" s="80" t="n"/>
      <c r="M103" s="80" t="n"/>
      <c r="N103" s="80" t="n"/>
      <c r="O103" s="80" t="n"/>
      <c r="P103" s="81">
        <f>IF(TRIM(B103)&lt;&gt;"",IFERROR(INDEX(DescMap_Label,MATCH(TRIM(B103),DescMap_Description,0)),"UNMATCHED"),"")</f>
        <v/>
      </c>
    </row>
    <row r="104" ht="15" customHeight="1" s="199">
      <c r="C104" s="80" t="n"/>
      <c r="D104" s="80" t="n"/>
      <c r="E104" s="80" t="n"/>
      <c r="F104" s="80" t="n"/>
      <c r="G104" s="80" t="n"/>
      <c r="H104" s="80" t="n"/>
      <c r="I104" s="80" t="n"/>
      <c r="J104" s="80" t="n"/>
      <c r="K104" s="80" t="n"/>
      <c r="L104" s="80" t="n"/>
      <c r="M104" s="80" t="n"/>
      <c r="N104" s="80" t="n"/>
      <c r="O104" s="80" t="n"/>
      <c r="P104" s="81">
        <f>IF(TRIM(B104)&lt;&gt;"",IFERROR(INDEX(DescMap_Label,MATCH(TRIM(B104),DescMap_Description,0)),"UNMATCHED"),"")</f>
        <v/>
      </c>
    </row>
    <row r="105" ht="15" customHeight="1" s="199">
      <c r="C105" s="80" t="n"/>
      <c r="D105" s="80" t="n"/>
      <c r="E105" s="80" t="n"/>
      <c r="F105" s="80" t="n"/>
      <c r="G105" s="80" t="n"/>
      <c r="H105" s="80" t="n"/>
      <c r="I105" s="80" t="n"/>
      <c r="J105" s="80" t="n"/>
      <c r="K105" s="80" t="n"/>
      <c r="L105" s="80" t="n"/>
      <c r="M105" s="80" t="n"/>
      <c r="N105" s="80" t="n"/>
      <c r="O105" s="80" t="n"/>
      <c r="P105" s="81">
        <f>IF(TRIM(B105)&lt;&gt;"",IFERROR(INDEX(DescMap_Label,MATCH(TRIM(B105),DescMap_Description,0)),"UNMATCHED"),"")</f>
        <v/>
      </c>
    </row>
    <row r="106" ht="15" customHeight="1" s="199">
      <c r="C106" s="80" t="n"/>
      <c r="D106" s="80" t="n"/>
      <c r="E106" s="80" t="n"/>
      <c r="F106" s="80" t="n"/>
      <c r="G106" s="80" t="n"/>
      <c r="H106" s="80" t="n"/>
      <c r="I106" s="80" t="n"/>
      <c r="J106" s="80" t="n"/>
      <c r="K106" s="80" t="n"/>
      <c r="L106" s="80" t="n"/>
      <c r="M106" s="80" t="n"/>
      <c r="N106" s="80" t="n"/>
      <c r="O106" s="80" t="n"/>
      <c r="P106" s="81">
        <f>IF(TRIM(B106)&lt;&gt;"",IFERROR(INDEX(DescMap_Label,MATCH(TRIM(B106),DescMap_Description,0)),"UNMATCHED"),"")</f>
        <v/>
      </c>
    </row>
    <row r="107" ht="15" customHeight="1" s="199">
      <c r="C107" s="80" t="n"/>
      <c r="D107" s="80" t="n"/>
      <c r="E107" s="80" t="n"/>
      <c r="F107" s="80" t="n"/>
      <c r="G107" s="80" t="n"/>
      <c r="H107" s="80" t="n"/>
      <c r="I107" s="80" t="n"/>
      <c r="J107" s="80" t="n"/>
      <c r="K107" s="80" t="n"/>
      <c r="L107" s="80" t="n"/>
      <c r="M107" s="80" t="n"/>
      <c r="N107" s="80" t="n"/>
      <c r="O107" s="80" t="n"/>
      <c r="P107" s="81">
        <f>IF(TRIM(B107)&lt;&gt;"",IFERROR(INDEX(DescMap_Label,MATCH(TRIM(B107),DescMap_Description,0)),"UNMATCHED"),"")</f>
        <v/>
      </c>
    </row>
    <row r="108" ht="15" customHeight="1" s="199">
      <c r="C108" s="80" t="n"/>
      <c r="D108" s="80" t="n"/>
      <c r="E108" s="80" t="n"/>
      <c r="F108" s="80" t="n"/>
      <c r="G108" s="80" t="n"/>
      <c r="H108" s="80" t="n"/>
      <c r="I108" s="80" t="n"/>
      <c r="J108" s="80" t="n"/>
      <c r="K108" s="80" t="n"/>
      <c r="L108" s="80" t="n"/>
      <c r="M108" s="80" t="n"/>
      <c r="N108" s="80" t="n"/>
      <c r="O108" s="80" t="n"/>
      <c r="P108" s="81">
        <f>IF(TRIM(B108)&lt;&gt;"",IFERROR(INDEX(DescMap_Label,MATCH(TRIM(B108),DescMap_Description,0)),"UNMATCHED"),"")</f>
        <v/>
      </c>
    </row>
    <row r="109" ht="15" customHeight="1" s="199">
      <c r="C109" s="80" t="n"/>
      <c r="D109" s="80" t="n"/>
      <c r="E109" s="80" t="n"/>
      <c r="F109" s="80" t="n"/>
      <c r="G109" s="80" t="n"/>
      <c r="H109" s="80" t="n"/>
      <c r="I109" s="80" t="n"/>
      <c r="J109" s="80" t="n"/>
      <c r="K109" s="80" t="n"/>
      <c r="L109" s="80" t="n"/>
      <c r="M109" s="80" t="n"/>
      <c r="N109" s="80" t="n"/>
      <c r="O109" s="80" t="n"/>
      <c r="P109" s="81">
        <f>IF(TRIM(B109)&lt;&gt;"",IFERROR(INDEX(DescMap_Label,MATCH(TRIM(B109),DescMap_Description,0)),"UNMATCHED"),"")</f>
        <v/>
      </c>
    </row>
    <row r="110" ht="15" customHeight="1" s="199">
      <c r="C110" s="80" t="n"/>
      <c r="D110" s="80" t="n"/>
      <c r="E110" s="80" t="n"/>
      <c r="F110" s="80" t="n"/>
      <c r="G110" s="80" t="n"/>
      <c r="H110" s="80" t="n"/>
      <c r="I110" s="80" t="n"/>
      <c r="J110" s="80" t="n"/>
      <c r="K110" s="80" t="n"/>
      <c r="L110" s="80" t="n"/>
      <c r="M110" s="80" t="n"/>
      <c r="N110" s="80" t="n"/>
      <c r="O110" s="80" t="n"/>
      <c r="P110" s="81">
        <f>IF(TRIM(B110)&lt;&gt;"",IFERROR(INDEX(DescMap_Label,MATCH(TRIM(B110),DescMap_Description,0)),"UNMATCHED"),"")</f>
        <v/>
      </c>
    </row>
    <row r="111" ht="15" customHeight="1" s="199">
      <c r="C111" s="80" t="n"/>
      <c r="D111" s="80" t="n"/>
      <c r="E111" s="80" t="n"/>
      <c r="F111" s="80" t="n"/>
      <c r="G111" s="80" t="n"/>
      <c r="H111" s="80" t="n"/>
      <c r="I111" s="80" t="n"/>
      <c r="J111" s="80" t="n"/>
      <c r="K111" s="80" t="n"/>
      <c r="L111" s="80" t="n"/>
      <c r="M111" s="80" t="n"/>
      <c r="N111" s="80" t="n"/>
      <c r="O111" s="80" t="n"/>
      <c r="P111" s="81">
        <f>IF(TRIM(B111)&lt;&gt;"",IFERROR(INDEX(DescMap_Label,MATCH(TRIM(B111),DescMap_Description,0)),"UNMATCHED"),"")</f>
        <v/>
      </c>
    </row>
    <row r="112" ht="15" customHeight="1" s="199">
      <c r="C112" s="80" t="n"/>
      <c r="D112" s="80" t="n"/>
      <c r="E112" s="80" t="n"/>
      <c r="F112" s="80" t="n"/>
      <c r="G112" s="80" t="n"/>
      <c r="H112" s="80" t="n"/>
      <c r="I112" s="80" t="n"/>
      <c r="J112" s="80" t="n"/>
      <c r="K112" s="80" t="n"/>
      <c r="L112" s="80" t="n"/>
      <c r="M112" s="80" t="n"/>
      <c r="N112" s="80" t="n"/>
      <c r="O112" s="80" t="n"/>
      <c r="P112" s="81">
        <f>IF(TRIM(B112)&lt;&gt;"",IFERROR(INDEX(DescMap_Label,MATCH(TRIM(B112),DescMap_Description,0)),"UNMATCHED"),"")</f>
        <v/>
      </c>
    </row>
    <row r="113" ht="15" customHeight="1" s="199">
      <c r="C113" s="80" t="n"/>
      <c r="D113" s="80" t="n"/>
      <c r="E113" s="80" t="n"/>
      <c r="F113" s="80" t="n"/>
      <c r="G113" s="80" t="n"/>
      <c r="H113" s="80" t="n"/>
      <c r="I113" s="80" t="n"/>
      <c r="J113" s="80" t="n"/>
      <c r="K113" s="80" t="n"/>
      <c r="L113" s="80" t="n"/>
      <c r="M113" s="80" t="n"/>
      <c r="N113" s="80" t="n"/>
      <c r="O113" s="80" t="n"/>
      <c r="P113" s="81">
        <f>IF(TRIM(B113)&lt;&gt;"",IFERROR(INDEX(DescMap_Label,MATCH(TRIM(B113),DescMap_Description,0)),"UNMATCHED"),"")</f>
        <v/>
      </c>
    </row>
    <row r="114" ht="15" customHeight="1" s="199">
      <c r="C114" s="80" t="n"/>
      <c r="D114" s="80" t="n"/>
      <c r="E114" s="80" t="n"/>
      <c r="F114" s="80" t="n"/>
      <c r="G114" s="80" t="n"/>
      <c r="H114" s="80" t="n"/>
      <c r="I114" s="80" t="n"/>
      <c r="J114" s="80" t="n"/>
      <c r="K114" s="80" t="n"/>
      <c r="L114" s="80" t="n"/>
      <c r="M114" s="80" t="n"/>
      <c r="N114" s="80" t="n"/>
      <c r="O114" s="80" t="n"/>
      <c r="P114" s="81">
        <f>IF(TRIM(B114)&lt;&gt;"",IFERROR(INDEX(DescMap_Label,MATCH(TRIM(B114),DescMap_Description,0)),"UNMATCHED"),"")</f>
        <v/>
      </c>
    </row>
    <row r="115" ht="15" customHeight="1" s="199">
      <c r="C115" s="80" t="n"/>
      <c r="D115" s="80" t="n"/>
      <c r="E115" s="80" t="n"/>
      <c r="F115" s="80" t="n"/>
      <c r="G115" s="80" t="n"/>
      <c r="H115" s="80" t="n"/>
      <c r="I115" s="80" t="n"/>
      <c r="J115" s="80" t="n"/>
      <c r="K115" s="80" t="n"/>
      <c r="L115" s="80" t="n"/>
      <c r="M115" s="80" t="n"/>
      <c r="N115" s="80" t="n"/>
      <c r="O115" s="80" t="n"/>
      <c r="P115" s="81">
        <f>IF(TRIM(B115)&lt;&gt;"",IFERROR(INDEX(DescMap_Label,MATCH(TRIM(B115),DescMap_Description,0)),"UNMATCHED"),"")</f>
        <v/>
      </c>
    </row>
    <row r="116" ht="15" customHeight="1" s="199">
      <c r="C116" s="80" t="n"/>
      <c r="D116" s="80" t="n"/>
      <c r="E116" s="80" t="n"/>
      <c r="F116" s="80" t="n"/>
      <c r="G116" s="80" t="n"/>
      <c r="H116" s="80" t="n"/>
      <c r="I116" s="80" t="n"/>
      <c r="J116" s="80" t="n"/>
      <c r="K116" s="80" t="n"/>
      <c r="L116" s="80" t="n"/>
      <c r="M116" s="80" t="n"/>
      <c r="N116" s="80" t="n"/>
      <c r="O116" s="80" t="n"/>
      <c r="P116" s="81">
        <f>IF(TRIM(B116)&lt;&gt;"",IFERROR(INDEX(DescMap_Label,MATCH(TRIM(B116),DescMap_Description,0)),"UNMATCHED"),"")</f>
        <v/>
      </c>
    </row>
    <row r="117" ht="15" customHeight="1" s="199">
      <c r="C117" s="80" t="n"/>
      <c r="D117" s="80" t="n"/>
      <c r="E117" s="80" t="n"/>
      <c r="F117" s="80" t="n"/>
      <c r="G117" s="80" t="n"/>
      <c r="H117" s="80" t="n"/>
      <c r="I117" s="80" t="n"/>
      <c r="J117" s="80" t="n"/>
      <c r="K117" s="80" t="n"/>
      <c r="L117" s="80" t="n"/>
      <c r="M117" s="80" t="n"/>
      <c r="N117" s="80" t="n"/>
      <c r="O117" s="80" t="n"/>
      <c r="P117" s="81">
        <f>IF(TRIM(B117)&lt;&gt;"",IFERROR(INDEX(DescMap_Label,MATCH(TRIM(B117),DescMap_Description,0)),"UNMATCHED"),"")</f>
        <v/>
      </c>
    </row>
    <row r="118" ht="15" customHeight="1" s="199">
      <c r="C118" s="80" t="n"/>
      <c r="D118" s="80" t="n"/>
      <c r="E118" s="80" t="n"/>
      <c r="F118" s="80" t="n"/>
      <c r="G118" s="80" t="n"/>
      <c r="H118" s="80" t="n"/>
      <c r="I118" s="80" t="n"/>
      <c r="J118" s="80" t="n"/>
      <c r="K118" s="80" t="n"/>
      <c r="L118" s="80" t="n"/>
      <c r="M118" s="80" t="n"/>
      <c r="N118" s="80" t="n"/>
      <c r="O118" s="80" t="n"/>
      <c r="P118" s="81">
        <f>IF(TRIM(B118)&lt;&gt;"",IFERROR(INDEX(DescMap_Label,MATCH(TRIM(B118),DescMap_Description,0)),"UNMATCHED"),"")</f>
        <v/>
      </c>
    </row>
    <row r="119" ht="15" customHeight="1" s="199">
      <c r="C119" s="80" t="n"/>
      <c r="D119" s="80" t="n"/>
      <c r="E119" s="80" t="n"/>
      <c r="F119" s="80" t="n"/>
      <c r="G119" s="80" t="n"/>
      <c r="H119" s="80" t="n"/>
      <c r="I119" s="80" t="n"/>
      <c r="J119" s="80" t="n"/>
      <c r="K119" s="80" t="n"/>
      <c r="L119" s="80" t="n"/>
      <c r="M119" s="80" t="n"/>
      <c r="N119" s="80" t="n"/>
      <c r="O119" s="80" t="n"/>
      <c r="P119" s="81">
        <f>IF(TRIM(B119)&lt;&gt;"",IFERROR(INDEX(DescMap_Label,MATCH(TRIM(B119),DescMap_Description,0)),"UNMATCHED"),"")</f>
        <v/>
      </c>
    </row>
    <row r="120" ht="15" customHeight="1" s="199">
      <c r="C120" s="80" t="n"/>
      <c r="D120" s="80" t="n"/>
      <c r="E120" s="80" t="n"/>
      <c r="F120" s="80" t="n"/>
      <c r="G120" s="80" t="n"/>
      <c r="H120" s="80" t="n"/>
      <c r="I120" s="80" t="n"/>
      <c r="J120" s="80" t="n"/>
      <c r="K120" s="80" t="n"/>
      <c r="L120" s="80" t="n"/>
      <c r="M120" s="80" t="n"/>
      <c r="N120" s="80" t="n"/>
      <c r="O120" s="80" t="n"/>
      <c r="P120" s="81">
        <f>IF(TRIM(B120)&lt;&gt;"",IFERROR(INDEX(DescMap_Label,MATCH(TRIM(B120),DescMap_Description,0)),"UNMATCHED"),"")</f>
        <v/>
      </c>
    </row>
    <row r="121" ht="15" customHeight="1" s="199">
      <c r="C121" s="80" t="n"/>
      <c r="D121" s="80" t="n"/>
      <c r="E121" s="80" t="n"/>
      <c r="F121" s="80" t="n"/>
      <c r="G121" s="80" t="n"/>
      <c r="H121" s="80" t="n"/>
      <c r="I121" s="80" t="n"/>
      <c r="J121" s="80" t="n"/>
      <c r="K121" s="80" t="n"/>
      <c r="L121" s="80" t="n"/>
      <c r="M121" s="80" t="n"/>
      <c r="N121" s="80" t="n"/>
      <c r="O121" s="80" t="n"/>
      <c r="P121" s="81">
        <f>IF(TRIM(B121)&lt;&gt;"",IFERROR(INDEX(DescMap_Label,MATCH(TRIM(B121),DescMap_Description,0)),"UNMATCHED"),"")</f>
        <v/>
      </c>
    </row>
    <row r="122" ht="15" customHeight="1" s="199">
      <c r="C122" s="80" t="n"/>
      <c r="D122" s="80" t="n"/>
      <c r="E122" s="80" t="n"/>
      <c r="F122" s="80" t="n"/>
      <c r="G122" s="80" t="n"/>
      <c r="H122" s="80" t="n"/>
      <c r="I122" s="80" t="n"/>
      <c r="J122" s="80" t="n"/>
      <c r="K122" s="80" t="n"/>
      <c r="L122" s="80" t="n"/>
      <c r="M122" s="80" t="n"/>
      <c r="N122" s="80" t="n"/>
      <c r="O122" s="80" t="n"/>
      <c r="P122" s="81">
        <f>IF(TRIM(B122)&lt;&gt;"",IFERROR(INDEX(DescMap_Label,MATCH(TRIM(B122),DescMap_Description,0)),"UNMATCHED"),"")</f>
        <v/>
      </c>
    </row>
    <row r="123" ht="15" customHeight="1" s="199">
      <c r="C123" s="80" t="n"/>
      <c r="D123" s="80" t="n"/>
      <c r="E123" s="80" t="n"/>
      <c r="F123" s="80" t="n"/>
      <c r="G123" s="80" t="n"/>
      <c r="H123" s="80" t="n"/>
      <c r="I123" s="80" t="n"/>
      <c r="J123" s="80" t="n"/>
      <c r="K123" s="80" t="n"/>
      <c r="L123" s="80" t="n"/>
      <c r="M123" s="80" t="n"/>
      <c r="N123" s="80" t="n"/>
      <c r="O123" s="80" t="n"/>
      <c r="P123" s="81">
        <f>IF(TRIM(B123)&lt;&gt;"",IFERROR(INDEX(DescMap_Label,MATCH(TRIM(B123),DescMap_Description,0)),"UNMATCHED"),"")</f>
        <v/>
      </c>
    </row>
    <row r="124" ht="15" customHeight="1" s="199">
      <c r="C124" s="80" t="n"/>
      <c r="D124" s="80" t="n"/>
      <c r="E124" s="80" t="n"/>
      <c r="F124" s="80" t="n"/>
      <c r="G124" s="80" t="n"/>
      <c r="H124" s="80" t="n"/>
      <c r="I124" s="80" t="n"/>
      <c r="J124" s="80" t="n"/>
      <c r="K124" s="80" t="n"/>
      <c r="L124" s="80" t="n"/>
      <c r="M124" s="80" t="n"/>
      <c r="N124" s="80" t="n"/>
      <c r="O124" s="80" t="n"/>
      <c r="P124" s="81">
        <f>IF(TRIM(B124)&lt;&gt;"",IFERROR(INDEX(DescMap_Label,MATCH(TRIM(B124),DescMap_Description,0)),"UNMATCHED"),"")</f>
        <v/>
      </c>
    </row>
    <row r="125" ht="15" customHeight="1" s="199">
      <c r="C125" s="80" t="n"/>
      <c r="D125" s="80" t="n"/>
      <c r="E125" s="80" t="n"/>
      <c r="F125" s="80" t="n"/>
      <c r="G125" s="80" t="n"/>
      <c r="H125" s="80" t="n"/>
      <c r="I125" s="80" t="n"/>
      <c r="J125" s="80" t="n"/>
      <c r="K125" s="80" t="n"/>
      <c r="L125" s="80" t="n"/>
      <c r="M125" s="80" t="n"/>
      <c r="N125" s="80" t="n"/>
      <c r="O125" s="80" t="n"/>
      <c r="P125" s="81">
        <f>IF(TRIM(B125)&lt;&gt;"",IFERROR(INDEX(DescMap_Label,MATCH(TRIM(B125),DescMap_Description,0)),"UNMATCHED"),"")</f>
        <v/>
      </c>
    </row>
    <row r="126" ht="15" customHeight="1" s="199">
      <c r="C126" s="80" t="n"/>
      <c r="D126" s="80" t="n"/>
      <c r="E126" s="80" t="n"/>
      <c r="F126" s="80" t="n"/>
      <c r="G126" s="80" t="n"/>
      <c r="H126" s="80" t="n"/>
      <c r="I126" s="80" t="n"/>
      <c r="J126" s="80" t="n"/>
      <c r="K126" s="80" t="n"/>
      <c r="L126" s="80" t="n"/>
      <c r="M126" s="80" t="n"/>
      <c r="N126" s="80" t="n"/>
      <c r="O126" s="80" t="n"/>
      <c r="P126" s="81">
        <f>IF(TRIM(B126)&lt;&gt;"",IFERROR(INDEX(DescMap_Label,MATCH(TRIM(B126),DescMap_Description,0)),"UNMATCHED"),"")</f>
        <v/>
      </c>
    </row>
    <row r="127" ht="15" customHeight="1" s="199">
      <c r="C127" s="80" t="n"/>
      <c r="D127" s="80" t="n"/>
      <c r="E127" s="80" t="n"/>
      <c r="F127" s="80" t="n"/>
      <c r="G127" s="80" t="n"/>
      <c r="H127" s="80" t="n"/>
      <c r="I127" s="80" t="n"/>
      <c r="J127" s="80" t="n"/>
      <c r="K127" s="80" t="n"/>
      <c r="L127" s="80" t="n"/>
      <c r="M127" s="80" t="n"/>
      <c r="N127" s="80" t="n"/>
      <c r="O127" s="80" t="n"/>
      <c r="P127" s="81">
        <f>IF(TRIM(B127)&lt;&gt;"",IFERROR(INDEX(DescMap_Label,MATCH(TRIM(B127),DescMap_Description,0)),"UNMATCHED"),"")</f>
        <v/>
      </c>
    </row>
    <row r="128" ht="15" customHeight="1" s="199">
      <c r="C128" s="80" t="n"/>
      <c r="D128" s="80" t="n"/>
      <c r="E128" s="80" t="n"/>
      <c r="F128" s="80" t="n"/>
      <c r="G128" s="80" t="n"/>
      <c r="H128" s="80" t="n"/>
      <c r="I128" s="80" t="n"/>
      <c r="J128" s="80" t="n"/>
      <c r="K128" s="80" t="n"/>
      <c r="L128" s="80" t="n"/>
      <c r="M128" s="80" t="n"/>
      <c r="N128" s="80" t="n"/>
      <c r="O128" s="80" t="n"/>
      <c r="P128" s="81">
        <f>IF(TRIM(B128)&lt;&gt;"",IFERROR(INDEX(DescMap_Label,MATCH(TRIM(B128),DescMap_Description,0)),"UNMATCHED"),"")</f>
        <v/>
      </c>
    </row>
    <row r="129" ht="15" customHeight="1" s="199">
      <c r="C129" s="80" t="n"/>
      <c r="D129" s="80" t="n"/>
      <c r="E129" s="80" t="n"/>
      <c r="F129" s="80" t="n"/>
      <c r="G129" s="80" t="n"/>
      <c r="H129" s="80" t="n"/>
      <c r="I129" s="80" t="n"/>
      <c r="J129" s="80" t="n"/>
      <c r="K129" s="80" t="n"/>
      <c r="L129" s="80" t="n"/>
      <c r="M129" s="80" t="n"/>
      <c r="N129" s="80" t="n"/>
      <c r="O129" s="80" t="n"/>
      <c r="P129" s="81">
        <f>IF(TRIM(B129)&lt;&gt;"",IFERROR(INDEX(DescMap_Label,MATCH(TRIM(B129),DescMap_Description,0)),"UNMATCHED"),"")</f>
        <v/>
      </c>
    </row>
    <row r="130" ht="15" customHeight="1" s="199">
      <c r="C130" s="80" t="n"/>
      <c r="D130" s="80" t="n"/>
      <c r="E130" s="80" t="n"/>
      <c r="F130" s="80" t="n"/>
      <c r="G130" s="80" t="n"/>
      <c r="H130" s="80" t="n"/>
      <c r="I130" s="80" t="n"/>
      <c r="J130" s="80" t="n"/>
      <c r="K130" s="80" t="n"/>
      <c r="L130" s="80" t="n"/>
      <c r="M130" s="80" t="n"/>
      <c r="N130" s="80" t="n"/>
      <c r="O130" s="80" t="n"/>
      <c r="P130" s="81">
        <f>IF(TRIM(B130)&lt;&gt;"",IFERROR(INDEX(DescMap_Label,MATCH(TRIM(B130),DescMap_Description,0)),"UNMATCHED"),"")</f>
        <v/>
      </c>
    </row>
    <row r="131" ht="15" customHeight="1" s="199">
      <c r="C131" s="80" t="n"/>
      <c r="D131" s="80" t="n"/>
      <c r="E131" s="80" t="n"/>
      <c r="F131" s="80" t="n"/>
      <c r="G131" s="80" t="n"/>
      <c r="H131" s="80" t="n"/>
      <c r="I131" s="80" t="n"/>
      <c r="J131" s="80" t="n"/>
      <c r="K131" s="80" t="n"/>
      <c r="L131" s="80" t="n"/>
      <c r="M131" s="80" t="n"/>
      <c r="N131" s="80" t="n"/>
      <c r="O131" s="80" t="n"/>
      <c r="P131" s="81">
        <f>IF(TRIM(B131)&lt;&gt;"",IFERROR(INDEX(DescMap_Label,MATCH(TRIM(B131),DescMap_Description,0)),"UNMATCHED"),"")</f>
        <v/>
      </c>
    </row>
    <row r="132" ht="15" customHeight="1" s="199">
      <c r="C132" s="80" t="n"/>
      <c r="D132" s="80" t="n"/>
      <c r="E132" s="80" t="n"/>
      <c r="F132" s="80" t="n"/>
      <c r="G132" s="80" t="n"/>
      <c r="H132" s="80" t="n"/>
      <c r="I132" s="80" t="n"/>
      <c r="J132" s="80" t="n"/>
      <c r="K132" s="80" t="n"/>
      <c r="L132" s="80" t="n"/>
      <c r="M132" s="80" t="n"/>
      <c r="N132" s="80" t="n"/>
      <c r="O132" s="80" t="n"/>
      <c r="P132" s="81">
        <f>IF(TRIM(B132)&lt;&gt;"",IFERROR(INDEX(DescMap_Label,MATCH(TRIM(B132),DescMap_Description,0)),"UNMATCHED"),"")</f>
        <v/>
      </c>
    </row>
    <row r="133" ht="15" customHeight="1" s="199">
      <c r="C133" s="80" t="n"/>
      <c r="D133" s="80" t="n"/>
      <c r="E133" s="80" t="n"/>
      <c r="F133" s="80" t="n"/>
      <c r="G133" s="80" t="n"/>
      <c r="H133" s="80" t="n"/>
      <c r="I133" s="80" t="n"/>
      <c r="J133" s="80" t="n"/>
      <c r="K133" s="80" t="n"/>
      <c r="L133" s="80" t="n"/>
      <c r="M133" s="80" t="n"/>
      <c r="N133" s="80" t="n"/>
      <c r="O133" s="80" t="n"/>
      <c r="P133" s="81">
        <f>IF(TRIM(B133)&lt;&gt;"",IFERROR(INDEX(DescMap_Label,MATCH(TRIM(B133),DescMap_Description,0)),"UNMATCHED"),"")</f>
        <v/>
      </c>
    </row>
    <row r="134" ht="15" customHeight="1" s="199">
      <c r="C134" s="80" t="n"/>
      <c r="D134" s="80" t="n"/>
      <c r="E134" s="80" t="n"/>
      <c r="F134" s="80" t="n"/>
      <c r="G134" s="80" t="n"/>
      <c r="H134" s="80" t="n"/>
      <c r="I134" s="80" t="n"/>
      <c r="J134" s="80" t="n"/>
      <c r="K134" s="80" t="n"/>
      <c r="L134" s="80" t="n"/>
      <c r="M134" s="80" t="n"/>
      <c r="N134" s="80" t="n"/>
      <c r="O134" s="80" t="n"/>
      <c r="P134" s="81">
        <f>IF(TRIM(B134)&lt;&gt;"",IFERROR(INDEX(DescMap_Label,MATCH(TRIM(B134),DescMap_Description,0)),"UNMATCHED"),"")</f>
        <v/>
      </c>
    </row>
    <row r="135" ht="15" customHeight="1" s="199">
      <c r="C135" s="80" t="n"/>
      <c r="D135" s="80" t="n"/>
      <c r="E135" s="80" t="n"/>
      <c r="F135" s="80" t="n"/>
      <c r="G135" s="80" t="n"/>
      <c r="H135" s="80" t="n"/>
      <c r="I135" s="80" t="n"/>
      <c r="J135" s="80" t="n"/>
      <c r="K135" s="80" t="n"/>
      <c r="L135" s="80" t="n"/>
      <c r="M135" s="80" t="n"/>
      <c r="N135" s="80" t="n"/>
      <c r="O135" s="80" t="n"/>
      <c r="P135" s="81">
        <f>IF(TRIM(B135)&lt;&gt;"",IFERROR(INDEX(DescMap_Label,MATCH(TRIM(B135),DescMap_Description,0)),"UNMATCHED"),"")</f>
        <v/>
      </c>
    </row>
    <row r="136" ht="15" customHeight="1" s="199">
      <c r="C136" s="80" t="n"/>
      <c r="D136" s="80" t="n"/>
      <c r="E136" s="80" t="n"/>
      <c r="F136" s="80" t="n"/>
      <c r="G136" s="80" t="n"/>
      <c r="H136" s="80" t="n"/>
      <c r="I136" s="80" t="n"/>
      <c r="J136" s="80" t="n"/>
      <c r="K136" s="80" t="n"/>
      <c r="L136" s="80" t="n"/>
      <c r="M136" s="80" t="n"/>
      <c r="N136" s="80" t="n"/>
      <c r="O136" s="80" t="n"/>
      <c r="P136" s="81">
        <f>IF(TRIM(B136)&lt;&gt;"",IFERROR(INDEX(DescMap_Label,MATCH(TRIM(B136),DescMap_Description,0)),"UNMATCHED"),"")</f>
        <v/>
      </c>
    </row>
    <row r="137" ht="15" customHeight="1" s="199">
      <c r="C137" s="80" t="n"/>
      <c r="D137" s="80" t="n"/>
      <c r="E137" s="80" t="n"/>
      <c r="F137" s="80" t="n"/>
      <c r="G137" s="80" t="n"/>
      <c r="H137" s="80" t="n"/>
      <c r="I137" s="80" t="n"/>
      <c r="J137" s="80" t="n"/>
      <c r="K137" s="80" t="n"/>
      <c r="L137" s="80" t="n"/>
      <c r="M137" s="80" t="n"/>
      <c r="N137" s="80" t="n"/>
      <c r="O137" s="80" t="n"/>
      <c r="P137" s="81">
        <f>IF(TRIM(B137)&lt;&gt;"",IFERROR(INDEX(DescMap_Label,MATCH(TRIM(B137),DescMap_Description,0)),"UNMATCHED"),"")</f>
        <v/>
      </c>
    </row>
    <row r="138" ht="15" customHeight="1" s="199">
      <c r="C138" s="80" t="n"/>
      <c r="D138" s="80" t="n"/>
      <c r="E138" s="80" t="n"/>
      <c r="F138" s="80" t="n"/>
      <c r="G138" s="80" t="n"/>
      <c r="H138" s="80" t="n"/>
      <c r="I138" s="80" t="n"/>
      <c r="J138" s="80" t="n"/>
      <c r="K138" s="80" t="n"/>
      <c r="L138" s="80" t="n"/>
      <c r="M138" s="80" t="n"/>
      <c r="N138" s="80" t="n"/>
      <c r="O138" s="80" t="n"/>
      <c r="P138" s="81">
        <f>IF(TRIM(B138)&lt;&gt;"",IFERROR(INDEX(DescMap_Label,MATCH(TRIM(B138),DescMap_Description,0)),"UNMATCHED"),"")</f>
        <v/>
      </c>
    </row>
    <row r="139" ht="15" customHeight="1" s="199">
      <c r="C139" s="80" t="n"/>
      <c r="D139" s="80" t="n"/>
      <c r="E139" s="80" t="n"/>
      <c r="F139" s="80" t="n"/>
      <c r="G139" s="80" t="n"/>
      <c r="H139" s="80" t="n"/>
      <c r="I139" s="80" t="n"/>
      <c r="J139" s="80" t="n"/>
      <c r="K139" s="80" t="n"/>
      <c r="L139" s="80" t="n"/>
      <c r="M139" s="80" t="n"/>
      <c r="N139" s="80" t="n"/>
      <c r="O139" s="80" t="n"/>
      <c r="P139" s="81">
        <f>IF(TRIM(B139)&lt;&gt;"",IFERROR(INDEX(DescMap_Label,MATCH(TRIM(B139),DescMap_Description,0)),"UNMATCHED"),"")</f>
        <v/>
      </c>
    </row>
    <row r="140" ht="15" customHeight="1" s="199">
      <c r="C140" s="80" t="n"/>
      <c r="D140" s="80" t="n"/>
      <c r="E140" s="80" t="n"/>
      <c r="F140" s="80" t="n"/>
      <c r="G140" s="80" t="n"/>
      <c r="H140" s="80" t="n"/>
      <c r="I140" s="80" t="n"/>
      <c r="J140" s="80" t="n"/>
      <c r="K140" s="80" t="n"/>
      <c r="L140" s="80" t="n"/>
      <c r="M140" s="80" t="n"/>
      <c r="N140" s="80" t="n"/>
      <c r="O140" s="80" t="n"/>
      <c r="P140" s="81">
        <f>IF(TRIM(B140)&lt;&gt;"",IFERROR(INDEX(DescMap_Label,MATCH(TRIM(B140),DescMap_Description,0)),"UNMATCHED"),"")</f>
        <v/>
      </c>
    </row>
    <row r="141" ht="15" customHeight="1" s="199">
      <c r="C141" s="80" t="n"/>
      <c r="D141" s="80" t="n"/>
      <c r="E141" s="80" t="n"/>
      <c r="F141" s="80" t="n"/>
      <c r="G141" s="80" t="n"/>
      <c r="H141" s="80" t="n"/>
      <c r="I141" s="80" t="n"/>
      <c r="J141" s="80" t="n"/>
      <c r="K141" s="80" t="n"/>
      <c r="L141" s="80" t="n"/>
      <c r="M141" s="80" t="n"/>
      <c r="N141" s="80" t="n"/>
      <c r="O141" s="80" t="n"/>
      <c r="P141" s="81">
        <f>IF(TRIM(B141)&lt;&gt;"",IFERROR(INDEX(DescMap_Label,MATCH(TRIM(B141),DescMap_Description,0)),"UNMATCHED"),"")</f>
        <v/>
      </c>
    </row>
    <row r="142" ht="15" customHeight="1" s="199">
      <c r="C142" s="80" t="n"/>
      <c r="D142" s="80" t="n"/>
      <c r="E142" s="80" t="n"/>
      <c r="F142" s="80" t="n"/>
      <c r="G142" s="80" t="n"/>
      <c r="H142" s="80" t="n"/>
      <c r="I142" s="80" t="n"/>
      <c r="J142" s="80" t="n"/>
      <c r="K142" s="80" t="n"/>
      <c r="L142" s="80" t="n"/>
      <c r="M142" s="80" t="n"/>
      <c r="N142" s="80" t="n"/>
      <c r="O142" s="80" t="n"/>
      <c r="P142" s="81">
        <f>IF(TRIM(B142)&lt;&gt;"",IFERROR(INDEX(DescMap_Label,MATCH(TRIM(B142),DescMap_Description,0)),"UNMATCHED"),"")</f>
        <v/>
      </c>
    </row>
    <row r="143" ht="15" customHeight="1" s="199">
      <c r="C143" s="80" t="n"/>
      <c r="D143" s="80" t="n"/>
      <c r="E143" s="80" t="n"/>
      <c r="F143" s="80" t="n"/>
      <c r="G143" s="80" t="n"/>
      <c r="H143" s="80" t="n"/>
      <c r="I143" s="80" t="n"/>
      <c r="J143" s="80" t="n"/>
      <c r="K143" s="80" t="n"/>
      <c r="L143" s="80" t="n"/>
      <c r="M143" s="80" t="n"/>
      <c r="N143" s="80" t="n"/>
      <c r="O143" s="80" t="n"/>
      <c r="P143" s="81">
        <f>IF(TRIM(B143)&lt;&gt;"",IFERROR(INDEX(DescMap_Label,MATCH(TRIM(B143),DescMap_Description,0)),"UNMATCHED"),"")</f>
        <v/>
      </c>
    </row>
    <row r="144" ht="15" customHeight="1" s="199">
      <c r="C144" s="80" t="n"/>
      <c r="D144" s="80" t="n"/>
      <c r="E144" s="80" t="n"/>
      <c r="F144" s="80" t="n"/>
      <c r="G144" s="80" t="n"/>
      <c r="H144" s="80" t="n"/>
      <c r="I144" s="80" t="n"/>
      <c r="J144" s="80" t="n"/>
      <c r="K144" s="80" t="n"/>
      <c r="L144" s="80" t="n"/>
      <c r="M144" s="80" t="n"/>
      <c r="N144" s="80" t="n"/>
      <c r="O144" s="80" t="n"/>
      <c r="P144" s="81">
        <f>IF(TRIM(B144)&lt;&gt;"",IFERROR(INDEX(DescMap_Label,MATCH(TRIM(B144),DescMap_Description,0)),"UNMATCHED"),"")</f>
        <v/>
      </c>
    </row>
    <row r="145" ht="15" customHeight="1" s="199">
      <c r="C145" s="80" t="n"/>
      <c r="D145" s="80" t="n"/>
      <c r="E145" s="80" t="n"/>
      <c r="F145" s="80" t="n"/>
      <c r="G145" s="80" t="n"/>
      <c r="H145" s="80" t="n"/>
      <c r="I145" s="80" t="n"/>
      <c r="J145" s="80" t="n"/>
      <c r="K145" s="80" t="n"/>
      <c r="L145" s="80" t="n"/>
      <c r="M145" s="80" t="n"/>
      <c r="N145" s="80" t="n"/>
      <c r="O145" s="80" t="n"/>
      <c r="P145" s="81">
        <f>IF(TRIM(B145)&lt;&gt;"",IFERROR(INDEX(DescMap_Label,MATCH(TRIM(B145),DescMap_Description,0)),"UNMATCHED"),"")</f>
        <v/>
      </c>
    </row>
    <row r="146" ht="15" customHeight="1" s="199">
      <c r="C146" s="80" t="n"/>
      <c r="D146" s="80" t="n"/>
      <c r="E146" s="80" t="n"/>
      <c r="F146" s="80" t="n"/>
      <c r="G146" s="80" t="n"/>
      <c r="H146" s="80" t="n"/>
      <c r="I146" s="80" t="n"/>
      <c r="J146" s="80" t="n"/>
      <c r="K146" s="80" t="n"/>
      <c r="L146" s="80" t="n"/>
      <c r="M146" s="80" t="n"/>
      <c r="N146" s="80" t="n"/>
      <c r="O146" s="80" t="n"/>
      <c r="P146" s="81">
        <f>IF(TRIM(B146)&lt;&gt;"",IFERROR(INDEX(DescMap_Label,MATCH(TRIM(B146),DescMap_Description,0)),"UNMATCHED"),"")</f>
        <v/>
      </c>
    </row>
    <row r="147" ht="15" customHeight="1" s="199">
      <c r="C147" s="80" t="n"/>
      <c r="D147" s="80" t="n"/>
      <c r="E147" s="80" t="n"/>
      <c r="F147" s="80" t="n"/>
      <c r="G147" s="80" t="n"/>
      <c r="H147" s="80" t="n"/>
      <c r="I147" s="80" t="n"/>
      <c r="J147" s="80" t="n"/>
      <c r="K147" s="80" t="n"/>
      <c r="L147" s="80" t="n"/>
      <c r="M147" s="80" t="n"/>
      <c r="N147" s="80" t="n"/>
      <c r="O147" s="80" t="n"/>
      <c r="P147" s="81">
        <f>IF(TRIM(B147)&lt;&gt;"",IFERROR(INDEX(DescMap_Label,MATCH(TRIM(B147),DescMap_Description,0)),"UNMATCHED"),"")</f>
        <v/>
      </c>
    </row>
    <row r="148" ht="15" customHeight="1" s="199">
      <c r="C148" s="80" t="n"/>
      <c r="D148" s="80" t="n"/>
      <c r="E148" s="80" t="n"/>
      <c r="F148" s="80" t="n"/>
      <c r="G148" s="80" t="n"/>
      <c r="H148" s="80" t="n"/>
      <c r="I148" s="80" t="n"/>
      <c r="J148" s="80" t="n"/>
      <c r="K148" s="80" t="n"/>
      <c r="L148" s="80" t="n"/>
      <c r="M148" s="80" t="n"/>
      <c r="N148" s="80" t="n"/>
      <c r="O148" s="80" t="n"/>
      <c r="P148" s="81">
        <f>IF(TRIM(B148)&lt;&gt;"",IFERROR(INDEX(DescMap_Label,MATCH(TRIM(B148),DescMap_Description,0)),"UNMATCHED"),"")</f>
        <v/>
      </c>
    </row>
    <row r="149" ht="15" customHeight="1" s="199">
      <c r="C149" s="80" t="n"/>
      <c r="D149" s="80" t="n"/>
      <c r="E149" s="80" t="n"/>
      <c r="F149" s="80" t="n"/>
      <c r="G149" s="80" t="n"/>
      <c r="H149" s="80" t="n"/>
      <c r="I149" s="80" t="n"/>
      <c r="J149" s="80" t="n"/>
      <c r="K149" s="80" t="n"/>
      <c r="L149" s="80" t="n"/>
      <c r="M149" s="80" t="n"/>
      <c r="N149" s="80" t="n"/>
      <c r="O149" s="80" t="n"/>
      <c r="P149" s="81">
        <f>IF(TRIM(B149)&lt;&gt;"",IFERROR(INDEX(DescMap_Label,MATCH(TRIM(B149),DescMap_Description,0)),"UNMATCHED"),"")</f>
        <v/>
      </c>
    </row>
    <row r="150" ht="15" customHeight="1" s="199">
      <c r="C150" s="80" t="n"/>
      <c r="D150" s="80" t="n"/>
      <c r="E150" s="80" t="n"/>
      <c r="F150" s="80" t="n"/>
      <c r="G150" s="80" t="n"/>
      <c r="H150" s="80" t="n"/>
      <c r="I150" s="80" t="n"/>
      <c r="J150" s="80" t="n"/>
      <c r="K150" s="80" t="n"/>
      <c r="L150" s="80" t="n"/>
      <c r="M150" s="80" t="n"/>
      <c r="N150" s="80" t="n"/>
      <c r="O150" s="80" t="n"/>
      <c r="P150" s="81">
        <f>IF(TRIM(B150)&lt;&gt;"",IFERROR(INDEX(DescMap_Label,MATCH(TRIM(B150),DescMap_Description,0)),"UNMATCHED"),"")</f>
        <v/>
      </c>
    </row>
    <row r="151" ht="15" customHeight="1" s="199">
      <c r="C151" s="80" t="n"/>
      <c r="D151" s="80" t="n"/>
      <c r="E151" s="80" t="n"/>
      <c r="F151" s="80" t="n"/>
      <c r="G151" s="80" t="n"/>
      <c r="H151" s="80" t="n"/>
      <c r="I151" s="80" t="n"/>
      <c r="J151" s="80" t="n"/>
      <c r="K151" s="80" t="n"/>
      <c r="L151" s="80" t="n"/>
      <c r="M151" s="80" t="n"/>
      <c r="N151" s="80" t="n"/>
      <c r="O151" s="80" t="n"/>
      <c r="P151" s="81">
        <f>IF(TRIM(B151)&lt;&gt;"",IFERROR(INDEX(DescMap_Label,MATCH(TRIM(B151),DescMap_Description,0)),"UNMATCHED"),"")</f>
        <v/>
      </c>
    </row>
    <row r="152" ht="15" customHeight="1" s="199">
      <c r="C152" s="80" t="n"/>
      <c r="D152" s="80" t="n"/>
      <c r="E152" s="80" t="n"/>
      <c r="F152" s="80" t="n"/>
      <c r="G152" s="80" t="n"/>
      <c r="H152" s="80" t="n"/>
      <c r="I152" s="80" t="n"/>
      <c r="J152" s="80" t="n"/>
      <c r="K152" s="80" t="n"/>
      <c r="L152" s="80" t="n"/>
      <c r="M152" s="80" t="n"/>
      <c r="N152" s="80" t="n"/>
      <c r="O152" s="80" t="n"/>
      <c r="P152" s="81">
        <f>IF(TRIM(B152)&lt;&gt;"",IFERROR(INDEX(DescMap_Label,MATCH(TRIM(B152),DescMap_Description,0)),"UNMATCHED"),"")</f>
        <v/>
      </c>
    </row>
    <row r="153" ht="15" customHeight="1" s="199">
      <c r="C153" s="80" t="n"/>
      <c r="D153" s="80" t="n"/>
      <c r="E153" s="80" t="n"/>
      <c r="F153" s="80" t="n"/>
      <c r="G153" s="80" t="n"/>
      <c r="H153" s="80" t="n"/>
      <c r="I153" s="80" t="n"/>
      <c r="J153" s="80" t="n"/>
      <c r="K153" s="80" t="n"/>
      <c r="L153" s="80" t="n"/>
      <c r="M153" s="80" t="n"/>
      <c r="N153" s="80" t="n"/>
      <c r="O153" s="80" t="n"/>
      <c r="P153" s="81">
        <f>IF(TRIM(B153)&lt;&gt;"",IFERROR(INDEX(DescMap_Label,MATCH(TRIM(B153),DescMap_Description,0)),"UNMATCHED"),"")</f>
        <v/>
      </c>
    </row>
    <row r="154" ht="15" customHeight="1" s="199">
      <c r="C154" s="80" t="n"/>
      <c r="D154" s="80" t="n"/>
      <c r="E154" s="80" t="n"/>
      <c r="F154" s="80" t="n"/>
      <c r="G154" s="80" t="n"/>
      <c r="H154" s="80" t="n"/>
      <c r="I154" s="80" t="n"/>
      <c r="J154" s="80" t="n"/>
      <c r="K154" s="80" t="n"/>
      <c r="L154" s="80" t="n"/>
      <c r="M154" s="80" t="n"/>
      <c r="N154" s="80" t="n"/>
      <c r="O154" s="80" t="n"/>
      <c r="P154" s="81">
        <f>IF(TRIM(B154)&lt;&gt;"",IFERROR(INDEX(DescMap_Label,MATCH(TRIM(B154),DescMap_Description,0)),"UNMATCHED"),"")</f>
        <v/>
      </c>
    </row>
    <row r="155" ht="15" customHeight="1" s="199">
      <c r="C155" s="80" t="n"/>
      <c r="D155" s="80" t="n"/>
      <c r="E155" s="80" t="n"/>
      <c r="F155" s="80" t="n"/>
      <c r="G155" s="80" t="n"/>
      <c r="H155" s="80" t="n"/>
      <c r="I155" s="80" t="n"/>
      <c r="J155" s="80" t="n"/>
      <c r="K155" s="80" t="n"/>
      <c r="L155" s="80" t="n"/>
      <c r="M155" s="80" t="n"/>
      <c r="N155" s="80" t="n"/>
      <c r="O155" s="80" t="n"/>
      <c r="P155" s="81">
        <f>IF(TRIM(B155)&lt;&gt;"",IFERROR(INDEX(DescMap_Label,MATCH(TRIM(B155),DescMap_Description,0)),"UNMATCHED"),"")</f>
        <v/>
      </c>
    </row>
    <row r="156" ht="15" customHeight="1" s="199">
      <c r="C156" s="80" t="n"/>
      <c r="D156" s="80" t="n"/>
      <c r="E156" s="80" t="n"/>
      <c r="F156" s="80" t="n"/>
      <c r="G156" s="80" t="n"/>
      <c r="H156" s="80" t="n"/>
      <c r="I156" s="80" t="n"/>
      <c r="J156" s="80" t="n"/>
      <c r="K156" s="80" t="n"/>
      <c r="L156" s="80" t="n"/>
      <c r="M156" s="80" t="n"/>
      <c r="N156" s="80" t="n"/>
      <c r="O156" s="80" t="n"/>
      <c r="P156" s="81">
        <f>IF(TRIM(B156)&lt;&gt;"",IFERROR(INDEX(DescMap_Label,MATCH(TRIM(B156),DescMap_Description,0)),"UNMATCHED"),"")</f>
        <v/>
      </c>
    </row>
    <row r="157" ht="15" customHeight="1" s="199">
      <c r="C157" s="80" t="n"/>
      <c r="D157" s="80" t="n"/>
      <c r="E157" s="80" t="n"/>
      <c r="F157" s="80" t="n"/>
      <c r="G157" s="80" t="n"/>
      <c r="H157" s="80" t="n"/>
      <c r="I157" s="80" t="n"/>
      <c r="J157" s="80" t="n"/>
      <c r="K157" s="80" t="n"/>
      <c r="L157" s="80" t="n"/>
      <c r="M157" s="80" t="n"/>
      <c r="N157" s="80" t="n"/>
      <c r="O157" s="80" t="n"/>
      <c r="P157" s="81">
        <f>IF(TRIM(B157)&lt;&gt;"",IFERROR(INDEX(DescMap_Label,MATCH(TRIM(B157),DescMap_Description,0)),"UNMATCHED"),"")</f>
        <v/>
      </c>
    </row>
    <row r="158" ht="15" customHeight="1" s="199">
      <c r="C158" s="80" t="n"/>
      <c r="D158" s="80" t="n"/>
      <c r="E158" s="80" t="n"/>
      <c r="F158" s="80" t="n"/>
      <c r="G158" s="80" t="n"/>
      <c r="H158" s="80" t="n"/>
      <c r="I158" s="80" t="n"/>
      <c r="J158" s="80" t="n"/>
      <c r="K158" s="80" t="n"/>
      <c r="L158" s="80" t="n"/>
      <c r="M158" s="80" t="n"/>
      <c r="N158" s="80" t="n"/>
      <c r="O158" s="80" t="n"/>
      <c r="P158" s="81">
        <f>IF(TRIM(B158)&lt;&gt;"",IFERROR(INDEX(DescMap_Label,MATCH(TRIM(B158),DescMap_Description,0)),"UNMATCHED"),"")</f>
        <v/>
      </c>
    </row>
    <row r="159" ht="15" customHeight="1" s="199">
      <c r="C159" s="80" t="n"/>
      <c r="D159" s="80" t="n"/>
      <c r="E159" s="80" t="n"/>
      <c r="F159" s="80" t="n"/>
      <c r="G159" s="80" t="n"/>
      <c r="H159" s="80" t="n"/>
      <c r="I159" s="80" t="n"/>
      <c r="J159" s="80" t="n"/>
      <c r="K159" s="80" t="n"/>
      <c r="L159" s="80" t="n"/>
      <c r="M159" s="80" t="n"/>
      <c r="N159" s="80" t="n"/>
      <c r="O159" s="80" t="n"/>
      <c r="P159" s="81">
        <f>IF(TRIM(B159)&lt;&gt;"",IFERROR(INDEX(DescMap_Label,MATCH(TRIM(B159),DescMap_Description,0)),"UNMATCHED"),"")</f>
        <v/>
      </c>
    </row>
    <row r="160" ht="15" customHeight="1" s="199">
      <c r="C160" s="80" t="n"/>
      <c r="D160" s="80" t="n"/>
      <c r="E160" s="80" t="n"/>
      <c r="F160" s="80" t="n"/>
      <c r="G160" s="80" t="n"/>
      <c r="H160" s="80" t="n"/>
      <c r="I160" s="80" t="n"/>
      <c r="J160" s="80" t="n"/>
      <c r="K160" s="80" t="n"/>
      <c r="L160" s="80" t="n"/>
      <c r="M160" s="80" t="n"/>
      <c r="N160" s="80" t="n"/>
      <c r="O160" s="80" t="n"/>
      <c r="P160" s="81">
        <f>IF(TRIM(B160)&lt;&gt;"",IFERROR(INDEX(DescMap_Label,MATCH(TRIM(B160),DescMap_Description,0)),"UNMATCHED"),"")</f>
        <v/>
      </c>
    </row>
    <row r="161" ht="15" customHeight="1" s="199">
      <c r="C161" s="80" t="n"/>
      <c r="D161" s="80" t="n"/>
      <c r="E161" s="80" t="n"/>
      <c r="F161" s="80" t="n"/>
      <c r="G161" s="80" t="n"/>
      <c r="H161" s="80" t="n"/>
      <c r="I161" s="80" t="n"/>
      <c r="J161" s="80" t="n"/>
      <c r="K161" s="80" t="n"/>
      <c r="L161" s="80" t="n"/>
      <c r="M161" s="80" t="n"/>
      <c r="N161" s="80" t="n"/>
      <c r="O161" s="80" t="n"/>
      <c r="P161" s="81">
        <f>IF(TRIM(B161)&lt;&gt;"",IFERROR(INDEX(DescMap_Label,MATCH(TRIM(B161),DescMap_Description,0)),"UNMATCHED"),"")</f>
        <v/>
      </c>
    </row>
    <row r="162" ht="15" customHeight="1" s="199">
      <c r="C162" s="80" t="n"/>
      <c r="D162" s="80" t="n"/>
      <c r="E162" s="80" t="n"/>
      <c r="F162" s="80" t="n"/>
      <c r="G162" s="80" t="n"/>
      <c r="H162" s="80" t="n"/>
      <c r="I162" s="80" t="n"/>
      <c r="J162" s="80" t="n"/>
      <c r="K162" s="80" t="n"/>
      <c r="L162" s="80" t="n"/>
      <c r="M162" s="80" t="n"/>
      <c r="N162" s="80" t="n"/>
      <c r="O162" s="80" t="n"/>
      <c r="P162" s="81">
        <f>IF(TRIM(B162)&lt;&gt;"",IFERROR(INDEX(DescMap_Label,MATCH(TRIM(B162),DescMap_Description,0)),"UNMATCHED"),"")</f>
        <v/>
      </c>
    </row>
    <row r="163" ht="15" customHeight="1" s="199">
      <c r="C163" s="80" t="n"/>
      <c r="D163" s="80" t="n"/>
      <c r="E163" s="80" t="n"/>
      <c r="F163" s="80" t="n"/>
      <c r="G163" s="80" t="n"/>
      <c r="H163" s="80" t="n"/>
      <c r="I163" s="80" t="n"/>
      <c r="J163" s="80" t="n"/>
      <c r="K163" s="80" t="n"/>
      <c r="L163" s="80" t="n"/>
      <c r="M163" s="80" t="n"/>
      <c r="N163" s="80" t="n"/>
      <c r="O163" s="80" t="n"/>
      <c r="P163" s="81">
        <f>IF(TRIM(B163)&lt;&gt;"",IFERROR(INDEX(DescMap_Label,MATCH(TRIM(B163),DescMap_Description,0)),"UNMATCHED"),"")</f>
        <v/>
      </c>
    </row>
    <row r="164" ht="15" customHeight="1" s="199">
      <c r="C164" s="80" t="n"/>
      <c r="D164" s="80" t="n"/>
      <c r="E164" s="80" t="n"/>
      <c r="F164" s="80" t="n"/>
      <c r="G164" s="80" t="n"/>
      <c r="H164" s="80" t="n"/>
      <c r="I164" s="80" t="n"/>
      <c r="J164" s="80" t="n"/>
      <c r="K164" s="80" t="n"/>
      <c r="L164" s="80" t="n"/>
      <c r="M164" s="80" t="n"/>
      <c r="N164" s="80" t="n"/>
      <c r="O164" s="80" t="n"/>
      <c r="P164" s="81">
        <f>IF(TRIM(B164)&lt;&gt;"",IFERROR(INDEX(DescMap_Label,MATCH(TRIM(B164),DescMap_Description,0)),"UNMATCHED"),"")</f>
        <v/>
      </c>
    </row>
    <row r="165" ht="15" customHeight="1" s="199">
      <c r="C165" s="80" t="n"/>
      <c r="D165" s="80" t="n"/>
      <c r="E165" s="80" t="n"/>
      <c r="F165" s="80" t="n"/>
      <c r="G165" s="80" t="n"/>
      <c r="H165" s="80" t="n"/>
      <c r="I165" s="80" t="n"/>
      <c r="J165" s="80" t="n"/>
      <c r="K165" s="80" t="n"/>
      <c r="L165" s="80" t="n"/>
      <c r="M165" s="80" t="n"/>
      <c r="N165" s="80" t="n"/>
      <c r="O165" s="80" t="n"/>
      <c r="P165" s="81">
        <f>IF(TRIM(B165)&lt;&gt;"",IFERROR(INDEX(DescMap_Label,MATCH(TRIM(B165),DescMap_Description,0)),"UNMATCHED"),"")</f>
        <v/>
      </c>
    </row>
    <row r="166" ht="15" customHeight="1" s="199">
      <c r="C166" s="80" t="n"/>
      <c r="D166" s="80" t="n"/>
      <c r="E166" s="80" t="n"/>
      <c r="F166" s="80" t="n"/>
      <c r="G166" s="80" t="n"/>
      <c r="H166" s="80" t="n"/>
      <c r="I166" s="80" t="n"/>
      <c r="J166" s="80" t="n"/>
      <c r="K166" s="80" t="n"/>
      <c r="L166" s="80" t="n"/>
      <c r="M166" s="80" t="n"/>
      <c r="N166" s="80" t="n"/>
      <c r="O166" s="80" t="n"/>
      <c r="P166" s="81">
        <f>IF(TRIM(B166)&lt;&gt;"",IFERROR(INDEX(DescMap_Label,MATCH(TRIM(B166),DescMap_Description,0)),"UNMATCHED"),"")</f>
        <v/>
      </c>
    </row>
    <row r="167" ht="15" customHeight="1" s="199">
      <c r="C167" s="80" t="n"/>
      <c r="D167" s="80" t="n"/>
      <c r="E167" s="80" t="n"/>
      <c r="F167" s="80" t="n"/>
      <c r="G167" s="80" t="n"/>
      <c r="H167" s="80" t="n"/>
      <c r="I167" s="80" t="n"/>
      <c r="J167" s="80" t="n"/>
      <c r="K167" s="80" t="n"/>
      <c r="L167" s="80" t="n"/>
      <c r="M167" s="80" t="n"/>
      <c r="N167" s="80" t="n"/>
      <c r="O167" s="80" t="n"/>
      <c r="P167" s="81">
        <f>IF(TRIM(B167)&lt;&gt;"",IFERROR(INDEX(DescMap_Label,MATCH(TRIM(B167),DescMap_Description,0)),"UNMATCHED"),"")</f>
        <v/>
      </c>
    </row>
    <row r="168" ht="15" customHeight="1" s="199">
      <c r="C168" s="80" t="n"/>
      <c r="D168" s="80" t="n"/>
      <c r="E168" s="80" t="n"/>
      <c r="F168" s="80" t="n"/>
      <c r="G168" s="80" t="n"/>
      <c r="H168" s="80" t="n"/>
      <c r="I168" s="80" t="n"/>
      <c r="J168" s="80" t="n"/>
      <c r="K168" s="80" t="n"/>
      <c r="L168" s="80" t="n"/>
      <c r="M168" s="80" t="n"/>
      <c r="N168" s="80" t="n"/>
      <c r="O168" s="80" t="n"/>
      <c r="P168" s="81">
        <f>IF(TRIM(B168)&lt;&gt;"",IFERROR(INDEX(DescMap_Label,MATCH(TRIM(B168),DescMap_Description,0)),"UNMATCHED"),"")</f>
        <v/>
      </c>
    </row>
    <row r="169" ht="15" customHeight="1" s="199">
      <c r="C169" s="80" t="n"/>
      <c r="D169" s="80" t="n"/>
      <c r="E169" s="80" t="n"/>
      <c r="F169" s="80" t="n"/>
      <c r="G169" s="80" t="n"/>
      <c r="H169" s="80" t="n"/>
      <c r="I169" s="80" t="n"/>
      <c r="J169" s="80" t="n"/>
      <c r="K169" s="80" t="n"/>
      <c r="L169" s="80" t="n"/>
      <c r="M169" s="80" t="n"/>
      <c r="N169" s="80" t="n"/>
      <c r="O169" s="80" t="n"/>
      <c r="P169" s="81">
        <f>IF(TRIM(B169)&lt;&gt;"",IFERROR(INDEX(DescMap_Label,MATCH(TRIM(B169),DescMap_Description,0)),"UNMATCHED"),"")</f>
        <v/>
      </c>
    </row>
    <row r="170" ht="15" customHeight="1" s="199">
      <c r="C170" s="80" t="n"/>
      <c r="D170" s="80" t="n"/>
      <c r="E170" s="80" t="n"/>
      <c r="F170" s="80" t="n"/>
      <c r="G170" s="80" t="n"/>
      <c r="H170" s="80" t="n"/>
      <c r="I170" s="80" t="n"/>
      <c r="J170" s="80" t="n"/>
      <c r="K170" s="80" t="n"/>
      <c r="L170" s="80" t="n"/>
      <c r="M170" s="80" t="n"/>
      <c r="N170" s="80" t="n"/>
      <c r="O170" s="80" t="n"/>
      <c r="P170" s="81">
        <f>IF(TRIM(B170)&lt;&gt;"",IFERROR(INDEX(DescMap_Label,MATCH(TRIM(B170),DescMap_Description,0)),"UNMATCHED"),"")</f>
        <v/>
      </c>
    </row>
    <row r="171" ht="15" customHeight="1" s="199">
      <c r="C171" s="80" t="n"/>
      <c r="D171" s="80" t="n"/>
      <c r="E171" s="80" t="n"/>
      <c r="F171" s="80" t="n"/>
      <c r="G171" s="80" t="n"/>
      <c r="H171" s="80" t="n"/>
      <c r="I171" s="80" t="n"/>
      <c r="J171" s="80" t="n"/>
      <c r="K171" s="80" t="n"/>
      <c r="L171" s="80" t="n"/>
      <c r="M171" s="80" t="n"/>
      <c r="N171" s="80" t="n"/>
      <c r="O171" s="80" t="n"/>
      <c r="P171" s="81">
        <f>IF(TRIM(B171)&lt;&gt;"",IFERROR(INDEX(DescMap_Label,MATCH(TRIM(B171),DescMap_Description,0)),"UNMATCHED"),"")</f>
        <v/>
      </c>
    </row>
    <row r="172" ht="15" customHeight="1" s="199">
      <c r="C172" s="80" t="n"/>
      <c r="D172" s="80" t="n"/>
      <c r="E172" s="80" t="n"/>
      <c r="F172" s="80" t="n"/>
      <c r="G172" s="80" t="n"/>
      <c r="H172" s="80" t="n"/>
      <c r="I172" s="80" t="n"/>
      <c r="J172" s="80" t="n"/>
      <c r="K172" s="80" t="n"/>
      <c r="L172" s="80" t="n"/>
      <c r="M172" s="80" t="n"/>
      <c r="N172" s="80" t="n"/>
      <c r="O172" s="80" t="n"/>
      <c r="P172" s="81">
        <f>IF(TRIM(B172)&lt;&gt;"",IFERROR(INDEX(DescMap_Label,MATCH(TRIM(B172),DescMap_Description,0)),"UNMATCHED"),"")</f>
        <v/>
      </c>
    </row>
    <row r="173" ht="15" customHeight="1" s="199">
      <c r="C173" s="80" t="n"/>
      <c r="D173" s="80" t="n"/>
      <c r="E173" s="80" t="n"/>
      <c r="F173" s="80" t="n"/>
      <c r="G173" s="80" t="n"/>
      <c r="H173" s="80" t="n"/>
      <c r="I173" s="80" t="n"/>
      <c r="J173" s="80" t="n"/>
      <c r="K173" s="80" t="n"/>
      <c r="L173" s="80" t="n"/>
      <c r="M173" s="80" t="n"/>
      <c r="N173" s="80" t="n"/>
      <c r="O173" s="80" t="n"/>
      <c r="P173" s="81">
        <f>IF(TRIM(B173)&lt;&gt;"",IFERROR(INDEX(DescMap_Label,MATCH(TRIM(B173),DescMap_Description,0)),"UNMATCHED"),"")</f>
        <v/>
      </c>
    </row>
    <row r="174" ht="15" customHeight="1" s="199">
      <c r="C174" s="80" t="n"/>
      <c r="D174" s="80" t="n"/>
      <c r="E174" s="80" t="n"/>
      <c r="F174" s="80" t="n"/>
      <c r="G174" s="80" t="n"/>
      <c r="H174" s="80" t="n"/>
      <c r="I174" s="80" t="n"/>
      <c r="J174" s="80" t="n"/>
      <c r="K174" s="80" t="n"/>
      <c r="L174" s="80" t="n"/>
      <c r="M174" s="80" t="n"/>
      <c r="N174" s="80" t="n"/>
      <c r="O174" s="80" t="n"/>
      <c r="P174" s="81">
        <f>IF(TRIM(B174)&lt;&gt;"",IFERROR(INDEX(DescMap_Label,MATCH(TRIM(B174),DescMap_Description,0)),"UNMATCHED"),"")</f>
        <v/>
      </c>
    </row>
    <row r="175" ht="15" customHeight="1" s="199">
      <c r="C175" s="80" t="n"/>
      <c r="D175" s="80" t="n"/>
      <c r="E175" s="80" t="n"/>
      <c r="F175" s="80" t="n"/>
      <c r="G175" s="80" t="n"/>
      <c r="H175" s="80" t="n"/>
      <c r="I175" s="80" t="n"/>
      <c r="J175" s="80" t="n"/>
      <c r="K175" s="80" t="n"/>
      <c r="L175" s="80" t="n"/>
      <c r="M175" s="80" t="n"/>
      <c r="N175" s="80" t="n"/>
      <c r="O175" s="80" t="n"/>
      <c r="P175" s="81">
        <f>IF(TRIM(B175)&lt;&gt;"",IFERROR(INDEX(DescMap_Label,MATCH(TRIM(B175),DescMap_Description,0)),"UNMATCHED"),"")</f>
        <v/>
      </c>
    </row>
    <row r="176" ht="15" customHeight="1" s="199">
      <c r="C176" s="80" t="n"/>
      <c r="D176" s="80" t="n"/>
      <c r="E176" s="80" t="n"/>
      <c r="F176" s="80" t="n"/>
      <c r="G176" s="80" t="n"/>
      <c r="H176" s="80" t="n"/>
      <c r="I176" s="80" t="n"/>
      <c r="J176" s="80" t="n"/>
      <c r="K176" s="80" t="n"/>
      <c r="L176" s="80" t="n"/>
      <c r="M176" s="80" t="n"/>
      <c r="N176" s="80" t="n"/>
      <c r="O176" s="80" t="n"/>
      <c r="P176" s="81">
        <f>IF(TRIM(B176)&lt;&gt;"",IFERROR(INDEX(DescMap_Label,MATCH(TRIM(B176),DescMap_Description,0)),"UNMATCHED"),"")</f>
        <v/>
      </c>
    </row>
    <row r="177" ht="15" customHeight="1" s="199">
      <c r="C177" s="80" t="n"/>
      <c r="D177" s="80" t="n"/>
      <c r="E177" s="80" t="n"/>
      <c r="F177" s="80" t="n"/>
      <c r="G177" s="80" t="n"/>
      <c r="H177" s="80" t="n"/>
      <c r="I177" s="80" t="n"/>
      <c r="J177" s="80" t="n"/>
      <c r="K177" s="80" t="n"/>
      <c r="L177" s="80" t="n"/>
      <c r="M177" s="80" t="n"/>
      <c r="N177" s="80" t="n"/>
      <c r="O177" s="80" t="n"/>
      <c r="P177" s="81">
        <f>IF(TRIM(B177)&lt;&gt;"",IFERROR(INDEX(DescMap_Label,MATCH(TRIM(B177),DescMap_Description,0)),"UNMATCHED"),"")</f>
        <v/>
      </c>
    </row>
    <row r="178" ht="15" customHeight="1" s="199">
      <c r="C178" s="80" t="n"/>
      <c r="D178" s="80" t="n"/>
      <c r="E178" s="80" t="n"/>
      <c r="F178" s="80" t="n"/>
      <c r="G178" s="80" t="n"/>
      <c r="H178" s="80" t="n"/>
      <c r="I178" s="80" t="n"/>
      <c r="J178" s="80" t="n"/>
      <c r="K178" s="80" t="n"/>
      <c r="L178" s="80" t="n"/>
      <c r="M178" s="80" t="n"/>
      <c r="N178" s="80" t="n"/>
      <c r="O178" s="80" t="n"/>
      <c r="P178" s="81">
        <f>IF(TRIM(B178)&lt;&gt;"",IFERROR(INDEX(DescMap_Label,MATCH(TRIM(B178),DescMap_Description,0)),"UNMATCHED"),"")</f>
        <v/>
      </c>
    </row>
    <row r="179" ht="15" customHeight="1" s="199">
      <c r="C179" s="80" t="n"/>
      <c r="D179" s="80" t="n"/>
      <c r="E179" s="80" t="n"/>
      <c r="F179" s="80" t="n"/>
      <c r="G179" s="80" t="n"/>
      <c r="H179" s="80" t="n"/>
      <c r="I179" s="80" t="n"/>
      <c r="J179" s="80" t="n"/>
      <c r="K179" s="80" t="n"/>
      <c r="L179" s="80" t="n"/>
      <c r="M179" s="80" t="n"/>
      <c r="N179" s="80" t="n"/>
      <c r="O179" s="80" t="n"/>
      <c r="P179" s="81">
        <f>IF(TRIM(B179)&lt;&gt;"",IFERROR(INDEX(DescMap_Label,MATCH(TRIM(B179),DescMap_Description,0)),"UNMATCHED"),"")</f>
        <v/>
      </c>
    </row>
    <row r="180" ht="15" customHeight="1" s="199">
      <c r="C180" s="80" t="n"/>
      <c r="D180" s="80" t="n"/>
      <c r="E180" s="80" t="n"/>
      <c r="F180" s="80" t="n"/>
      <c r="G180" s="80" t="n"/>
      <c r="H180" s="80" t="n"/>
      <c r="I180" s="80" t="n"/>
      <c r="J180" s="80" t="n"/>
      <c r="K180" s="80" t="n"/>
      <c r="L180" s="80" t="n"/>
      <c r="M180" s="80" t="n"/>
      <c r="N180" s="80" t="n"/>
      <c r="O180" s="80" t="n"/>
      <c r="P180" s="81">
        <f>IF(TRIM(B180)&lt;&gt;"",IFERROR(INDEX(DescMap_Label,MATCH(TRIM(B180),DescMap_Description,0)),"UNMATCHED"),"")</f>
        <v/>
      </c>
    </row>
    <row r="181" ht="15" customHeight="1" s="199">
      <c r="C181" s="80" t="n"/>
      <c r="D181" s="80" t="n"/>
      <c r="E181" s="80" t="n"/>
      <c r="F181" s="80" t="n"/>
      <c r="G181" s="80" t="n"/>
      <c r="H181" s="80" t="n"/>
      <c r="I181" s="80" t="n"/>
      <c r="J181" s="80" t="n"/>
      <c r="K181" s="80" t="n"/>
      <c r="L181" s="80" t="n"/>
      <c r="M181" s="80" t="n"/>
      <c r="N181" s="80" t="n"/>
      <c r="O181" s="80" t="n"/>
      <c r="P181" s="81">
        <f>IF(TRIM(B181)&lt;&gt;"",IFERROR(INDEX(DescMap_Label,MATCH(TRIM(B181),DescMap_Description,0)),"UNMATCHED"),"")</f>
        <v/>
      </c>
    </row>
    <row r="182" ht="15" customHeight="1" s="199">
      <c r="C182" s="80" t="n"/>
      <c r="D182" s="80" t="n"/>
      <c r="E182" s="80" t="n"/>
      <c r="F182" s="80" t="n"/>
      <c r="G182" s="80" t="n"/>
      <c r="H182" s="80" t="n"/>
      <c r="I182" s="80" t="n"/>
      <c r="J182" s="80" t="n"/>
      <c r="K182" s="80" t="n"/>
      <c r="L182" s="80" t="n"/>
      <c r="M182" s="80" t="n"/>
      <c r="N182" s="80" t="n"/>
      <c r="O182" s="80" t="n"/>
      <c r="P182" s="81">
        <f>IF(TRIM(B182)&lt;&gt;"",IFERROR(INDEX(DescMap_Label,MATCH(TRIM(B182),DescMap_Description,0)),"UNMATCHED"),"")</f>
        <v/>
      </c>
    </row>
    <row r="183" ht="15" customHeight="1" s="199">
      <c r="C183" s="80" t="n"/>
      <c r="D183" s="80" t="n"/>
      <c r="E183" s="80" t="n"/>
      <c r="F183" s="80" t="n"/>
      <c r="G183" s="80" t="n"/>
      <c r="H183" s="80" t="n"/>
      <c r="I183" s="80" t="n"/>
      <c r="J183" s="80" t="n"/>
      <c r="K183" s="80" t="n"/>
      <c r="L183" s="80" t="n"/>
      <c r="M183" s="80" t="n"/>
      <c r="N183" s="80" t="n"/>
      <c r="O183" s="80" t="n"/>
      <c r="P183" s="81">
        <f>IF(TRIM(B183)&lt;&gt;"",IFERROR(INDEX(DescMap_Label,MATCH(TRIM(B183),DescMap_Description,0)),"UNMATCHED"),"")</f>
        <v/>
      </c>
    </row>
    <row r="184" ht="15" customHeight="1" s="199">
      <c r="C184" s="80" t="n"/>
      <c r="D184" s="80" t="n"/>
      <c r="E184" s="80" t="n"/>
      <c r="F184" s="80" t="n"/>
      <c r="G184" s="80" t="n"/>
      <c r="H184" s="80" t="n"/>
      <c r="I184" s="80" t="n"/>
      <c r="J184" s="80" t="n"/>
      <c r="K184" s="80" t="n"/>
      <c r="L184" s="80" t="n"/>
      <c r="M184" s="80" t="n"/>
      <c r="N184" s="80" t="n"/>
      <c r="O184" s="80" t="n"/>
      <c r="P184" s="81">
        <f>IF(TRIM(B184)&lt;&gt;"",IFERROR(INDEX(DescMap_Label,MATCH(TRIM(B184),DescMap_Description,0)),"UNMATCHED"),"")</f>
        <v/>
      </c>
    </row>
    <row r="185" ht="15" customHeight="1" s="199">
      <c r="C185" s="80" t="n"/>
      <c r="D185" s="80" t="n"/>
      <c r="E185" s="80" t="n"/>
      <c r="F185" s="80" t="n"/>
      <c r="G185" s="80" t="n"/>
      <c r="H185" s="80" t="n"/>
      <c r="I185" s="80" t="n"/>
      <c r="J185" s="80" t="n"/>
      <c r="K185" s="80" t="n"/>
      <c r="L185" s="80" t="n"/>
      <c r="M185" s="80" t="n"/>
      <c r="N185" s="80" t="n"/>
      <c r="O185" s="80" t="n"/>
      <c r="P185" s="81">
        <f>IF(TRIM(B185)&lt;&gt;"",IFERROR(INDEX(DescMap_Label,MATCH(TRIM(B185),DescMap_Description,0)),"UNMATCHED"),"")</f>
        <v/>
      </c>
    </row>
    <row r="186" ht="15" customHeight="1" s="199">
      <c r="C186" s="80" t="n"/>
      <c r="D186" s="80" t="n"/>
      <c r="E186" s="80" t="n"/>
      <c r="F186" s="80" t="n"/>
      <c r="G186" s="80" t="n"/>
      <c r="H186" s="80" t="n"/>
      <c r="I186" s="80" t="n"/>
      <c r="J186" s="80" t="n"/>
      <c r="K186" s="80" t="n"/>
      <c r="L186" s="80" t="n"/>
      <c r="M186" s="80" t="n"/>
      <c r="N186" s="80" t="n"/>
      <c r="O186" s="80" t="n"/>
      <c r="P186" s="81">
        <f>IF(TRIM(B186)&lt;&gt;"",IFERROR(INDEX(DescMap_Label,MATCH(TRIM(B186),DescMap_Description,0)),"UNMATCHED"),"")</f>
        <v/>
      </c>
    </row>
    <row r="187" ht="15" customHeight="1" s="199">
      <c r="C187" s="80" t="n"/>
      <c r="D187" s="80" t="n"/>
      <c r="E187" s="80" t="n"/>
      <c r="F187" s="80" t="n"/>
      <c r="G187" s="80" t="n"/>
      <c r="H187" s="80" t="n"/>
      <c r="I187" s="80" t="n"/>
      <c r="J187" s="80" t="n"/>
      <c r="K187" s="80" t="n"/>
      <c r="L187" s="80" t="n"/>
      <c r="M187" s="80" t="n"/>
      <c r="N187" s="80" t="n"/>
      <c r="O187" s="80" t="n"/>
      <c r="P187" s="81">
        <f>IF(TRIM(B187)&lt;&gt;"",IFERROR(INDEX(DescMap_Label,MATCH(TRIM(B187),DescMap_Description,0)),"UNMATCHED"),"")</f>
        <v/>
      </c>
    </row>
    <row r="188" ht="15" customHeight="1" s="199">
      <c r="C188" s="80" t="n"/>
      <c r="D188" s="80" t="n"/>
      <c r="E188" s="80" t="n"/>
      <c r="F188" s="80" t="n"/>
      <c r="G188" s="80" t="n"/>
      <c r="H188" s="80" t="n"/>
      <c r="I188" s="80" t="n"/>
      <c r="J188" s="80" t="n"/>
      <c r="K188" s="80" t="n"/>
      <c r="L188" s="80" t="n"/>
      <c r="M188" s="80" t="n"/>
      <c r="N188" s="80" t="n"/>
      <c r="O188" s="80" t="n"/>
      <c r="P188" s="81">
        <f>IF(TRIM(B188)&lt;&gt;"",IFERROR(INDEX(DescMap_Label,MATCH(TRIM(B188),DescMap_Description,0)),"UNMATCHED"),"")</f>
        <v/>
      </c>
    </row>
    <row r="189" ht="15" customHeight="1" s="199">
      <c r="C189" s="80" t="n"/>
      <c r="D189" s="80" t="n"/>
      <c r="E189" s="80" t="n"/>
      <c r="F189" s="80" t="n"/>
      <c r="G189" s="80" t="n"/>
      <c r="H189" s="80" t="n"/>
      <c r="I189" s="80" t="n"/>
      <c r="J189" s="80" t="n"/>
      <c r="K189" s="80" t="n"/>
      <c r="L189" s="80" t="n"/>
      <c r="M189" s="80" t="n"/>
      <c r="N189" s="80" t="n"/>
      <c r="O189" s="80" t="n"/>
      <c r="P189" s="81">
        <f>IF(TRIM(B189)&lt;&gt;"",IFERROR(INDEX(DescMap_Label,MATCH(TRIM(B189),DescMap_Description,0)),"UNMATCHED"),"")</f>
        <v/>
      </c>
    </row>
    <row r="190" ht="15" customHeight="1" s="199">
      <c r="C190" s="80" t="n"/>
      <c r="D190" s="80" t="n"/>
      <c r="E190" s="80" t="n"/>
      <c r="F190" s="80" t="n"/>
      <c r="G190" s="80" t="n"/>
      <c r="H190" s="80" t="n"/>
      <c r="I190" s="80" t="n"/>
      <c r="J190" s="80" t="n"/>
      <c r="K190" s="80" t="n"/>
      <c r="L190" s="80" t="n"/>
      <c r="M190" s="80" t="n"/>
      <c r="N190" s="80" t="n"/>
      <c r="O190" s="80" t="n"/>
      <c r="P190" s="81">
        <f>IF(TRIM(B190)&lt;&gt;"",IFERROR(INDEX(DescMap_Label,MATCH(TRIM(B190),DescMap_Description,0)),"UNMATCHED"),"")</f>
        <v/>
      </c>
    </row>
    <row r="191" ht="15" customHeight="1" s="199">
      <c r="C191" s="80" t="n"/>
      <c r="D191" s="80" t="n"/>
      <c r="E191" s="80" t="n"/>
      <c r="F191" s="80" t="n"/>
      <c r="G191" s="80" t="n"/>
      <c r="H191" s="80" t="n"/>
      <c r="I191" s="80" t="n"/>
      <c r="J191" s="80" t="n"/>
      <c r="K191" s="80" t="n"/>
      <c r="L191" s="80" t="n"/>
      <c r="M191" s="80" t="n"/>
      <c r="N191" s="80" t="n"/>
      <c r="O191" s="80" t="n"/>
      <c r="P191" s="81">
        <f>IF(TRIM(B191)&lt;&gt;"",IFERROR(INDEX(DescMap_Label,MATCH(TRIM(B191),DescMap_Description,0)),"UNMATCHED"),"")</f>
        <v/>
      </c>
    </row>
    <row r="192" ht="15" customHeight="1" s="199">
      <c r="C192" s="80" t="n"/>
      <c r="D192" s="80" t="n"/>
      <c r="E192" s="80" t="n"/>
      <c r="F192" s="80" t="n"/>
      <c r="G192" s="80" t="n"/>
      <c r="H192" s="80" t="n"/>
      <c r="I192" s="80" t="n"/>
      <c r="J192" s="80" t="n"/>
      <c r="K192" s="80" t="n"/>
      <c r="L192" s="80" t="n"/>
      <c r="M192" s="80" t="n"/>
      <c r="N192" s="80" t="n"/>
      <c r="O192" s="80" t="n"/>
      <c r="P192" s="81">
        <f>IF(TRIM(B192)&lt;&gt;"",IFERROR(INDEX(DescMap_Label,MATCH(TRIM(B192),DescMap_Description,0)),"UNMATCHED"),"")</f>
        <v/>
      </c>
    </row>
    <row r="193" ht="15" customHeight="1" s="199">
      <c r="C193" s="80" t="n"/>
      <c r="D193" s="80" t="n"/>
      <c r="E193" s="80" t="n"/>
      <c r="F193" s="80" t="n"/>
      <c r="G193" s="80" t="n"/>
      <c r="H193" s="80" t="n"/>
      <c r="I193" s="80" t="n"/>
      <c r="J193" s="80" t="n"/>
      <c r="K193" s="80" t="n"/>
      <c r="L193" s="80" t="n"/>
      <c r="M193" s="80" t="n"/>
      <c r="N193" s="80" t="n"/>
      <c r="O193" s="80" t="n"/>
      <c r="P193" s="81">
        <f>IF(TRIM(B193)&lt;&gt;"",IFERROR(INDEX(DescMap_Label,MATCH(TRIM(B193),DescMap_Description,0)),"UNMATCHED"),"")</f>
        <v/>
      </c>
    </row>
    <row r="194" ht="15" customHeight="1" s="199">
      <c r="C194" s="80" t="n"/>
      <c r="D194" s="80" t="n"/>
      <c r="E194" s="80" t="n"/>
      <c r="F194" s="80" t="n"/>
      <c r="G194" s="80" t="n"/>
      <c r="H194" s="80" t="n"/>
      <c r="I194" s="80" t="n"/>
      <c r="J194" s="80" t="n"/>
      <c r="K194" s="80" t="n"/>
      <c r="L194" s="80" t="n"/>
      <c r="M194" s="80" t="n"/>
      <c r="N194" s="80" t="n"/>
      <c r="O194" s="80" t="n"/>
      <c r="P194" s="81">
        <f>IF(TRIM(B194)&lt;&gt;"",IFERROR(INDEX(DescMap_Label,MATCH(TRIM(B194),DescMap_Description,0)),"UNMATCHED"),"")</f>
        <v/>
      </c>
    </row>
    <row r="195" ht="15" customHeight="1" s="199">
      <c r="C195" s="80" t="n"/>
      <c r="D195" s="80" t="n"/>
      <c r="E195" s="80" t="n"/>
      <c r="F195" s="80" t="n"/>
      <c r="G195" s="80" t="n"/>
      <c r="H195" s="80" t="n"/>
      <c r="I195" s="80" t="n"/>
      <c r="J195" s="80" t="n"/>
      <c r="K195" s="80" t="n"/>
      <c r="L195" s="80" t="n"/>
      <c r="M195" s="80" t="n"/>
      <c r="N195" s="80" t="n"/>
      <c r="O195" s="80" t="n"/>
      <c r="P195" s="81">
        <f>IF(TRIM(B195)&lt;&gt;"",IFERROR(INDEX(DescMap_Label,MATCH(TRIM(B195),DescMap_Description,0)),"UNMATCHED"),"")</f>
        <v/>
      </c>
    </row>
    <row r="196" ht="15" customHeight="1" s="199">
      <c r="C196" s="80" t="n"/>
      <c r="D196" s="80" t="n"/>
      <c r="E196" s="80" t="n"/>
      <c r="F196" s="80" t="n"/>
      <c r="G196" s="80" t="n"/>
      <c r="H196" s="80" t="n"/>
      <c r="I196" s="80" t="n"/>
      <c r="J196" s="80" t="n"/>
      <c r="K196" s="80" t="n"/>
      <c r="L196" s="80" t="n"/>
      <c r="M196" s="80" t="n"/>
      <c r="N196" s="80" t="n"/>
      <c r="O196" s="80" t="n"/>
      <c r="P196" s="81">
        <f>IF(TRIM(B196)&lt;&gt;"",IFERROR(INDEX(DescMap_Label,MATCH(TRIM(B196),DescMap_Description,0)),"UNMATCHED"),"")</f>
        <v/>
      </c>
    </row>
    <row r="197" ht="15" customHeight="1" s="199">
      <c r="C197" s="80" t="n"/>
      <c r="D197" s="80" t="n"/>
      <c r="E197" s="80" t="n"/>
      <c r="F197" s="80" t="n"/>
      <c r="G197" s="80" t="n"/>
      <c r="H197" s="80" t="n"/>
      <c r="I197" s="80" t="n"/>
      <c r="J197" s="80" t="n"/>
      <c r="K197" s="80" t="n"/>
      <c r="L197" s="80" t="n"/>
      <c r="M197" s="80" t="n"/>
      <c r="N197" s="80" t="n"/>
      <c r="O197" s="80" t="n"/>
      <c r="P197" s="81">
        <f>IF(TRIM(B197)&lt;&gt;"",IFERROR(INDEX(DescMap_Label,MATCH(TRIM(B197),DescMap_Description,0)),"UNMATCHED"),"")</f>
        <v/>
      </c>
    </row>
    <row r="198" ht="15" customHeight="1" s="199">
      <c r="C198" s="80" t="n"/>
      <c r="D198" s="80" t="n"/>
      <c r="E198" s="80" t="n"/>
      <c r="F198" s="80" t="n"/>
      <c r="G198" s="80" t="n"/>
      <c r="H198" s="80" t="n"/>
      <c r="I198" s="80" t="n"/>
      <c r="J198" s="80" t="n"/>
      <c r="K198" s="80" t="n"/>
      <c r="L198" s="80" t="n"/>
      <c r="M198" s="80" t="n"/>
      <c r="N198" s="80" t="n"/>
      <c r="O198" s="80" t="n"/>
      <c r="P198" s="81">
        <f>IF(TRIM(B198)&lt;&gt;"",IFERROR(INDEX(DescMap_Label,MATCH(TRIM(B198),DescMap_Description,0)),"UNMATCHED"),"")</f>
        <v/>
      </c>
    </row>
    <row r="199" ht="15" customHeight="1" s="199">
      <c r="C199" s="80" t="n"/>
      <c r="D199" s="80" t="n"/>
      <c r="E199" s="80" t="n"/>
      <c r="F199" s="80" t="n"/>
      <c r="G199" s="80" t="n"/>
      <c r="H199" s="80" t="n"/>
      <c r="I199" s="80" t="n"/>
      <c r="J199" s="80" t="n"/>
      <c r="K199" s="80" t="n"/>
      <c r="L199" s="80" t="n"/>
      <c r="M199" s="80" t="n"/>
      <c r="N199" s="80" t="n"/>
      <c r="O199" s="80" t="n"/>
      <c r="P199" s="81">
        <f>IF(TRIM(B199)&lt;&gt;"",IFERROR(INDEX(DescMap_Label,MATCH(TRIM(B199),DescMap_Description,0)),"UNMATCHED"),"")</f>
        <v/>
      </c>
    </row>
    <row r="200" ht="15" customHeight="1" s="199">
      <c r="C200" s="80" t="n"/>
      <c r="D200" s="80" t="n"/>
      <c r="E200" s="80" t="n"/>
      <c r="F200" s="80" t="n"/>
      <c r="G200" s="80" t="n"/>
      <c r="H200" s="80" t="n"/>
      <c r="I200" s="80" t="n"/>
      <c r="J200" s="80" t="n"/>
      <c r="K200" s="80" t="n"/>
      <c r="L200" s="80" t="n"/>
      <c r="M200" s="80" t="n"/>
      <c r="N200" s="80" t="n"/>
      <c r="O200" s="80" t="n"/>
      <c r="P200" s="81">
        <f>IF(TRIM(B200)&lt;&gt;"",IFERROR(INDEX(DescMap_Label,MATCH(TRIM(B200),DescMap_Description,0)),"UNMATCHED"),"")</f>
        <v/>
      </c>
    </row>
    <row r="201" ht="15" customHeight="1" s="199">
      <c r="C201" s="80" t="n"/>
      <c r="D201" s="80" t="n"/>
      <c r="E201" s="80" t="n"/>
      <c r="F201" s="80" t="n"/>
      <c r="G201" s="80" t="n"/>
      <c r="H201" s="80" t="n"/>
      <c r="I201" s="80" t="n"/>
      <c r="J201" s="80" t="n"/>
      <c r="K201" s="80" t="n"/>
      <c r="L201" s="80" t="n"/>
      <c r="M201" s="80" t="n"/>
      <c r="N201" s="80" t="n"/>
      <c r="O201" s="80" t="n"/>
      <c r="P201" s="81">
        <f>IF(TRIM(B201)&lt;&gt;"",IFERROR(INDEX(DescMap_Label,MATCH(TRIM(B201),DescMap_Description,0)),"UNMATCHED"),"")</f>
        <v/>
      </c>
    </row>
    <row r="202" ht="15" customHeight="1" s="199">
      <c r="C202" s="80" t="n"/>
      <c r="D202" s="80" t="n"/>
      <c r="E202" s="80" t="n"/>
      <c r="F202" s="80" t="n"/>
      <c r="G202" s="80" t="n"/>
      <c r="H202" s="80" t="n"/>
      <c r="I202" s="80" t="n"/>
      <c r="J202" s="80" t="n"/>
      <c r="K202" s="80" t="n"/>
      <c r="L202" s="80" t="n"/>
      <c r="M202" s="80" t="n"/>
      <c r="N202" s="80" t="n"/>
      <c r="O202" s="80" t="n"/>
      <c r="P202" s="81">
        <f>IF(TRIM(B202)&lt;&gt;"",IFERROR(INDEX(DescMap_Label,MATCH(TRIM(B202),DescMap_Description,0)),"UNMATCHED"),"")</f>
        <v/>
      </c>
    </row>
    <row r="203" ht="15" customHeight="1" s="199">
      <c r="C203" s="80" t="n"/>
      <c r="D203" s="80" t="n"/>
      <c r="E203" s="80" t="n"/>
      <c r="F203" s="80" t="n"/>
      <c r="G203" s="80" t="n"/>
      <c r="H203" s="80" t="n"/>
      <c r="I203" s="80" t="n"/>
      <c r="J203" s="80" t="n"/>
      <c r="K203" s="80" t="n"/>
      <c r="L203" s="80" t="n"/>
      <c r="M203" s="80" t="n"/>
      <c r="N203" s="80" t="n"/>
      <c r="O203" s="80" t="n"/>
      <c r="P203" s="81">
        <f>IF(TRIM(B203)&lt;&gt;"",IFERROR(INDEX(DescMap_Label,MATCH(TRIM(B203),DescMap_Description,0)),"UNMATCHED"),"")</f>
        <v/>
      </c>
    </row>
    <row r="204" ht="15" customHeight="1" s="199">
      <c r="C204" s="80" t="n"/>
      <c r="D204" s="80" t="n"/>
      <c r="E204" s="80" t="n"/>
      <c r="F204" s="80" t="n"/>
      <c r="G204" s="80" t="n"/>
      <c r="H204" s="80" t="n"/>
      <c r="I204" s="80" t="n"/>
      <c r="J204" s="80" t="n"/>
      <c r="K204" s="80" t="n"/>
      <c r="L204" s="80" t="n"/>
      <c r="M204" s="80" t="n"/>
      <c r="N204" s="80" t="n"/>
      <c r="O204" s="80" t="n"/>
      <c r="P204" s="81">
        <f>IF(TRIM(B204)&lt;&gt;"",IFERROR(INDEX(DescMap_Label,MATCH(TRIM(B204),DescMap_Description,0)),"UNMATCHED"),"")</f>
        <v/>
      </c>
    </row>
    <row r="205" ht="15" customHeight="1" s="199">
      <c r="C205" s="80" t="n"/>
      <c r="D205" s="80" t="n"/>
      <c r="E205" s="80" t="n"/>
      <c r="F205" s="80" t="n"/>
      <c r="G205" s="80" t="n"/>
      <c r="H205" s="80" t="n"/>
      <c r="I205" s="80" t="n"/>
      <c r="J205" s="80" t="n"/>
      <c r="K205" s="80" t="n"/>
      <c r="L205" s="80" t="n"/>
      <c r="M205" s="80" t="n"/>
      <c r="N205" s="80" t="n"/>
      <c r="O205" s="80" t="n"/>
      <c r="P205" s="81">
        <f>IF(TRIM(B205)&lt;&gt;"",IFERROR(INDEX(DescMap_Label,MATCH(TRIM(B205),DescMap_Description,0)),"UNMATCHED"),"")</f>
        <v/>
      </c>
    </row>
    <row r="206" ht="15" customHeight="1" s="199">
      <c r="C206" s="80" t="n"/>
      <c r="D206" s="80" t="n"/>
      <c r="E206" s="80" t="n"/>
      <c r="F206" s="80" t="n"/>
      <c r="G206" s="80" t="n"/>
      <c r="H206" s="80" t="n"/>
      <c r="I206" s="80" t="n"/>
      <c r="J206" s="80" t="n"/>
      <c r="K206" s="80" t="n"/>
      <c r="L206" s="80" t="n"/>
      <c r="M206" s="80" t="n"/>
      <c r="N206" s="80" t="n"/>
      <c r="O206" s="80" t="n"/>
      <c r="P206" s="81">
        <f>IF(TRIM(B206)&lt;&gt;"",IFERROR(INDEX(DescMap_Label,MATCH(TRIM(B206),DescMap_Description,0)),"UNMATCHED"),"")</f>
        <v/>
      </c>
    </row>
    <row r="207" ht="15" customHeight="1" s="199">
      <c r="C207" s="80" t="n"/>
      <c r="D207" s="80" t="n"/>
      <c r="E207" s="80" t="n"/>
      <c r="F207" s="80" t="n"/>
      <c r="G207" s="80" t="n"/>
      <c r="H207" s="80" t="n"/>
      <c r="I207" s="80" t="n"/>
      <c r="J207" s="80" t="n"/>
      <c r="K207" s="80" t="n"/>
      <c r="L207" s="80" t="n"/>
      <c r="M207" s="80" t="n"/>
      <c r="N207" s="80" t="n"/>
      <c r="O207" s="80" t="n"/>
      <c r="P207" s="81">
        <f>IF(TRIM(B207)&lt;&gt;"",IFERROR(INDEX(DescMap_Label,MATCH(TRIM(B207),DescMap_Description,0)),"UNMATCHED"),"")</f>
        <v/>
      </c>
    </row>
    <row r="208" ht="15" customHeight="1" s="199">
      <c r="C208" s="80" t="n"/>
      <c r="D208" s="80" t="n"/>
      <c r="E208" s="80" t="n"/>
      <c r="F208" s="80" t="n"/>
      <c r="G208" s="80" t="n"/>
      <c r="H208" s="80" t="n"/>
      <c r="I208" s="80" t="n"/>
      <c r="J208" s="80" t="n"/>
      <c r="K208" s="80" t="n"/>
      <c r="L208" s="80" t="n"/>
      <c r="M208" s="80" t="n"/>
      <c r="N208" s="80" t="n"/>
      <c r="O208" s="80" t="n"/>
      <c r="P208" s="81">
        <f>IF(TRIM(B208)&lt;&gt;"",IFERROR(INDEX(DescMap_Label,MATCH(TRIM(B208),DescMap_Description,0)),"UNMATCHED"),"")</f>
        <v/>
      </c>
    </row>
    <row r="209" ht="15" customHeight="1" s="199">
      <c r="C209" s="80" t="n"/>
      <c r="D209" s="80" t="n"/>
      <c r="E209" s="80" t="n"/>
      <c r="F209" s="80" t="n"/>
      <c r="G209" s="80" t="n"/>
      <c r="H209" s="80" t="n"/>
      <c r="I209" s="80" t="n"/>
      <c r="J209" s="80" t="n"/>
      <c r="K209" s="80" t="n"/>
      <c r="L209" s="80" t="n"/>
      <c r="M209" s="80" t="n"/>
      <c r="N209" s="80" t="n"/>
      <c r="O209" s="80" t="n"/>
      <c r="P209" s="81">
        <f>IF(TRIM(B209)&lt;&gt;"",IFERROR(INDEX(DescMap_Label,MATCH(TRIM(B209),DescMap_Description,0)),"UNMATCHED"),"")</f>
        <v/>
      </c>
    </row>
    <row r="210" ht="15" customHeight="1" s="199">
      <c r="C210" s="80" t="n"/>
      <c r="D210" s="80" t="n"/>
      <c r="E210" s="80" t="n"/>
      <c r="F210" s="80" t="n"/>
      <c r="G210" s="80" t="n"/>
      <c r="H210" s="80" t="n"/>
      <c r="I210" s="80" t="n"/>
      <c r="J210" s="80" t="n"/>
      <c r="K210" s="80" t="n"/>
      <c r="L210" s="80" t="n"/>
      <c r="M210" s="80" t="n"/>
      <c r="N210" s="80" t="n"/>
      <c r="O210" s="80" t="n"/>
      <c r="P210" s="81">
        <f>IF(TRIM(B210)&lt;&gt;"",IFERROR(INDEX(DescMap_Label,MATCH(TRIM(B210),DescMap_Description,0)),"UNMATCHED"),"")</f>
        <v/>
      </c>
    </row>
    <row r="211" ht="15" customHeight="1" s="199">
      <c r="C211" s="80" t="n"/>
      <c r="D211" s="80" t="n"/>
      <c r="E211" s="80" t="n"/>
      <c r="F211" s="80" t="n"/>
      <c r="G211" s="80" t="n"/>
      <c r="H211" s="80" t="n"/>
      <c r="I211" s="80" t="n"/>
      <c r="J211" s="80" t="n"/>
      <c r="K211" s="80" t="n"/>
      <c r="L211" s="80" t="n"/>
      <c r="M211" s="80" t="n"/>
      <c r="N211" s="80" t="n"/>
      <c r="O211" s="80" t="n"/>
      <c r="P211" s="81">
        <f>IF(TRIM(B211)&lt;&gt;"",IFERROR(INDEX(DescMap_Label,MATCH(TRIM(B211),DescMap_Description,0)),"UNMATCHED"),"")</f>
        <v/>
      </c>
    </row>
    <row r="212" ht="15" customHeight="1" s="199">
      <c r="C212" s="80" t="n"/>
      <c r="D212" s="80" t="n"/>
      <c r="E212" s="80" t="n"/>
      <c r="F212" s="80" t="n"/>
      <c r="G212" s="80" t="n"/>
      <c r="H212" s="80" t="n"/>
      <c r="I212" s="80" t="n"/>
      <c r="J212" s="80" t="n"/>
      <c r="K212" s="80" t="n"/>
      <c r="L212" s="80" t="n"/>
      <c r="M212" s="80" t="n"/>
      <c r="N212" s="80" t="n"/>
      <c r="O212" s="80" t="n"/>
      <c r="P212" s="81">
        <f>IF(TRIM(B212)&lt;&gt;"",IFERROR(INDEX(DescMap_Label,MATCH(TRIM(B212),DescMap_Description,0)),"UNMATCHED"),"")</f>
        <v/>
      </c>
    </row>
    <row r="213" ht="15" customHeight="1" s="199">
      <c r="C213" s="80" t="n"/>
      <c r="D213" s="80" t="n"/>
      <c r="E213" s="80" t="n"/>
      <c r="F213" s="80" t="n"/>
      <c r="G213" s="80" t="n"/>
      <c r="H213" s="80" t="n"/>
      <c r="I213" s="80" t="n"/>
      <c r="J213" s="80" t="n"/>
      <c r="K213" s="80" t="n"/>
      <c r="L213" s="80" t="n"/>
      <c r="M213" s="80" t="n"/>
      <c r="N213" s="80" t="n"/>
      <c r="O213" s="80" t="n"/>
      <c r="P213" s="81">
        <f>IF(TRIM(B213)&lt;&gt;"",IFERROR(INDEX(DescMap_Label,MATCH(TRIM(B213),DescMap_Description,0)),"UNMATCHED"),"")</f>
        <v/>
      </c>
    </row>
    <row r="214" ht="15" customHeight="1" s="199">
      <c r="C214" s="80" t="n"/>
      <c r="D214" s="80" t="n"/>
      <c r="E214" s="80" t="n"/>
      <c r="F214" s="80" t="n"/>
      <c r="G214" s="80" t="n"/>
      <c r="H214" s="80" t="n"/>
      <c r="I214" s="80" t="n"/>
      <c r="J214" s="80" t="n"/>
      <c r="K214" s="80" t="n"/>
      <c r="L214" s="80" t="n"/>
      <c r="M214" s="80" t="n"/>
      <c r="N214" s="80" t="n"/>
      <c r="O214" s="80" t="n"/>
      <c r="P214" s="81">
        <f>IF(TRIM(B214)&lt;&gt;"",IFERROR(INDEX(DescMap_Label,MATCH(TRIM(B214),DescMap_Description,0)),"UNMATCHED"),"")</f>
        <v/>
      </c>
    </row>
    <row r="215" ht="15" customHeight="1" s="199">
      <c r="C215" s="80" t="n"/>
      <c r="D215" s="80" t="n"/>
      <c r="E215" s="80" t="n"/>
      <c r="F215" s="80" t="n"/>
      <c r="G215" s="80" t="n"/>
      <c r="H215" s="80" t="n"/>
      <c r="I215" s="80" t="n"/>
      <c r="J215" s="80" t="n"/>
      <c r="K215" s="80" t="n"/>
      <c r="L215" s="80" t="n"/>
      <c r="M215" s="80" t="n"/>
      <c r="N215" s="80" t="n"/>
      <c r="O215" s="80" t="n"/>
      <c r="P215" s="81">
        <f>IF(TRIM(B215)&lt;&gt;"",IFERROR(INDEX(DescMap_Label,MATCH(TRIM(B215),DescMap_Description,0)),"UNMATCHED"),"")</f>
        <v/>
      </c>
    </row>
    <row r="216" ht="15" customHeight="1" s="199">
      <c r="C216" s="80" t="n"/>
      <c r="D216" s="80" t="n"/>
      <c r="E216" s="80" t="n"/>
      <c r="F216" s="80" t="n"/>
      <c r="G216" s="80" t="n"/>
      <c r="H216" s="80" t="n"/>
      <c r="I216" s="80" t="n"/>
      <c r="J216" s="80" t="n"/>
      <c r="K216" s="80" t="n"/>
      <c r="L216" s="80" t="n"/>
      <c r="M216" s="80" t="n"/>
      <c r="N216" s="80" t="n"/>
      <c r="O216" s="80" t="n"/>
      <c r="P216" s="81">
        <f>IF(TRIM(B216)&lt;&gt;"",IFERROR(INDEX(DescMap_Label,MATCH(TRIM(B216),DescMap_Description,0)),"UNMATCHED"),"")</f>
        <v/>
      </c>
    </row>
    <row r="217" ht="15" customHeight="1" s="199">
      <c r="C217" s="80" t="n"/>
      <c r="D217" s="80" t="n"/>
      <c r="E217" s="80" t="n"/>
      <c r="F217" s="80" t="n"/>
      <c r="G217" s="80" t="n"/>
      <c r="H217" s="80" t="n"/>
      <c r="I217" s="80" t="n"/>
      <c r="J217" s="80" t="n"/>
      <c r="K217" s="80" t="n"/>
      <c r="L217" s="80" t="n"/>
      <c r="M217" s="80" t="n"/>
      <c r="N217" s="80" t="n"/>
      <c r="O217" s="80" t="n"/>
      <c r="P217" s="81">
        <f>IF(TRIM(B217)&lt;&gt;"",IFERROR(INDEX(DescMap_Label,MATCH(TRIM(B217),DescMap_Description,0)),"UNMATCHED"),"")</f>
        <v/>
      </c>
    </row>
    <row r="218" ht="15" customHeight="1" s="199">
      <c r="C218" s="80" t="n"/>
      <c r="D218" s="80" t="n"/>
      <c r="E218" s="80" t="n"/>
      <c r="F218" s="80" t="n"/>
      <c r="G218" s="80" t="n"/>
      <c r="H218" s="80" t="n"/>
      <c r="I218" s="80" t="n"/>
      <c r="J218" s="80" t="n"/>
      <c r="K218" s="80" t="n"/>
      <c r="L218" s="80" t="n"/>
      <c r="M218" s="80" t="n"/>
      <c r="N218" s="80" t="n"/>
      <c r="O218" s="80" t="n"/>
      <c r="P218" s="81">
        <f>IF(TRIM(B218)&lt;&gt;"",IFERROR(INDEX(DescMap_Label,MATCH(TRIM(B218),DescMap_Description,0)),"UNMATCHED"),"")</f>
        <v/>
      </c>
    </row>
    <row r="219" ht="15" customHeight="1" s="199">
      <c r="C219" s="80" t="n"/>
      <c r="D219" s="80" t="n"/>
      <c r="E219" s="80" t="n"/>
      <c r="F219" s="80" t="n"/>
      <c r="G219" s="80" t="n"/>
      <c r="H219" s="80" t="n"/>
      <c r="I219" s="80" t="n"/>
      <c r="J219" s="80" t="n"/>
      <c r="K219" s="80" t="n"/>
      <c r="L219" s="80" t="n"/>
      <c r="M219" s="80" t="n"/>
      <c r="N219" s="80" t="n"/>
      <c r="O219" s="80" t="n"/>
      <c r="P219" s="81">
        <f>IF(TRIM(B219)&lt;&gt;"",IFERROR(INDEX(DescMap_Label,MATCH(TRIM(B219),DescMap_Description,0)),"UNMATCHED"),"")</f>
        <v/>
      </c>
    </row>
    <row r="220" ht="15" customHeight="1" s="199">
      <c r="C220" s="80" t="n"/>
      <c r="D220" s="80" t="n"/>
      <c r="E220" s="80" t="n"/>
      <c r="F220" s="80" t="n"/>
      <c r="G220" s="80" t="n"/>
      <c r="H220" s="80" t="n"/>
      <c r="I220" s="80" t="n"/>
      <c r="J220" s="80" t="n"/>
      <c r="K220" s="80" t="n"/>
      <c r="L220" s="80" t="n"/>
      <c r="M220" s="80" t="n"/>
      <c r="N220" s="80" t="n"/>
      <c r="O220" s="80" t="n"/>
      <c r="P220" s="81">
        <f>IF(TRIM(B220)&lt;&gt;"",IFERROR(INDEX(DescMap_Label,MATCH(TRIM(B220),DescMap_Description,0)),"UNMATCHED"),"")</f>
        <v/>
      </c>
    </row>
    <row r="221" ht="15" customHeight="1" s="199">
      <c r="C221" s="80" t="n"/>
      <c r="D221" s="80" t="n"/>
      <c r="E221" s="80" t="n"/>
      <c r="F221" s="80" t="n"/>
      <c r="G221" s="80" t="n"/>
      <c r="H221" s="80" t="n"/>
      <c r="I221" s="80" t="n"/>
      <c r="J221" s="80" t="n"/>
      <c r="K221" s="80" t="n"/>
      <c r="L221" s="80" t="n"/>
      <c r="M221" s="80" t="n"/>
      <c r="N221" s="80" t="n"/>
      <c r="O221" s="80" t="n"/>
      <c r="P221" s="81">
        <f>IF(TRIM(B221)&lt;&gt;"",IFERROR(INDEX(DescMap_Label,MATCH(TRIM(B221),DescMap_Description,0)),"UNMATCHED"),"")</f>
        <v/>
      </c>
    </row>
    <row r="222" ht="15" customHeight="1" s="199">
      <c r="C222" s="80" t="n"/>
      <c r="D222" s="80" t="n"/>
      <c r="E222" s="80" t="n"/>
      <c r="F222" s="80" t="n"/>
      <c r="G222" s="80" t="n"/>
      <c r="H222" s="80" t="n"/>
      <c r="I222" s="80" t="n"/>
      <c r="J222" s="80" t="n"/>
      <c r="K222" s="80" t="n"/>
      <c r="L222" s="80" t="n"/>
      <c r="M222" s="80" t="n"/>
      <c r="N222" s="80" t="n"/>
      <c r="O222" s="80" t="n"/>
      <c r="P222" s="81">
        <f>IF(TRIM(B222)&lt;&gt;"",IFERROR(INDEX(DescMap_Label,MATCH(TRIM(B222),DescMap_Description,0)),"UNMATCHED"),"")</f>
        <v/>
      </c>
    </row>
    <row r="223" ht="15" customHeight="1" s="199">
      <c r="C223" s="80" t="n"/>
      <c r="D223" s="80" t="n"/>
      <c r="E223" s="80" t="n"/>
      <c r="F223" s="80" t="n"/>
      <c r="G223" s="80" t="n"/>
      <c r="H223" s="80" t="n"/>
      <c r="I223" s="80" t="n"/>
      <c r="J223" s="80" t="n"/>
      <c r="K223" s="80" t="n"/>
      <c r="L223" s="80" t="n"/>
      <c r="M223" s="80" t="n"/>
      <c r="N223" s="80" t="n"/>
      <c r="O223" s="80" t="n"/>
      <c r="P223" s="81">
        <f>IF(TRIM(B223)&lt;&gt;"",IFERROR(INDEX(DescMap_Label,MATCH(TRIM(B223),DescMap_Description,0)),"UNMATCHED"),"")</f>
        <v/>
      </c>
    </row>
    <row r="224" ht="15" customHeight="1" s="199">
      <c r="C224" s="80" t="n"/>
      <c r="D224" s="80" t="n"/>
      <c r="E224" s="80" t="n"/>
      <c r="F224" s="80" t="n"/>
      <c r="G224" s="80" t="n"/>
      <c r="H224" s="80" t="n"/>
      <c r="I224" s="80" t="n"/>
      <c r="J224" s="80" t="n"/>
      <c r="K224" s="80" t="n"/>
      <c r="L224" s="80" t="n"/>
      <c r="M224" s="80" t="n"/>
      <c r="N224" s="80" t="n"/>
      <c r="O224" s="80" t="n"/>
      <c r="P224" s="81">
        <f>IF(TRIM(B224)&lt;&gt;"",IFERROR(INDEX(DescMap_Label,MATCH(TRIM(B224),DescMap_Description,0)),"UNMATCHED"),"")</f>
        <v/>
      </c>
    </row>
    <row r="225" ht="15" customHeight="1" s="199">
      <c r="C225" s="80" t="n"/>
      <c r="D225" s="80" t="n"/>
      <c r="E225" s="80" t="n"/>
      <c r="F225" s="80" t="n"/>
      <c r="G225" s="80" t="n"/>
      <c r="H225" s="80" t="n"/>
      <c r="I225" s="80" t="n"/>
      <c r="J225" s="80" t="n"/>
      <c r="K225" s="80" t="n"/>
      <c r="L225" s="80" t="n"/>
      <c r="M225" s="80" t="n"/>
      <c r="N225" s="80" t="n"/>
      <c r="O225" s="80" t="n"/>
      <c r="P225" s="81">
        <f>IF(TRIM(B225)&lt;&gt;"",IFERROR(INDEX(DescMap_Label,MATCH(TRIM(B225),DescMap_Description,0)),"UNMATCHED"),"")</f>
        <v/>
      </c>
    </row>
    <row r="226" ht="15" customHeight="1" s="199">
      <c r="C226" s="80" t="n"/>
      <c r="D226" s="80" t="n"/>
      <c r="E226" s="80" t="n"/>
      <c r="F226" s="80" t="n"/>
      <c r="G226" s="80" t="n"/>
      <c r="H226" s="80" t="n"/>
      <c r="I226" s="80" t="n"/>
      <c r="J226" s="80" t="n"/>
      <c r="K226" s="80" t="n"/>
      <c r="L226" s="80" t="n"/>
      <c r="M226" s="80" t="n"/>
      <c r="N226" s="80" t="n"/>
      <c r="O226" s="80" t="n"/>
      <c r="P226" s="81">
        <f>IF(TRIM(B226)&lt;&gt;"",IFERROR(INDEX(DescMap_Label,MATCH(TRIM(B226),DescMap_Description,0)),"UNMATCHED"),"")</f>
        <v/>
      </c>
    </row>
    <row r="227" ht="15" customHeight="1" s="199">
      <c r="C227" s="80" t="n"/>
      <c r="D227" s="80" t="n"/>
      <c r="E227" s="80" t="n"/>
      <c r="F227" s="80" t="n"/>
      <c r="G227" s="80" t="n"/>
      <c r="H227" s="80" t="n"/>
      <c r="I227" s="80" t="n"/>
      <c r="J227" s="80" t="n"/>
      <c r="K227" s="80" t="n"/>
      <c r="L227" s="80" t="n"/>
      <c r="M227" s="80" t="n"/>
      <c r="N227" s="80" t="n"/>
      <c r="O227" s="80" t="n"/>
      <c r="P227" s="81">
        <f>IF(TRIM(B227)&lt;&gt;"",IFERROR(INDEX(DescMap_Label,MATCH(TRIM(B227),DescMap_Description,0)),"UNMATCHED"),"")</f>
        <v/>
      </c>
    </row>
    <row r="228" ht="15" customHeight="1" s="199">
      <c r="C228" s="80" t="n"/>
      <c r="D228" s="80" t="n"/>
      <c r="E228" s="80" t="n"/>
      <c r="F228" s="80" t="n"/>
      <c r="G228" s="80" t="n"/>
      <c r="H228" s="80" t="n"/>
      <c r="I228" s="80" t="n"/>
      <c r="J228" s="80" t="n"/>
      <c r="K228" s="80" t="n"/>
      <c r="L228" s="80" t="n"/>
      <c r="M228" s="80" t="n"/>
      <c r="N228" s="80" t="n"/>
      <c r="O228" s="80" t="n"/>
      <c r="P228" s="81">
        <f>IF(TRIM(B228)&lt;&gt;"",IFERROR(INDEX(DescMap_Label,MATCH(TRIM(B228),DescMap_Description,0)),"UNMATCHED"),"")</f>
        <v/>
      </c>
    </row>
    <row r="229" ht="15" customHeight="1" s="199">
      <c r="C229" s="80" t="n"/>
      <c r="D229" s="80" t="n"/>
      <c r="E229" s="80" t="n"/>
      <c r="F229" s="80" t="n"/>
      <c r="G229" s="80" t="n"/>
      <c r="H229" s="80" t="n"/>
      <c r="I229" s="80" t="n"/>
      <c r="J229" s="80" t="n"/>
      <c r="K229" s="80" t="n"/>
      <c r="L229" s="80" t="n"/>
      <c r="M229" s="80" t="n"/>
      <c r="N229" s="80" t="n"/>
      <c r="O229" s="80" t="n"/>
      <c r="P229" s="81">
        <f>IF(TRIM(B229)&lt;&gt;"",IFERROR(INDEX(DescMap_Label,MATCH(TRIM(B229),DescMap_Description,0)),"UNMATCHED"),"")</f>
        <v/>
      </c>
    </row>
    <row r="230" ht="15" customHeight="1" s="199">
      <c r="C230" s="80" t="n"/>
      <c r="D230" s="80" t="n"/>
      <c r="E230" s="80" t="n"/>
      <c r="F230" s="80" t="n"/>
      <c r="G230" s="80" t="n"/>
      <c r="H230" s="80" t="n"/>
      <c r="I230" s="80" t="n"/>
      <c r="J230" s="80" t="n"/>
      <c r="K230" s="80" t="n"/>
      <c r="L230" s="80" t="n"/>
      <c r="M230" s="80" t="n"/>
      <c r="N230" s="80" t="n"/>
      <c r="O230" s="80" t="n"/>
      <c r="P230" s="81">
        <f>IF(TRIM(B230)&lt;&gt;"",IFERROR(INDEX(DescMap_Label,MATCH(TRIM(B230),DescMap_Description,0)),"UNMATCHED"),"")</f>
        <v/>
      </c>
    </row>
    <row r="231" ht="15" customHeight="1" s="199">
      <c r="C231" s="80" t="n"/>
      <c r="D231" s="80" t="n"/>
      <c r="E231" s="80" t="n"/>
      <c r="F231" s="80" t="n"/>
      <c r="G231" s="80" t="n"/>
      <c r="H231" s="80" t="n"/>
      <c r="I231" s="80" t="n"/>
      <c r="J231" s="80" t="n"/>
      <c r="K231" s="80" t="n"/>
      <c r="L231" s="80" t="n"/>
      <c r="M231" s="80" t="n"/>
      <c r="N231" s="80" t="n"/>
      <c r="O231" s="80" t="n"/>
      <c r="P231" s="81">
        <f>IF(TRIM(B231)&lt;&gt;"",IFERROR(INDEX(DescMap_Label,MATCH(TRIM(B231),DescMap_Description,0)),"UNMATCHED"),"")</f>
        <v/>
      </c>
    </row>
    <row r="232" ht="15" customHeight="1" s="199">
      <c r="C232" s="80" t="n"/>
      <c r="D232" s="80" t="n"/>
      <c r="E232" s="80" t="n"/>
      <c r="F232" s="80" t="n"/>
      <c r="G232" s="80" t="n"/>
      <c r="H232" s="80" t="n"/>
      <c r="I232" s="80" t="n"/>
      <c r="J232" s="80" t="n"/>
      <c r="K232" s="80" t="n"/>
      <c r="L232" s="80" t="n"/>
      <c r="M232" s="80" t="n"/>
      <c r="N232" s="80" t="n"/>
      <c r="O232" s="80" t="n"/>
      <c r="P232" s="81">
        <f>IF(TRIM(B232)&lt;&gt;"",IFERROR(INDEX(DescMap_Label,MATCH(TRIM(B232),DescMap_Description,0)),"UNMATCHED"),"")</f>
        <v/>
      </c>
    </row>
    <row r="233" ht="15" customHeight="1" s="199">
      <c r="C233" s="80" t="n"/>
      <c r="D233" s="80" t="n"/>
      <c r="E233" s="80" t="n"/>
      <c r="F233" s="80" t="n"/>
      <c r="G233" s="80" t="n"/>
      <c r="H233" s="80" t="n"/>
      <c r="I233" s="80" t="n"/>
      <c r="J233" s="80" t="n"/>
      <c r="K233" s="80" t="n"/>
      <c r="L233" s="80" t="n"/>
      <c r="M233" s="80" t="n"/>
      <c r="N233" s="80" t="n"/>
      <c r="O233" s="80" t="n"/>
      <c r="P233" s="81">
        <f>IF(TRIM(B233)&lt;&gt;"",IFERROR(INDEX(DescMap_Label,MATCH(TRIM(B233),DescMap_Description,0)),"UNMATCHED"),"")</f>
        <v/>
      </c>
    </row>
    <row r="234" ht="15" customHeight="1" s="199">
      <c r="C234" s="80" t="n"/>
      <c r="D234" s="80" t="n"/>
      <c r="E234" s="80" t="n"/>
      <c r="F234" s="80" t="n"/>
      <c r="G234" s="80" t="n"/>
      <c r="H234" s="80" t="n"/>
      <c r="I234" s="80" t="n"/>
      <c r="J234" s="80" t="n"/>
      <c r="K234" s="80" t="n"/>
      <c r="L234" s="80" t="n"/>
      <c r="M234" s="80" t="n"/>
      <c r="N234" s="80" t="n"/>
      <c r="O234" s="80" t="n"/>
      <c r="P234" s="81">
        <f>IF(TRIM(B234)&lt;&gt;"",IFERROR(INDEX(DescMap_Label,MATCH(TRIM(B234),DescMap_Description,0)),"UNMATCHED"),"")</f>
        <v/>
      </c>
    </row>
    <row r="235" ht="15" customHeight="1" s="199">
      <c r="C235" s="80" t="n"/>
      <c r="D235" s="80" t="n"/>
      <c r="E235" s="80" t="n"/>
      <c r="F235" s="80" t="n"/>
      <c r="G235" s="80" t="n"/>
      <c r="H235" s="80" t="n"/>
      <c r="I235" s="80" t="n"/>
      <c r="J235" s="80" t="n"/>
      <c r="K235" s="80" t="n"/>
      <c r="L235" s="80" t="n"/>
      <c r="M235" s="80" t="n"/>
      <c r="N235" s="80" t="n"/>
      <c r="O235" s="80" t="n"/>
      <c r="P235" s="81">
        <f>IF(TRIM(B235)&lt;&gt;"",IFERROR(INDEX(DescMap_Label,MATCH(TRIM(B235),DescMap_Description,0)),"UNMATCHED"),"")</f>
        <v/>
      </c>
    </row>
    <row r="236" ht="15" customHeight="1" s="199">
      <c r="C236" s="80" t="n"/>
      <c r="D236" s="80" t="n"/>
      <c r="E236" s="80" t="n"/>
      <c r="F236" s="80" t="n"/>
      <c r="G236" s="80" t="n"/>
      <c r="H236" s="80" t="n"/>
      <c r="I236" s="80" t="n"/>
      <c r="J236" s="80" t="n"/>
      <c r="K236" s="80" t="n"/>
      <c r="L236" s="80" t="n"/>
      <c r="M236" s="80" t="n"/>
      <c r="N236" s="80" t="n"/>
      <c r="O236" s="80" t="n"/>
      <c r="P236" s="81">
        <f>IF(TRIM(B236)&lt;&gt;"",IFERROR(INDEX(DescMap_Label,MATCH(TRIM(B236),DescMap_Description,0)),"UNMATCHED"),"")</f>
        <v/>
      </c>
    </row>
    <row r="237" ht="15" customHeight="1" s="199">
      <c r="C237" s="80" t="n"/>
      <c r="D237" s="80" t="n"/>
      <c r="E237" s="80" t="n"/>
      <c r="F237" s="80" t="n"/>
      <c r="G237" s="80" t="n"/>
      <c r="H237" s="80" t="n"/>
      <c r="I237" s="80" t="n"/>
      <c r="J237" s="80" t="n"/>
      <c r="K237" s="80" t="n"/>
      <c r="L237" s="80" t="n"/>
      <c r="M237" s="80" t="n"/>
      <c r="N237" s="80" t="n"/>
      <c r="O237" s="80" t="n"/>
      <c r="P237" s="81">
        <f>IF(TRIM(B237)&lt;&gt;"",IFERROR(INDEX(DescMap_Label,MATCH(TRIM(B237),DescMap_Description,0)),"UNMATCHED"),"")</f>
        <v/>
      </c>
    </row>
    <row r="238" ht="15" customHeight="1" s="199">
      <c r="C238" s="80" t="n"/>
      <c r="D238" s="80" t="n"/>
      <c r="E238" s="80" t="n"/>
      <c r="F238" s="80" t="n"/>
      <c r="G238" s="80" t="n"/>
      <c r="H238" s="80" t="n"/>
      <c r="I238" s="80" t="n"/>
      <c r="J238" s="80" t="n"/>
      <c r="K238" s="80" t="n"/>
      <c r="L238" s="80" t="n"/>
      <c r="M238" s="80" t="n"/>
      <c r="N238" s="80" t="n"/>
      <c r="O238" s="80" t="n"/>
      <c r="P238" s="81">
        <f>IF(TRIM(B238)&lt;&gt;"",IFERROR(INDEX(DescMap_Label,MATCH(TRIM(B238),DescMap_Description,0)),"UNMATCHED"),"")</f>
        <v/>
      </c>
    </row>
    <row r="239" ht="15" customHeight="1" s="199">
      <c r="C239" s="80" t="n"/>
      <c r="D239" s="80" t="n"/>
      <c r="E239" s="80" t="n"/>
      <c r="F239" s="80" t="n"/>
      <c r="G239" s="80" t="n"/>
      <c r="H239" s="80" t="n"/>
      <c r="I239" s="80" t="n"/>
      <c r="J239" s="80" t="n"/>
      <c r="K239" s="80" t="n"/>
      <c r="L239" s="80" t="n"/>
      <c r="M239" s="80" t="n"/>
      <c r="N239" s="80" t="n"/>
      <c r="O239" s="80" t="n"/>
      <c r="P239" s="81">
        <f>IF(TRIM(B239)&lt;&gt;"",IFERROR(INDEX(DescMap_Label,MATCH(TRIM(B239),DescMap_Description,0)),"UNMATCHED"),"")</f>
        <v/>
      </c>
    </row>
    <row r="240" ht="15" customHeight="1" s="199">
      <c r="C240" s="80" t="n"/>
      <c r="D240" s="80" t="n"/>
      <c r="E240" s="80" t="n"/>
      <c r="F240" s="80" t="n"/>
      <c r="G240" s="80" t="n"/>
      <c r="H240" s="80" t="n"/>
      <c r="I240" s="80" t="n"/>
      <c r="J240" s="80" t="n"/>
      <c r="K240" s="80" t="n"/>
      <c r="L240" s="80" t="n"/>
      <c r="M240" s="80" t="n"/>
      <c r="N240" s="80" t="n"/>
      <c r="O240" s="80" t="n"/>
      <c r="P240" s="81">
        <f>IF(TRIM(B240)&lt;&gt;"",IFERROR(INDEX(DescMap_Label,MATCH(TRIM(B240),DescMap_Description,0)),"UNMATCHED"),"")</f>
        <v/>
      </c>
    </row>
    <row r="241" ht="15" customHeight="1" s="199">
      <c r="C241" s="80" t="n"/>
      <c r="D241" s="80" t="n"/>
      <c r="E241" s="80" t="n"/>
      <c r="F241" s="80" t="n"/>
      <c r="G241" s="80" t="n"/>
      <c r="H241" s="80" t="n"/>
      <c r="I241" s="80" t="n"/>
      <c r="J241" s="80" t="n"/>
      <c r="K241" s="80" t="n"/>
      <c r="L241" s="80" t="n"/>
      <c r="M241" s="80" t="n"/>
      <c r="N241" s="80" t="n"/>
      <c r="O241" s="80" t="n"/>
      <c r="P241" s="81">
        <f>IF(TRIM(B241)&lt;&gt;"",IFERROR(INDEX(DescMap_Label,MATCH(TRIM(B241),DescMap_Description,0)),"UNMATCHED"),"")</f>
        <v/>
      </c>
    </row>
    <row r="242" ht="15" customHeight="1" s="199">
      <c r="C242" s="80" t="n"/>
      <c r="D242" s="80" t="n"/>
      <c r="E242" s="80" t="n"/>
      <c r="F242" s="80" t="n"/>
      <c r="G242" s="80" t="n"/>
      <c r="H242" s="80" t="n"/>
      <c r="I242" s="80" t="n"/>
      <c r="J242" s="80" t="n"/>
      <c r="K242" s="80" t="n"/>
      <c r="L242" s="80" t="n"/>
      <c r="M242" s="80" t="n"/>
      <c r="N242" s="80" t="n"/>
      <c r="O242" s="80" t="n"/>
      <c r="P242" s="81">
        <f>IF(TRIM(B242)&lt;&gt;"",IFERROR(INDEX(DescMap_Label,MATCH(TRIM(B242),DescMap_Description,0)),"UNMATCHED"),"")</f>
        <v/>
      </c>
    </row>
    <row r="243" ht="15" customHeight="1" s="199">
      <c r="C243" s="80" t="n"/>
      <c r="D243" s="80" t="n"/>
      <c r="E243" s="80" t="n"/>
      <c r="F243" s="80" t="n"/>
      <c r="G243" s="80" t="n"/>
      <c r="H243" s="80" t="n"/>
      <c r="I243" s="80" t="n"/>
      <c r="J243" s="80" t="n"/>
      <c r="K243" s="80" t="n"/>
      <c r="L243" s="80" t="n"/>
      <c r="M243" s="80" t="n"/>
      <c r="N243" s="80" t="n"/>
      <c r="O243" s="80" t="n"/>
      <c r="P243" s="81">
        <f>IF(TRIM(B243)&lt;&gt;"",IFERROR(INDEX(DescMap_Label,MATCH(TRIM(B243),DescMap_Description,0)),"UNMATCHED"),"")</f>
        <v/>
      </c>
    </row>
    <row r="244" ht="15" customHeight="1" s="199">
      <c r="C244" s="80" t="n"/>
      <c r="D244" s="80" t="n"/>
      <c r="E244" s="80" t="n"/>
      <c r="F244" s="80" t="n"/>
      <c r="G244" s="80" t="n"/>
      <c r="H244" s="80" t="n"/>
      <c r="I244" s="80" t="n"/>
      <c r="J244" s="80" t="n"/>
      <c r="K244" s="80" t="n"/>
      <c r="L244" s="80" t="n"/>
      <c r="M244" s="80" t="n"/>
      <c r="N244" s="80" t="n"/>
      <c r="O244" s="80" t="n"/>
      <c r="P244" s="81">
        <f>IF(TRIM(B244)&lt;&gt;"",IFERROR(INDEX(DescMap_Label,MATCH(TRIM(B244),DescMap_Description,0)),"UNMATCHED"),"")</f>
        <v/>
      </c>
    </row>
    <row r="245" ht="15" customHeight="1" s="199">
      <c r="C245" s="80" t="n"/>
      <c r="D245" s="80" t="n"/>
      <c r="E245" s="80" t="n"/>
      <c r="F245" s="80" t="n"/>
      <c r="G245" s="80" t="n"/>
      <c r="H245" s="80" t="n"/>
      <c r="I245" s="80" t="n"/>
      <c r="J245" s="80" t="n"/>
      <c r="K245" s="80" t="n"/>
      <c r="L245" s="80" t="n"/>
      <c r="M245" s="80" t="n"/>
      <c r="N245" s="80" t="n"/>
      <c r="O245" s="80" t="n"/>
      <c r="P245" s="81">
        <f>IF(TRIM(B245)&lt;&gt;"",IFERROR(INDEX(DescMap_Label,MATCH(TRIM(B245),DescMap_Description,0)),"UNMATCHED"),"")</f>
        <v/>
      </c>
    </row>
    <row r="246" ht="15" customHeight="1" s="199">
      <c r="C246" s="80" t="n"/>
      <c r="D246" s="80" t="n"/>
      <c r="E246" s="80" t="n"/>
      <c r="F246" s="80" t="n"/>
      <c r="G246" s="80" t="n"/>
      <c r="H246" s="80" t="n"/>
      <c r="I246" s="80" t="n"/>
      <c r="J246" s="80" t="n"/>
      <c r="K246" s="80" t="n"/>
      <c r="L246" s="80" t="n"/>
      <c r="M246" s="80" t="n"/>
      <c r="N246" s="80" t="n"/>
      <c r="O246" s="80" t="n"/>
      <c r="P246" s="81">
        <f>IF(TRIM(B246)&lt;&gt;"",IFERROR(INDEX(DescMap_Label,MATCH(TRIM(B246),DescMap_Description,0)),"UNMATCHED"),"")</f>
        <v/>
      </c>
    </row>
    <row r="247" ht="15" customHeight="1" s="199">
      <c r="C247" s="80" t="n"/>
      <c r="D247" s="80" t="n"/>
      <c r="E247" s="80" t="n"/>
      <c r="F247" s="80" t="n"/>
      <c r="G247" s="80" t="n"/>
      <c r="H247" s="80" t="n"/>
      <c r="I247" s="80" t="n"/>
      <c r="J247" s="80" t="n"/>
      <c r="K247" s="80" t="n"/>
      <c r="L247" s="80" t="n"/>
      <c r="M247" s="80" t="n"/>
      <c r="N247" s="80" t="n"/>
      <c r="O247" s="80" t="n"/>
      <c r="P247" s="81">
        <f>IF(TRIM(B247)&lt;&gt;"",IFERROR(INDEX(DescMap_Label,MATCH(TRIM(B247),DescMap_Description,0)),"UNMATCHED"),"")</f>
        <v/>
      </c>
    </row>
    <row r="248" ht="15" customHeight="1" s="199">
      <c r="C248" s="80" t="n"/>
      <c r="D248" s="80" t="n"/>
      <c r="E248" s="80" t="n"/>
      <c r="F248" s="80" t="n"/>
      <c r="G248" s="80" t="n"/>
      <c r="H248" s="80" t="n"/>
      <c r="I248" s="80" t="n"/>
      <c r="J248" s="80" t="n"/>
      <c r="K248" s="80" t="n"/>
      <c r="L248" s="80" t="n"/>
      <c r="M248" s="80" t="n"/>
      <c r="N248" s="80" t="n"/>
      <c r="O248" s="80" t="n"/>
      <c r="P248" s="81">
        <f>IF(TRIM(B248)&lt;&gt;"",IFERROR(INDEX(DescMap_Label,MATCH(TRIM(B248),DescMap_Description,0)),"UNMATCHED"),"")</f>
        <v/>
      </c>
    </row>
    <row r="249" ht="15" customHeight="1" s="199">
      <c r="C249" s="80" t="n"/>
      <c r="D249" s="80" t="n"/>
      <c r="E249" s="80" t="n"/>
      <c r="F249" s="80" t="n"/>
      <c r="G249" s="80" t="n"/>
      <c r="H249" s="80" t="n"/>
      <c r="I249" s="80" t="n"/>
      <c r="J249" s="80" t="n"/>
      <c r="K249" s="80" t="n"/>
      <c r="L249" s="80" t="n"/>
      <c r="M249" s="80" t="n"/>
      <c r="N249" s="80" t="n"/>
      <c r="O249" s="80" t="n"/>
      <c r="P249" s="81">
        <f>IF(TRIM(B249)&lt;&gt;"",IFERROR(INDEX(DescMap_Label,MATCH(TRIM(B249),DescMap_Description,0)),"UNMATCHED"),"")</f>
        <v/>
      </c>
    </row>
    <row r="250" ht="15" customHeight="1" s="199">
      <c r="C250" s="80" t="n"/>
      <c r="D250" s="80" t="n"/>
      <c r="E250" s="80" t="n"/>
      <c r="F250" s="80" t="n"/>
      <c r="G250" s="80" t="n"/>
      <c r="H250" s="80" t="n"/>
      <c r="I250" s="80" t="n"/>
      <c r="J250" s="80" t="n"/>
      <c r="K250" s="80" t="n"/>
      <c r="L250" s="80" t="n"/>
      <c r="M250" s="80" t="n"/>
      <c r="N250" s="80" t="n"/>
      <c r="O250" s="80" t="n"/>
      <c r="P250" s="81">
        <f>IF(TRIM(B250)&lt;&gt;"",IFERROR(INDEX(DescMap_Label,MATCH(TRIM(B250),DescMap_Description,0)),"UNMATCHED"),"")</f>
        <v/>
      </c>
    </row>
    <row r="251" ht="15" customHeight="1" s="199">
      <c r="C251" s="80" t="n"/>
      <c r="D251" s="80" t="n"/>
      <c r="E251" s="80" t="n"/>
      <c r="F251" s="80" t="n"/>
      <c r="G251" s="80" t="n"/>
      <c r="H251" s="80" t="n"/>
      <c r="I251" s="80" t="n"/>
      <c r="J251" s="80" t="n"/>
      <c r="K251" s="80" t="n"/>
      <c r="L251" s="80" t="n"/>
      <c r="M251" s="80" t="n"/>
      <c r="N251" s="80" t="n"/>
      <c r="O251" s="80" t="n"/>
      <c r="P251" s="81">
        <f>IF(TRIM(B251)&lt;&gt;"",IFERROR(INDEX(DescMap_Label,MATCH(TRIM(B251),DescMap_Description,0)),"UNMATCHED"),"")</f>
        <v/>
      </c>
    </row>
    <row r="252" ht="15" customHeight="1" s="199">
      <c r="C252" s="80" t="n"/>
      <c r="D252" s="80" t="n"/>
      <c r="E252" s="80" t="n"/>
      <c r="F252" s="80" t="n"/>
      <c r="G252" s="80" t="n"/>
      <c r="H252" s="80" t="n"/>
      <c r="I252" s="80" t="n"/>
      <c r="J252" s="80" t="n"/>
      <c r="K252" s="80" t="n"/>
      <c r="L252" s="80" t="n"/>
      <c r="M252" s="80" t="n"/>
      <c r="N252" s="80" t="n"/>
      <c r="O252" s="80" t="n"/>
      <c r="P252" s="81">
        <f>IF(TRIM(B252)&lt;&gt;"",IFERROR(INDEX(DescMap_Label,MATCH(TRIM(B252),DescMap_Description,0)),"UNMATCHED"),"")</f>
        <v/>
      </c>
    </row>
    <row r="253" ht="15" customHeight="1" s="199">
      <c r="C253" s="80" t="n"/>
      <c r="D253" s="80" t="n"/>
      <c r="E253" s="80" t="n"/>
      <c r="F253" s="80" t="n"/>
      <c r="G253" s="80" t="n"/>
      <c r="H253" s="80" t="n"/>
      <c r="I253" s="80" t="n"/>
      <c r="J253" s="80" t="n"/>
      <c r="K253" s="80" t="n"/>
      <c r="L253" s="80" t="n"/>
      <c r="M253" s="80" t="n"/>
      <c r="N253" s="80" t="n"/>
      <c r="O253" s="80" t="n"/>
      <c r="P253" s="81">
        <f>IF(TRIM(B253)&lt;&gt;"",IFERROR(INDEX(DescMap_Label,MATCH(TRIM(B253),DescMap_Description,0)),"UNMATCHED"),"")</f>
        <v/>
      </c>
    </row>
    <row r="254" ht="15" customHeight="1" s="199">
      <c r="C254" s="80" t="n"/>
      <c r="D254" s="80" t="n"/>
      <c r="E254" s="80" t="n"/>
      <c r="F254" s="80" t="n"/>
      <c r="G254" s="80" t="n"/>
      <c r="H254" s="80" t="n"/>
      <c r="I254" s="80" t="n"/>
      <c r="J254" s="80" t="n"/>
      <c r="K254" s="80" t="n"/>
      <c r="L254" s="80" t="n"/>
      <c r="M254" s="80" t="n"/>
      <c r="N254" s="80" t="n"/>
      <c r="O254" s="80" t="n"/>
      <c r="P254" s="81">
        <f>IF(TRIM(B254)&lt;&gt;"",IFERROR(INDEX(DescMap_Label,MATCH(TRIM(B254),DescMap_Description,0)),"UNMATCHED"),"")</f>
        <v/>
      </c>
    </row>
    <row r="255" ht="15" customHeight="1" s="199">
      <c r="C255" s="80" t="n"/>
      <c r="D255" s="80" t="n"/>
      <c r="E255" s="80" t="n"/>
      <c r="F255" s="80" t="n"/>
      <c r="G255" s="80" t="n"/>
      <c r="H255" s="80" t="n"/>
      <c r="I255" s="80" t="n"/>
      <c r="J255" s="80" t="n"/>
      <c r="K255" s="80" t="n"/>
      <c r="L255" s="80" t="n"/>
      <c r="M255" s="80" t="n"/>
      <c r="N255" s="80" t="n"/>
      <c r="O255" s="80" t="n"/>
      <c r="P255" s="81">
        <f>IF(TRIM(B255)&lt;&gt;"",IFERROR(INDEX(DescMap_Label,MATCH(TRIM(B255),DescMap_Description,0)),"UNMATCHED"),"")</f>
        <v/>
      </c>
    </row>
    <row r="256" ht="15" customHeight="1" s="199">
      <c r="C256" s="80" t="n"/>
      <c r="D256" s="80" t="n"/>
      <c r="E256" s="80" t="n"/>
      <c r="F256" s="80" t="n"/>
      <c r="G256" s="80" t="n"/>
      <c r="H256" s="80" t="n"/>
      <c r="I256" s="80" t="n"/>
      <c r="J256" s="80" t="n"/>
      <c r="K256" s="80" t="n"/>
      <c r="L256" s="80" t="n"/>
      <c r="M256" s="80" t="n"/>
      <c r="N256" s="80" t="n"/>
      <c r="O256" s="80" t="n"/>
      <c r="P256" s="81">
        <f>IF(TRIM(B256)&lt;&gt;"",IFERROR(INDEX(DescMap_Label,MATCH(TRIM(B256),DescMap_Description,0)),"UNMATCHED"),"")</f>
        <v/>
      </c>
    </row>
    <row r="257" ht="15" customHeight="1" s="199">
      <c r="C257" s="80" t="n"/>
      <c r="D257" s="80" t="n"/>
      <c r="E257" s="80" t="n"/>
      <c r="F257" s="80" t="n"/>
      <c r="G257" s="80" t="n"/>
      <c r="H257" s="80" t="n"/>
      <c r="I257" s="80" t="n"/>
      <c r="J257" s="80" t="n"/>
      <c r="K257" s="80" t="n"/>
      <c r="L257" s="80" t="n"/>
      <c r="M257" s="80" t="n"/>
      <c r="N257" s="80" t="n"/>
      <c r="O257" s="80" t="n"/>
      <c r="P257" s="81">
        <f>IF(TRIM(B257)&lt;&gt;"",IFERROR(INDEX(DescMap_Label,MATCH(TRIM(B257),DescMap_Description,0)),"UNMATCHED"),"")</f>
        <v/>
      </c>
    </row>
    <row r="258" ht="15" customHeight="1" s="199">
      <c r="C258" s="80" t="n"/>
      <c r="D258" s="80" t="n"/>
      <c r="E258" s="80" t="n"/>
      <c r="F258" s="80" t="n"/>
      <c r="G258" s="80" t="n"/>
      <c r="H258" s="80" t="n"/>
      <c r="I258" s="80" t="n"/>
      <c r="J258" s="80" t="n"/>
      <c r="K258" s="80" t="n"/>
      <c r="L258" s="80" t="n"/>
      <c r="M258" s="80" t="n"/>
      <c r="N258" s="80" t="n"/>
      <c r="O258" s="80" t="n"/>
      <c r="P258" s="81">
        <f>IF(TRIM(B258)&lt;&gt;"",IFERROR(INDEX(DescMap_Label,MATCH(TRIM(B258),DescMap_Description,0)),"UNMATCHED"),"")</f>
        <v/>
      </c>
    </row>
    <row r="259" ht="15" customHeight="1" s="199">
      <c r="P259" s="81">
        <f>IF(TRIM(B259)&lt;&gt;"",IFERROR(INDEX(DescMap_Label,MATCH(TRIM(B259),DescMap_Description,0)),"UNMATCHED"),"")</f>
        <v/>
      </c>
    </row>
    <row r="260" ht="15" customHeight="1" s="199">
      <c r="P260" s="81">
        <f>IF(TRIM(B260)&lt;&gt;"",IFERROR(INDEX(DescMap_Label,MATCH(TRIM(B260),DescMap_Description,0)),"UNMATCHED"),"")</f>
        <v/>
      </c>
    </row>
    <row r="261" ht="15" customHeight="1" s="199">
      <c r="P261" s="81">
        <f>IF(TRIM(B261)&lt;&gt;"",IFERROR(INDEX(DescMap_Label,MATCH(TRIM(B261),DescMap_Description,0)),"UNMATCHED"),"")</f>
        <v/>
      </c>
    </row>
    <row r="262" ht="15" customHeight="1" s="199">
      <c r="P262" s="81">
        <f>IF(TRIM(B262)&lt;&gt;"",IFERROR(INDEX(DescMap_Label,MATCH(TRIM(B262),DescMap_Description,0)),"UNMATCHED"),"")</f>
        <v/>
      </c>
    </row>
    <row r="263" ht="15" customHeight="1" s="199">
      <c r="P263" s="81">
        <f>IF(TRIM(B263)&lt;&gt;"",IFERROR(INDEX(DescMap_Label,MATCH(TRIM(B263),DescMap_Description,0)),"UNMATCHED"),"")</f>
        <v/>
      </c>
    </row>
    <row r="264" ht="15" customHeight="1" s="199">
      <c r="P264" s="81">
        <f>IF(TRIM(B264)&lt;&gt;"",IFERROR(INDEX(DescMap_Label,MATCH(TRIM(B264),DescMap_Description,0)),"UNMATCHED"),"")</f>
        <v/>
      </c>
    </row>
    <row r="265" ht="15" customHeight="1" s="199">
      <c r="P265" s="81">
        <f>IF(TRIM(B265)&lt;&gt;"",IFERROR(INDEX(DescMap_Label,MATCH(TRIM(B265),DescMap_Description,0)),"UNMATCHED"),"")</f>
        <v/>
      </c>
    </row>
    <row r="266" ht="15" customHeight="1" s="199">
      <c r="P266" s="81">
        <f>IF(TRIM(B266)&lt;&gt;"",IFERROR(INDEX(DescMap_Label,MATCH(TRIM(B266),DescMap_Description,0)),"UNMATCHED"),"")</f>
        <v/>
      </c>
    </row>
    <row r="267" ht="15" customHeight="1" s="199">
      <c r="P267" s="81">
        <f>IF(TRIM(B267)&lt;&gt;"",IFERROR(INDEX(DescMap_Label,MATCH(TRIM(B267),DescMap_Description,0)),"UNMATCHED"),"")</f>
        <v/>
      </c>
    </row>
    <row r="268" ht="15" customHeight="1" s="199">
      <c r="P268" s="81">
        <f>IF(TRIM(B268)&lt;&gt;"",IFERROR(INDEX(DescMap_Label,MATCH(TRIM(B268),DescMap_Description,0)),"UNMATCHED"),"")</f>
        <v/>
      </c>
    </row>
    <row r="269" ht="15" customHeight="1" s="199">
      <c r="P269" s="81">
        <f>IF(TRIM(B269)&lt;&gt;"",IFERROR(INDEX(DescMap_Label,MATCH(TRIM(B269),DescMap_Description,0)),"UNMATCHED"),"")</f>
        <v/>
      </c>
    </row>
    <row r="270" ht="15" customHeight="1" s="199">
      <c r="P270" s="81">
        <f>IF(TRIM(B270)&lt;&gt;"",IFERROR(INDEX(DescMap_Label,MATCH(TRIM(B270),DescMap_Description,0)),"UNMATCHED"),"")</f>
        <v/>
      </c>
    </row>
    <row r="271" ht="15" customHeight="1" s="199">
      <c r="P271" s="81">
        <f>IF(TRIM(B271)&lt;&gt;"",IFERROR(INDEX(DescMap_Label,MATCH(TRIM(B271),DescMap_Description,0)),"UNMATCHED"),"")</f>
        <v/>
      </c>
    </row>
    <row r="272" ht="15" customHeight="1" s="199">
      <c r="P272" s="81">
        <f>IF(TRIM(B272)&lt;&gt;"",IFERROR(INDEX(DescMap_Label,MATCH(TRIM(B272),DescMap_Description,0)),"UNMATCHED"),"")</f>
        <v/>
      </c>
    </row>
    <row r="273" ht="15" customHeight="1" s="199">
      <c r="P273" s="81">
        <f>IF(TRIM(B273)&lt;&gt;"",IFERROR(INDEX(DescMap_Label,MATCH(TRIM(B273),DescMap_Description,0)),"UNMATCHED"),"")</f>
        <v/>
      </c>
    </row>
    <row r="274" ht="15" customHeight="1" s="199">
      <c r="P274" s="81">
        <f>IF(TRIM(B274)&lt;&gt;"",IFERROR(INDEX(DescMap_Label,MATCH(TRIM(B274),DescMap_Description,0)),"UNMATCHED"),"")</f>
        <v/>
      </c>
    </row>
    <row r="275" ht="15" customHeight="1" s="199">
      <c r="P275" s="81">
        <f>IF(TRIM(B275)&lt;&gt;"",IFERROR(INDEX(DescMap_Label,MATCH(TRIM(B275),DescMap_Description,0)),"UNMATCHED"),"")</f>
        <v/>
      </c>
    </row>
    <row r="276" ht="15" customHeight="1" s="199">
      <c r="P276" s="81">
        <f>IF(TRIM(B276)&lt;&gt;"",IFERROR(INDEX(DescMap_Label,MATCH(TRIM(B276),DescMap_Description,0)),"UNMATCHED"),"")</f>
        <v/>
      </c>
    </row>
    <row r="277" ht="15" customHeight="1" s="199">
      <c r="P277" s="81">
        <f>IF(TRIM(B277)&lt;&gt;"",IFERROR(INDEX(DescMap_Label,MATCH(TRIM(B277),DescMap_Description,0)),"UNMATCHED"),"")</f>
        <v/>
      </c>
    </row>
    <row r="278" ht="15" customHeight="1" s="199">
      <c r="P278" s="81">
        <f>IF(TRIM(B278)&lt;&gt;"",IFERROR(INDEX(DescMap_Label,MATCH(TRIM(B278),DescMap_Description,0)),"UNMATCHED"),"")</f>
        <v/>
      </c>
    </row>
    <row r="279" ht="15" customHeight="1" s="199">
      <c r="P279" s="81">
        <f>IF(TRIM(B279)&lt;&gt;"",IFERROR(INDEX(DescMap_Label,MATCH(TRIM(B279),DescMap_Description,0)),"UNMATCHED"),"")</f>
        <v/>
      </c>
    </row>
    <row r="280" ht="15" customHeight="1" s="199">
      <c r="P280" s="81">
        <f>IF(TRIM(B280)&lt;&gt;"",IFERROR(INDEX(DescMap_Label,MATCH(TRIM(B280),DescMap_Description,0)),"UNMATCHED"),"")</f>
        <v/>
      </c>
    </row>
    <row r="281" ht="15" customHeight="1" s="199">
      <c r="P281" s="81">
        <f>IF(TRIM(B281)&lt;&gt;"",IFERROR(INDEX(DescMap_Label,MATCH(TRIM(B281),DescMap_Description,0)),"UNMATCHED"),"")</f>
        <v/>
      </c>
    </row>
    <row r="282" ht="15" customHeight="1" s="199">
      <c r="P282" s="81">
        <f>IF(TRIM(B282)&lt;&gt;"",IFERROR(INDEX(DescMap_Label,MATCH(TRIM(B282),DescMap_Description,0)),"UNMATCHED"),"")</f>
        <v/>
      </c>
    </row>
    <row r="283" ht="15" customHeight="1" s="199">
      <c r="P283" s="81">
        <f>IF(TRIM(B283)&lt;&gt;"",IFERROR(INDEX(DescMap_Label,MATCH(TRIM(B283),DescMap_Description,0)),"UNMATCHED"),"")</f>
        <v/>
      </c>
    </row>
    <row r="284" ht="15" customHeight="1" s="199">
      <c r="P284" s="81">
        <f>IF(TRIM(B284)&lt;&gt;"",IFERROR(INDEX(DescMap_Label,MATCH(TRIM(B284),DescMap_Description,0)),"UNMATCHED"),"")</f>
        <v/>
      </c>
    </row>
    <row r="285" ht="15" customHeight="1" s="199">
      <c r="P285" s="81">
        <f>IF(TRIM(B285)&lt;&gt;"",IFERROR(INDEX(DescMap_Label,MATCH(TRIM(B285),DescMap_Description,0)),"UNMATCHED"),"")</f>
        <v/>
      </c>
    </row>
    <row r="286" ht="15" customHeight="1" s="199">
      <c r="P286" s="81">
        <f>IF(TRIM(B286)&lt;&gt;"",IFERROR(INDEX(DescMap_Label,MATCH(TRIM(B286),DescMap_Description,0)),"UNMATCHED"),"")</f>
        <v/>
      </c>
    </row>
    <row r="287" ht="15" customHeight="1" s="199">
      <c r="P287" s="81">
        <f>IF(TRIM(B287)&lt;&gt;"",IFERROR(INDEX(DescMap_Label,MATCH(TRIM(B287),DescMap_Description,0)),"UNMATCHED"),"")</f>
        <v/>
      </c>
    </row>
    <row r="288" ht="15" customHeight="1" s="199">
      <c r="P288" s="81">
        <f>IF(TRIM(B288)&lt;&gt;"",IFERROR(INDEX(DescMap_Label,MATCH(TRIM(B288),DescMap_Description,0)),"UNMATCHED"),"")</f>
        <v/>
      </c>
    </row>
    <row r="289" ht="15" customHeight="1" s="199">
      <c r="P289" s="81">
        <f>IF(TRIM(B289)&lt;&gt;"",IFERROR(INDEX(DescMap_Label,MATCH(TRIM(B289),DescMap_Description,0)),"UNMATCHED"),"")</f>
        <v/>
      </c>
    </row>
    <row r="290" ht="15" customHeight="1" s="199">
      <c r="P290" s="81">
        <f>IF(TRIM(B290)&lt;&gt;"",IFERROR(INDEX(DescMap_Label,MATCH(TRIM(B290),DescMap_Description,0)),"UNMATCHED"),"")</f>
        <v/>
      </c>
    </row>
    <row r="291" ht="15" customHeight="1" s="199">
      <c r="P291" s="81">
        <f>IF(TRIM(B291)&lt;&gt;"",IFERROR(INDEX(DescMap_Label,MATCH(TRIM(B291),DescMap_Description,0)),"UNMATCHED"),"")</f>
        <v/>
      </c>
    </row>
    <row r="292" ht="15" customHeight="1" s="199">
      <c r="P292" s="81">
        <f>IF(TRIM(B292)&lt;&gt;"",IFERROR(INDEX(DescMap_Label,MATCH(TRIM(B292),DescMap_Description,0)),"UNMATCHED"),"")</f>
        <v/>
      </c>
    </row>
    <row r="293" ht="15" customHeight="1" s="199">
      <c r="P293" s="81">
        <f>IF(TRIM(B293)&lt;&gt;"",IFERROR(INDEX(DescMap_Label,MATCH(TRIM(B293),DescMap_Description,0)),"UNMATCHED"),"")</f>
        <v/>
      </c>
    </row>
    <row r="294" ht="15" customHeight="1" s="199">
      <c r="P294" s="81">
        <f>IF(TRIM(B294)&lt;&gt;"",IFERROR(INDEX(DescMap_Label,MATCH(TRIM(B294),DescMap_Description,0)),"UNMATCHED"),"")</f>
        <v/>
      </c>
    </row>
    <row r="295" ht="15" customHeight="1" s="199">
      <c r="P295" s="81">
        <f>IF(TRIM(B295)&lt;&gt;"",IFERROR(INDEX(DescMap_Label,MATCH(TRIM(B295),DescMap_Description,0)),"UNMATCHED"),"")</f>
        <v/>
      </c>
    </row>
    <row r="296" ht="15" customHeight="1" s="199">
      <c r="P296" s="81">
        <f>IF(TRIM(B296)&lt;&gt;"",IFERROR(INDEX(DescMap_Label,MATCH(TRIM(B296),DescMap_Description,0)),"UNMATCHED"),"")</f>
        <v/>
      </c>
    </row>
    <row r="297" ht="15" customHeight="1" s="199">
      <c r="P297" s="81">
        <f>IF(TRIM(B297)&lt;&gt;"",IFERROR(INDEX(DescMap_Label,MATCH(TRIM(B297),DescMap_Description,0)),"UNMATCHED"),"")</f>
        <v/>
      </c>
    </row>
    <row r="298" ht="15" customHeight="1" s="199">
      <c r="P298" s="81">
        <f>IF(TRIM(B298)&lt;&gt;"",IFERROR(INDEX(DescMap_Label,MATCH(TRIM(B298),DescMap_Description,0)),"UNMATCHED"),"")</f>
        <v/>
      </c>
    </row>
    <row r="299" ht="15" customHeight="1" s="199">
      <c r="P299" s="81">
        <f>IF(TRIM(B299)&lt;&gt;"",IFERROR(INDEX(DescMap_Label,MATCH(TRIM(B299),DescMap_Description,0)),"UNMATCHED"),"")</f>
        <v/>
      </c>
    </row>
    <row r="300" ht="15" customHeight="1" s="199">
      <c r="P300" s="81">
        <f>IF(TRIM(B300)&lt;&gt;"",IFERROR(INDEX(DescMap_Label,MATCH(TRIM(B300),DescMap_Description,0)),"UNMATCHED"),"")</f>
        <v/>
      </c>
    </row>
    <row r="301" ht="15" customHeight="1" s="199">
      <c r="P301" s="81">
        <f>IF(TRIM(B301)&lt;&gt;"",IFERROR(INDEX(DescMap_Label,MATCH(TRIM(B301),DescMap_Description,0)),"UNMATCHED"),"")</f>
        <v/>
      </c>
    </row>
    <row r="302" ht="15" customHeight="1" s="199">
      <c r="P302" s="81">
        <f>IF(TRIM(B302)&lt;&gt;"",IFERROR(INDEX(DescMap_Label,MATCH(TRIM(B302),DescMap_Description,0)),"UNMATCHED"),"")</f>
        <v/>
      </c>
    </row>
    <row r="303" ht="15" customHeight="1" s="199">
      <c r="P303" s="81">
        <f>IF(TRIM(B303)&lt;&gt;"",IFERROR(INDEX(DescMap_Label,MATCH(TRIM(B303),DescMap_Description,0)),"UNMATCHED"),"")</f>
        <v/>
      </c>
    </row>
    <row r="304" ht="15" customHeight="1" s="199">
      <c r="P304" s="81">
        <f>IF(TRIM(B304)&lt;&gt;"",IFERROR(INDEX(DescMap_Label,MATCH(TRIM(B304),DescMap_Description,0)),"UNMATCHED"),"")</f>
        <v/>
      </c>
    </row>
    <row r="305" ht="15" customHeight="1" s="199">
      <c r="P305" s="81">
        <f>IF(TRIM(B305)&lt;&gt;"",IFERROR(INDEX(DescMap_Label,MATCH(TRIM(B305),DescMap_Description,0)),"UNMATCHED"),"")</f>
        <v/>
      </c>
    </row>
    <row r="306" ht="15" customHeight="1" s="199">
      <c r="P306" s="81">
        <f>IF(TRIM(B306)&lt;&gt;"",IFERROR(INDEX(DescMap_Label,MATCH(TRIM(B306),DescMap_Description,0)),"UNMATCHED"),"")</f>
        <v/>
      </c>
    </row>
    <row r="307" ht="15" customHeight="1" s="199">
      <c r="P307" s="81">
        <f>IF(TRIM(B307)&lt;&gt;"",IFERROR(INDEX(DescMap_Label,MATCH(TRIM(B307),DescMap_Description,0)),"UNMATCHED"),"")</f>
        <v/>
      </c>
    </row>
    <row r="308" ht="15" customHeight="1" s="199">
      <c r="P308" s="81">
        <f>IF(TRIM(B308)&lt;&gt;"",IFERROR(INDEX(DescMap_Label,MATCH(TRIM(B308),DescMap_Description,0)),"UNMATCHED"),"")</f>
        <v/>
      </c>
    </row>
    <row r="309" ht="15" customHeight="1" s="199">
      <c r="P309" s="81">
        <f>IF(TRIM(B309)&lt;&gt;"",IFERROR(INDEX(DescMap_Label,MATCH(TRIM(B309),DescMap_Description,0)),"UNMATCHED"),"")</f>
        <v/>
      </c>
    </row>
    <row r="310" ht="15" customHeight="1" s="199">
      <c r="P310" s="81">
        <f>IF(TRIM(B310)&lt;&gt;"",IFERROR(INDEX(DescMap_Label,MATCH(TRIM(B310),DescMap_Description,0)),"UNMATCHED"),"")</f>
        <v/>
      </c>
    </row>
    <row r="311" ht="15" customHeight="1" s="199">
      <c r="P311" s="81">
        <f>IF(TRIM(B311)&lt;&gt;"",IFERROR(INDEX(DescMap_Label,MATCH(TRIM(B311),DescMap_Description,0)),"UNMATCHED"),"")</f>
        <v/>
      </c>
    </row>
    <row r="312" ht="15" customHeight="1" s="199">
      <c r="P312" s="81">
        <f>IF(TRIM(B312)&lt;&gt;"",IFERROR(INDEX(DescMap_Label,MATCH(TRIM(B312),DescMap_Description,0)),"UNMATCHED"),"")</f>
        <v/>
      </c>
    </row>
    <row r="313" ht="15" customHeight="1" s="199">
      <c r="P313" s="81">
        <f>IF(TRIM(B313)&lt;&gt;"",IFERROR(INDEX(DescMap_Label,MATCH(TRIM(B313),DescMap_Description,0)),"UNMATCHED"),"")</f>
        <v/>
      </c>
    </row>
    <row r="314" ht="15" customHeight="1" s="199">
      <c r="P314" s="81">
        <f>IF(TRIM(B314)&lt;&gt;"",IFERROR(INDEX(DescMap_Label,MATCH(TRIM(B314),DescMap_Description,0)),"UNMATCHED"),"")</f>
        <v/>
      </c>
    </row>
    <row r="315" ht="15" customHeight="1" s="199">
      <c r="P315" s="81">
        <f>IF(TRIM(B315)&lt;&gt;"",IFERROR(INDEX(DescMap_Label,MATCH(TRIM(B315),DescMap_Description,0)),"UNMATCHED"),"")</f>
        <v/>
      </c>
    </row>
    <row r="316" ht="15" customHeight="1" s="199">
      <c r="P316" s="81">
        <f>IF(TRIM(B316)&lt;&gt;"",IFERROR(INDEX(DescMap_Label,MATCH(TRIM(B316),DescMap_Description,0)),"UNMATCHED"),"")</f>
        <v/>
      </c>
    </row>
    <row r="317" ht="15" customHeight="1" s="199">
      <c r="P317" s="81">
        <f>IF(TRIM(B317)&lt;&gt;"",IFERROR(INDEX(DescMap_Label,MATCH(TRIM(B317),DescMap_Description,0)),"UNMATCHED"),"")</f>
        <v/>
      </c>
    </row>
    <row r="318" ht="15" customHeight="1" s="199">
      <c r="P318" s="81">
        <f>IF(TRIM(B318)&lt;&gt;"",IFERROR(INDEX(DescMap_Label,MATCH(TRIM(B318),DescMap_Description,0)),"UNMATCHED"),"")</f>
        <v/>
      </c>
    </row>
    <row r="319" ht="15" customHeight="1" s="199">
      <c r="P319" s="81">
        <f>IF(TRIM(B319)&lt;&gt;"",IFERROR(INDEX(DescMap_Label,MATCH(TRIM(B319),DescMap_Description,0)),"UNMATCHED"),"")</f>
        <v/>
      </c>
    </row>
    <row r="320" ht="15" customHeight="1" s="199">
      <c r="P320" s="81">
        <f>IF(TRIM(B320)&lt;&gt;"",IFERROR(INDEX(DescMap_Label,MATCH(TRIM(B320),DescMap_Description,0)),"UNMATCHED"),"")</f>
        <v/>
      </c>
    </row>
    <row r="321" ht="15" customHeight="1" s="199">
      <c r="P321" s="81">
        <f>IF(TRIM(B321)&lt;&gt;"",IFERROR(INDEX(DescMap_Label,MATCH(TRIM(B321),DescMap_Description,0)),"UNMATCHED"),"")</f>
        <v/>
      </c>
    </row>
    <row r="322" ht="15" customHeight="1" s="199">
      <c r="P322" s="81">
        <f>IF(TRIM(B322)&lt;&gt;"",IFERROR(INDEX(DescMap_Label,MATCH(TRIM(B322),DescMap_Description,0)),"UNMATCHED"),"")</f>
        <v/>
      </c>
    </row>
    <row r="323" ht="15" customHeight="1" s="199">
      <c r="P323" s="81">
        <f>IF(TRIM(B323)&lt;&gt;"",IFERROR(INDEX(DescMap_Label,MATCH(TRIM(B323),DescMap_Description,0)),"UNMATCHED"),"")</f>
        <v/>
      </c>
    </row>
    <row r="324" ht="15" customHeight="1" s="199">
      <c r="P324" s="81">
        <f>IF(TRIM(B324)&lt;&gt;"",IFERROR(INDEX(DescMap_Label,MATCH(TRIM(B324),DescMap_Description,0)),"UNMATCHED"),"")</f>
        <v/>
      </c>
    </row>
    <row r="325" ht="15" customHeight="1" s="199">
      <c r="P325" s="81">
        <f>IF(TRIM(B325)&lt;&gt;"",IFERROR(INDEX(DescMap_Label,MATCH(TRIM(B325),DescMap_Description,0)),"UNMATCHED"),"")</f>
        <v/>
      </c>
    </row>
    <row r="326" ht="15" customHeight="1" s="199">
      <c r="P326" s="81">
        <f>IF(TRIM(B326)&lt;&gt;"",IFERROR(INDEX(DescMap_Label,MATCH(TRIM(B326),DescMap_Description,0)),"UNMATCHED"),"")</f>
        <v/>
      </c>
    </row>
    <row r="327" ht="15" customHeight="1" s="199">
      <c r="P327" s="81">
        <f>IF(TRIM(B327)&lt;&gt;"",IFERROR(INDEX(DescMap_Label,MATCH(TRIM(B327),DescMap_Description,0)),"UNMATCHED"),"")</f>
        <v/>
      </c>
    </row>
    <row r="328" ht="15" customHeight="1" s="199">
      <c r="P328" s="81">
        <f>IF(TRIM(B328)&lt;&gt;"",IFERROR(INDEX(DescMap_Label,MATCH(TRIM(B328),DescMap_Description,0)),"UNMATCHED"),"")</f>
        <v/>
      </c>
    </row>
    <row r="329" ht="15" customHeight="1" s="199">
      <c r="P329" s="81">
        <f>IF(TRIM(B329)&lt;&gt;"",IFERROR(INDEX(DescMap_Label,MATCH(TRIM(B329),DescMap_Description,0)),"UNMATCHED"),"")</f>
        <v/>
      </c>
    </row>
    <row r="330" ht="15" customHeight="1" s="199">
      <c r="P330" s="81">
        <f>IF(TRIM(B330)&lt;&gt;"",IFERROR(INDEX(DescMap_Label,MATCH(TRIM(B330),DescMap_Description,0)),"UNMATCHED"),"")</f>
        <v/>
      </c>
    </row>
    <row r="331" ht="15" customHeight="1" s="199">
      <c r="P331" s="81">
        <f>IF(TRIM(B331)&lt;&gt;"",IFERROR(INDEX(DescMap_Label,MATCH(TRIM(B331),DescMap_Description,0)),"UNMATCHED"),"")</f>
        <v/>
      </c>
    </row>
    <row r="332" ht="15" customHeight="1" s="199">
      <c r="P332" s="81">
        <f>IF(TRIM(B332)&lt;&gt;"",IFERROR(INDEX(DescMap_Label,MATCH(TRIM(B332),DescMap_Description,0)),"UNMATCHED"),"")</f>
        <v/>
      </c>
    </row>
    <row r="333" ht="15" customHeight="1" s="199">
      <c r="P333" s="81">
        <f>IF(TRIM(B333)&lt;&gt;"",IFERROR(INDEX(DescMap_Label,MATCH(TRIM(B333),DescMap_Description,0)),"UNMATCHED"),"")</f>
        <v/>
      </c>
    </row>
    <row r="334" ht="15" customHeight="1" s="199">
      <c r="P334" s="81">
        <f>IF(TRIM(B334)&lt;&gt;"",IFERROR(INDEX(DescMap_Label,MATCH(TRIM(B334),DescMap_Description,0)),"UNMATCHED"),"")</f>
        <v/>
      </c>
    </row>
    <row r="335" ht="15" customHeight="1" s="199">
      <c r="P335" s="81">
        <f>IF(TRIM(B335)&lt;&gt;"",IFERROR(INDEX(DescMap_Label,MATCH(TRIM(B335),DescMap_Description,0)),"UNMATCHED"),"")</f>
        <v/>
      </c>
    </row>
    <row r="336" ht="15" customHeight="1" s="199">
      <c r="P336" s="81">
        <f>IF(TRIM(B336)&lt;&gt;"",IFERROR(INDEX(DescMap_Label,MATCH(TRIM(B336),DescMap_Description,0)),"UNMATCHED"),"")</f>
        <v/>
      </c>
    </row>
    <row r="337" ht="15" customHeight="1" s="199">
      <c r="P337" s="81">
        <f>IF(TRIM(B337)&lt;&gt;"",IFERROR(INDEX(DescMap_Label,MATCH(TRIM(B337),DescMap_Description,0)),"UNMATCHED"),"")</f>
        <v/>
      </c>
    </row>
    <row r="338" ht="15" customHeight="1" s="199">
      <c r="P338" s="81">
        <f>IF(TRIM(B338)&lt;&gt;"",IFERROR(INDEX(DescMap_Label,MATCH(TRIM(B338),DescMap_Description,0)),"UNMATCHED"),"")</f>
        <v/>
      </c>
    </row>
    <row r="339" ht="15" customHeight="1" s="199">
      <c r="P339" s="81">
        <f>IF(TRIM(B339)&lt;&gt;"",IFERROR(INDEX(DescMap_Label,MATCH(TRIM(B339),DescMap_Description,0)),"UNMATCHED"),"")</f>
        <v/>
      </c>
    </row>
    <row r="340" ht="15" customHeight="1" s="199">
      <c r="P340" s="81">
        <f>IF(TRIM(B340)&lt;&gt;"",IFERROR(INDEX(DescMap_Label,MATCH(TRIM(B340),DescMap_Description,0)),"UNMATCHED"),"")</f>
        <v/>
      </c>
    </row>
    <row r="341" ht="15" customHeight="1" s="199">
      <c r="P341" s="81">
        <f>IF(TRIM(B341)&lt;&gt;"",IFERROR(INDEX(DescMap_Label,MATCH(TRIM(B341),DescMap_Description,0)),"UNMATCHED"),"")</f>
        <v/>
      </c>
    </row>
    <row r="342" ht="15" customHeight="1" s="199">
      <c r="P342" s="81">
        <f>IF(TRIM(B342)&lt;&gt;"",IFERROR(INDEX(DescMap_Label,MATCH(TRIM(B342),DescMap_Description,0)),"UNMATCHED"),"")</f>
        <v/>
      </c>
    </row>
    <row r="343" ht="15" customHeight="1" s="199">
      <c r="P343" s="81">
        <f>IF(TRIM(B343)&lt;&gt;"",IFERROR(INDEX(DescMap_Label,MATCH(TRIM(B343),DescMap_Description,0)),"UNMATCHED"),"")</f>
        <v/>
      </c>
    </row>
    <row r="344" ht="15" customHeight="1" s="199">
      <c r="P344" s="81">
        <f>IF(TRIM(B344)&lt;&gt;"",IFERROR(INDEX(DescMap_Label,MATCH(TRIM(B344),DescMap_Description,0)),"UNMATCHED"),"")</f>
        <v/>
      </c>
    </row>
    <row r="345" ht="15" customHeight="1" s="199">
      <c r="P345" s="81">
        <f>IF(TRIM(B345)&lt;&gt;"",IFERROR(INDEX(DescMap_Label,MATCH(TRIM(B345),DescMap_Description,0)),"UNMATCHED"),"")</f>
        <v/>
      </c>
    </row>
    <row r="346" ht="15" customHeight="1" s="199">
      <c r="P346" s="81">
        <f>IF(TRIM(B346)&lt;&gt;"",IFERROR(INDEX(DescMap_Label,MATCH(TRIM(B346),DescMap_Description,0)),"UNMATCHED"),"")</f>
        <v/>
      </c>
    </row>
    <row r="347" ht="15" customHeight="1" s="199">
      <c r="P347" s="81">
        <f>IF(TRIM(B347)&lt;&gt;"",IFERROR(INDEX(DescMap_Label,MATCH(TRIM(B347),DescMap_Description,0)),"UNMATCHED"),"")</f>
        <v/>
      </c>
    </row>
    <row r="348" ht="15" customHeight="1" s="199">
      <c r="P348" s="81">
        <f>IF(TRIM(B348)&lt;&gt;"",IFERROR(INDEX(DescMap_Label,MATCH(TRIM(B348),DescMap_Description,0)),"UNMATCHED"),"")</f>
        <v/>
      </c>
    </row>
    <row r="349" ht="15" customHeight="1" s="199">
      <c r="P349" s="81">
        <f>IF(TRIM(B349)&lt;&gt;"",IFERROR(INDEX(DescMap_Label,MATCH(TRIM(B349),DescMap_Description,0)),"UNMATCHED"),"")</f>
        <v/>
      </c>
    </row>
    <row r="350" ht="15" customHeight="1" s="199">
      <c r="P350" s="81">
        <f>IF(TRIM(B350)&lt;&gt;"",IFERROR(INDEX(DescMap_Label,MATCH(TRIM(B350),DescMap_Description,0)),"UNMATCHED"),"")</f>
        <v/>
      </c>
    </row>
    <row r="351" ht="15" customHeight="1" s="199">
      <c r="P351" s="81">
        <f>IF(TRIM(B351)&lt;&gt;"",IFERROR(INDEX(DescMap_Label,MATCH(TRIM(B351),DescMap_Description,0)),"UNMATCHED"),"")</f>
        <v/>
      </c>
    </row>
    <row r="352" ht="15" customHeight="1" s="199">
      <c r="P352" s="81">
        <f>IF(TRIM(B352)&lt;&gt;"",IFERROR(INDEX(DescMap_Label,MATCH(TRIM(B352),DescMap_Description,0)),"UNMATCHED"),"")</f>
        <v/>
      </c>
    </row>
    <row r="353" ht="15" customHeight="1" s="199">
      <c r="P353" s="81">
        <f>IF(TRIM(B353)&lt;&gt;"",IFERROR(INDEX(DescMap_Label,MATCH(TRIM(B353),DescMap_Description,0)),"UNMATCHED"),"")</f>
        <v/>
      </c>
    </row>
    <row r="354" ht="15" customHeight="1" s="199">
      <c r="P354" s="81">
        <f>IF(TRIM(B354)&lt;&gt;"",IFERROR(INDEX(DescMap_Label,MATCH(TRIM(B354),DescMap_Description,0)),"UNMATCHED"),"")</f>
        <v/>
      </c>
    </row>
    <row r="355" ht="15" customHeight="1" s="199">
      <c r="P355" s="81">
        <f>IF(TRIM(B355)&lt;&gt;"",IFERROR(INDEX(DescMap_Label,MATCH(TRIM(B355),DescMap_Description,0)),"UNMATCHED"),"")</f>
        <v/>
      </c>
    </row>
    <row r="356" ht="15" customHeight="1" s="199">
      <c r="P356" s="81">
        <f>IF(TRIM(B356)&lt;&gt;"",IFERROR(INDEX(DescMap_Label,MATCH(TRIM(B356),DescMap_Description,0)),"UNMATCHED"),"")</f>
        <v/>
      </c>
    </row>
    <row r="357" ht="15" customHeight="1" s="199">
      <c r="P357" s="81">
        <f>IF(TRIM(B357)&lt;&gt;"",IFERROR(INDEX(DescMap_Label,MATCH(TRIM(B357),DescMap_Description,0)),"UNMATCHED"),"")</f>
        <v/>
      </c>
    </row>
    <row r="358" ht="15" customHeight="1" s="199">
      <c r="P358" s="81">
        <f>IF(TRIM(B358)&lt;&gt;"",IFERROR(INDEX(DescMap_Label,MATCH(TRIM(B358),DescMap_Description,0)),"UNMATCHED"),"")</f>
        <v/>
      </c>
    </row>
    <row r="359" ht="15" customHeight="1" s="199">
      <c r="P359" s="81">
        <f>IF(TRIM(B359)&lt;&gt;"",IFERROR(INDEX(DescMap_Label,MATCH(TRIM(B359),DescMap_Description,0)),"UNMATCHED"),"")</f>
        <v/>
      </c>
    </row>
    <row r="360" ht="15" customHeight="1" s="199">
      <c r="P360" s="81">
        <f>IF(TRIM(B360)&lt;&gt;"",IFERROR(INDEX(DescMap_Label,MATCH(TRIM(B360),DescMap_Description,0)),"UNMATCHED"),"")</f>
        <v/>
      </c>
    </row>
    <row r="361" ht="15" customHeight="1" s="199">
      <c r="P361" s="81">
        <f>IF(TRIM(B361)&lt;&gt;"",IFERROR(INDEX(DescMap_Label,MATCH(TRIM(B361),DescMap_Description,0)),"UNMATCHED"),"")</f>
        <v/>
      </c>
    </row>
    <row r="362" ht="15" customHeight="1" s="199">
      <c r="P362" s="81">
        <f>IF(TRIM(B362)&lt;&gt;"",IFERROR(INDEX(DescMap_Label,MATCH(TRIM(B362),DescMap_Description,0)),"UNMATCHED"),"")</f>
        <v/>
      </c>
    </row>
    <row r="363" ht="15" customHeight="1" s="199">
      <c r="P363" s="81">
        <f>IF(TRIM(B363)&lt;&gt;"",IFERROR(INDEX(DescMap_Label,MATCH(TRIM(B363),DescMap_Description,0)),"UNMATCHED"),"")</f>
        <v/>
      </c>
    </row>
    <row r="364" ht="15" customHeight="1" s="199">
      <c r="P364" s="81">
        <f>IF(TRIM(B364)&lt;&gt;"",IFERROR(INDEX(DescMap_Label,MATCH(TRIM(B364),DescMap_Description,0)),"UNMATCHED"),"")</f>
        <v/>
      </c>
    </row>
    <row r="365" ht="15" customHeight="1" s="199">
      <c r="P365" s="81">
        <f>IF(TRIM(B365)&lt;&gt;"",IFERROR(INDEX(DescMap_Label,MATCH(TRIM(B365),DescMap_Description,0)),"UNMATCHED"),"")</f>
        <v/>
      </c>
    </row>
    <row r="366" ht="15" customHeight="1" s="199">
      <c r="P366" s="81">
        <f>IF(TRIM(B366)&lt;&gt;"",IFERROR(INDEX(DescMap_Label,MATCH(TRIM(B366),DescMap_Description,0)),"UNMATCHED"),"")</f>
        <v/>
      </c>
    </row>
    <row r="367" ht="15" customHeight="1" s="199">
      <c r="P367" s="81">
        <f>IF(TRIM(B367)&lt;&gt;"",IFERROR(INDEX(DescMap_Label,MATCH(TRIM(B367),DescMap_Description,0)),"UNMATCHED"),"")</f>
        <v/>
      </c>
    </row>
    <row r="368" ht="15" customHeight="1" s="199">
      <c r="P368" s="81">
        <f>IF(TRIM(B368)&lt;&gt;"",IFERROR(INDEX(DescMap_Label,MATCH(TRIM(B368),DescMap_Description,0)),"UNMATCHED"),"")</f>
        <v/>
      </c>
    </row>
    <row r="369" ht="15" customHeight="1" s="199">
      <c r="P369" s="81">
        <f>IF(TRIM(B369)&lt;&gt;"",IFERROR(INDEX(DescMap_Label,MATCH(TRIM(B369),DescMap_Description,0)),"UNMATCHED"),"")</f>
        <v/>
      </c>
    </row>
    <row r="370" ht="15" customHeight="1" s="199">
      <c r="P370" s="81">
        <f>IF(TRIM(B370)&lt;&gt;"",IFERROR(INDEX(DescMap_Label,MATCH(TRIM(B370),DescMap_Description,0)),"UNMATCHED"),"")</f>
        <v/>
      </c>
    </row>
    <row r="371" ht="15" customHeight="1" s="199">
      <c r="P371" s="81">
        <f>IF(TRIM(B371)&lt;&gt;"",IFERROR(INDEX(DescMap_Label,MATCH(TRIM(B371),DescMap_Description,0)),"UNMATCHED"),"")</f>
        <v/>
      </c>
    </row>
    <row r="372" ht="15" customHeight="1" s="199">
      <c r="P372" s="81">
        <f>IF(TRIM(B372)&lt;&gt;"",IFERROR(INDEX(DescMap_Label,MATCH(TRIM(B372),DescMap_Description,0)),"UNMATCHED"),"")</f>
        <v/>
      </c>
    </row>
    <row r="373" ht="15" customHeight="1" s="199">
      <c r="P373" s="81">
        <f>IF(TRIM(B373)&lt;&gt;"",IFERROR(INDEX(DescMap_Label,MATCH(TRIM(B373),DescMap_Description,0)),"UNMATCHED"),"")</f>
        <v/>
      </c>
    </row>
    <row r="374" ht="15" customHeight="1" s="199">
      <c r="P374" s="81">
        <f>IF(TRIM(B374)&lt;&gt;"",IFERROR(INDEX(DescMap_Label,MATCH(TRIM(B374),DescMap_Description,0)),"UNMATCHED"),"")</f>
        <v/>
      </c>
    </row>
    <row r="375" ht="15" customHeight="1" s="199">
      <c r="P375" s="81">
        <f>IF(TRIM(B375)&lt;&gt;"",IFERROR(INDEX(DescMap_Label,MATCH(TRIM(B375),DescMap_Description,0)),"UNMATCHED"),"")</f>
        <v/>
      </c>
    </row>
    <row r="376" ht="15" customHeight="1" s="199">
      <c r="P376" s="81">
        <f>IF(TRIM(B376)&lt;&gt;"",IFERROR(INDEX(DescMap_Label,MATCH(TRIM(B376),DescMap_Description,0)),"UNMATCHED"),"")</f>
        <v/>
      </c>
    </row>
    <row r="377" ht="15" customHeight="1" s="199">
      <c r="P377" s="81">
        <f>IF(TRIM(B377)&lt;&gt;"",IFERROR(INDEX(DescMap_Label,MATCH(TRIM(B377),DescMap_Description,0)),"UNMATCHED"),"")</f>
        <v/>
      </c>
    </row>
    <row r="378" ht="15" customHeight="1" s="199">
      <c r="P378" s="81">
        <f>IF(TRIM(B378)&lt;&gt;"",IFERROR(INDEX(DescMap_Label,MATCH(TRIM(B378),DescMap_Description,0)),"UNMATCHED"),"")</f>
        <v/>
      </c>
    </row>
    <row r="379" ht="15" customHeight="1" s="199">
      <c r="P379" s="81">
        <f>IF(TRIM(B379)&lt;&gt;"",IFERROR(INDEX(DescMap_Label,MATCH(TRIM(B379),DescMap_Description,0)),"UNMATCHED"),"")</f>
        <v/>
      </c>
    </row>
    <row r="380" ht="15" customHeight="1" s="199">
      <c r="P380" s="81">
        <f>IF(TRIM(B380)&lt;&gt;"",IFERROR(INDEX(DescMap_Label,MATCH(TRIM(B380),DescMap_Description,0)),"UNMATCHED"),"")</f>
        <v/>
      </c>
    </row>
    <row r="381" ht="15" customHeight="1" s="199">
      <c r="P381" s="81">
        <f>IF(TRIM(B381)&lt;&gt;"",IFERROR(INDEX(DescMap_Label,MATCH(TRIM(B381),DescMap_Description,0)),"UNMATCHED"),"")</f>
        <v/>
      </c>
    </row>
    <row r="382" ht="15" customHeight="1" s="199">
      <c r="P382" s="81">
        <f>IF(TRIM(B382)&lt;&gt;"",IFERROR(INDEX(DescMap_Label,MATCH(TRIM(B382),DescMap_Description,0)),"UNMATCHED"),"")</f>
        <v/>
      </c>
    </row>
    <row r="383" ht="15" customHeight="1" s="199">
      <c r="P383" s="81">
        <f>IF(TRIM(B383)&lt;&gt;"",IFERROR(INDEX(DescMap_Label,MATCH(TRIM(B383),DescMap_Description,0)),"UNMATCHED"),"")</f>
        <v/>
      </c>
    </row>
    <row r="384" ht="15" customHeight="1" s="199">
      <c r="P384" s="81">
        <f>IF(TRIM(B384)&lt;&gt;"",IFERROR(INDEX(DescMap_Label,MATCH(TRIM(B384),DescMap_Description,0)),"UNMATCHED"),"")</f>
        <v/>
      </c>
    </row>
    <row r="385" ht="15" customHeight="1" s="199">
      <c r="P385" s="81">
        <f>IF(TRIM(B385)&lt;&gt;"",IFERROR(INDEX(DescMap_Label,MATCH(TRIM(B385),DescMap_Description,0)),"UNMATCHED"),"")</f>
        <v/>
      </c>
    </row>
    <row r="386" ht="15" customHeight="1" s="199">
      <c r="P386" s="81">
        <f>IF(TRIM(B386)&lt;&gt;"",IFERROR(INDEX(DescMap_Label,MATCH(TRIM(B386),DescMap_Description,0)),"UNMATCHED"),"")</f>
        <v/>
      </c>
    </row>
    <row r="387" ht="15" customHeight="1" s="199">
      <c r="P387" s="81">
        <f>IF(TRIM(B387)&lt;&gt;"",IFERROR(INDEX(DescMap_Label,MATCH(TRIM(B387),DescMap_Description,0)),"UNMATCHED"),"")</f>
        <v/>
      </c>
    </row>
    <row r="388" ht="15" customHeight="1" s="199">
      <c r="P388" s="81">
        <f>IF(TRIM(B388)&lt;&gt;"",IFERROR(INDEX(DescMap_Label,MATCH(TRIM(B388),DescMap_Description,0)),"UNMATCHED"),"")</f>
        <v/>
      </c>
    </row>
    <row r="389" ht="15" customHeight="1" s="199">
      <c r="P389" s="81">
        <f>IF(TRIM(B389)&lt;&gt;"",IFERROR(INDEX(DescMap_Label,MATCH(TRIM(B389),DescMap_Description,0)),"UNMATCHED"),"")</f>
        <v/>
      </c>
    </row>
    <row r="390" ht="15" customHeight="1" s="199">
      <c r="P390" s="81">
        <f>IF(TRIM(B390)&lt;&gt;"",IFERROR(INDEX(DescMap_Label,MATCH(TRIM(B390),DescMap_Description,0)),"UNMATCHED"),"")</f>
        <v/>
      </c>
    </row>
    <row r="391" ht="15" customHeight="1" s="199">
      <c r="P391" s="81">
        <f>IF(TRIM(B391)&lt;&gt;"",IFERROR(INDEX(DescMap_Label,MATCH(TRIM(B391),DescMap_Description,0)),"UNMATCHED"),"")</f>
        <v/>
      </c>
    </row>
    <row r="392" ht="15" customHeight="1" s="199">
      <c r="P392" s="81">
        <f>IF(TRIM(B392)&lt;&gt;"",IFERROR(INDEX(DescMap_Label,MATCH(TRIM(B392),DescMap_Description,0)),"UNMATCHED"),"")</f>
        <v/>
      </c>
    </row>
    <row r="393" ht="15" customHeight="1" s="199">
      <c r="P393" s="81">
        <f>IF(TRIM(B393)&lt;&gt;"",IFERROR(INDEX(DescMap_Label,MATCH(TRIM(B393),DescMap_Description,0)),"UNMATCHED"),"")</f>
        <v/>
      </c>
    </row>
    <row r="394" ht="15" customHeight="1" s="199">
      <c r="P394" s="81">
        <f>IF(TRIM(B394)&lt;&gt;"",IFERROR(INDEX(DescMap_Label,MATCH(TRIM(B394),DescMap_Description,0)),"UNMATCHED"),"")</f>
        <v/>
      </c>
    </row>
    <row r="395" ht="15" customHeight="1" s="199">
      <c r="P395" s="81">
        <f>IF(TRIM(B395)&lt;&gt;"",IFERROR(INDEX(DescMap_Label,MATCH(TRIM(B395),DescMap_Description,0)),"UNMATCHED"),"")</f>
        <v/>
      </c>
    </row>
    <row r="396" ht="15" customHeight="1" s="199">
      <c r="P396" s="81">
        <f>IF(TRIM(B396)&lt;&gt;"",IFERROR(INDEX(DescMap_Label,MATCH(TRIM(B396),DescMap_Description,0)),"UNMATCHED"),"")</f>
        <v/>
      </c>
    </row>
    <row r="397" ht="15" customHeight="1" s="199">
      <c r="P397" s="81">
        <f>IF(TRIM(B397)&lt;&gt;"",IFERROR(INDEX(DescMap_Label,MATCH(TRIM(B397),DescMap_Description,0)),"UNMATCHED"),"")</f>
        <v/>
      </c>
    </row>
    <row r="398" ht="15" customHeight="1" s="199">
      <c r="P398" s="81">
        <f>IF(TRIM(B398)&lt;&gt;"",IFERROR(INDEX(DescMap_Label,MATCH(TRIM(B398),DescMap_Description,0)),"UNMATCHED"),"")</f>
        <v/>
      </c>
    </row>
    <row r="399" ht="15" customHeight="1" s="199">
      <c r="P399" s="81">
        <f>IF(TRIM(B399)&lt;&gt;"",IFERROR(INDEX(DescMap_Label,MATCH(TRIM(B399),DescMap_Description,0)),"UNMATCHED"),"")</f>
        <v/>
      </c>
    </row>
    <row r="400" ht="15" customHeight="1" s="199">
      <c r="P400" s="81">
        <f>IF(TRIM(B400)&lt;&gt;"",IFERROR(INDEX(DescMap_Label,MATCH(TRIM(B400),DescMap_Description,0)),"UNMATCHED"),"")</f>
        <v/>
      </c>
    </row>
    <row r="401" ht="15" customHeight="1" s="199">
      <c r="P401" s="81">
        <f>IF(TRIM(B401)&lt;&gt;"",IFERROR(INDEX(DescMap_Label,MATCH(TRIM(B401),DescMap_Description,0)),"UNMATCHED"),"")</f>
        <v/>
      </c>
    </row>
    <row r="402" ht="15" customHeight="1" s="199">
      <c r="P402" s="81">
        <f>IF(TRIM(B402)&lt;&gt;"",IFERROR(INDEX(DescMap_Label,MATCH(TRIM(B402),DescMap_Description,0)),"UNMATCHED"),"")</f>
        <v/>
      </c>
    </row>
    <row r="403" ht="15" customHeight="1" s="199">
      <c r="P403" s="81">
        <f>IF(TRIM(B403)&lt;&gt;"",IFERROR(INDEX(DescMap_Label,MATCH(TRIM(B403),DescMap_Description,0)),"UNMATCHED"),"")</f>
        <v/>
      </c>
    </row>
    <row r="404" ht="15" customHeight="1" s="199">
      <c r="P404" s="81">
        <f>IF(TRIM(B404)&lt;&gt;"",IFERROR(INDEX(DescMap_Label,MATCH(TRIM(B404),DescMap_Description,0)),"UNMATCHED"),"")</f>
        <v/>
      </c>
    </row>
    <row r="405" ht="15" customHeight="1" s="199">
      <c r="P405" s="81">
        <f>IF(TRIM(B405)&lt;&gt;"",IFERROR(INDEX(DescMap_Label,MATCH(TRIM(B405),DescMap_Description,0)),"UNMATCHED"),"")</f>
        <v/>
      </c>
    </row>
    <row r="406" ht="15" customHeight="1" s="199">
      <c r="P406" s="81">
        <f>IF(TRIM(B406)&lt;&gt;"",IFERROR(INDEX(DescMap_Label,MATCH(TRIM(B406),DescMap_Description,0)),"UNMATCHED"),"")</f>
        <v/>
      </c>
    </row>
    <row r="407" ht="15" customHeight="1" s="199">
      <c r="P407" s="81">
        <f>IF(TRIM(B407)&lt;&gt;"",IFERROR(INDEX(DescMap_Label,MATCH(TRIM(B407),DescMap_Description,0)),"UNMATCHED"),"")</f>
        <v/>
      </c>
    </row>
    <row r="408" ht="15" customHeight="1" s="199">
      <c r="P408" s="81">
        <f>IF(TRIM(B408)&lt;&gt;"",IFERROR(INDEX(DescMap_Label,MATCH(TRIM(B408),DescMap_Description,0)),"UNMATCHED"),"")</f>
        <v/>
      </c>
    </row>
    <row r="409" ht="15" customHeight="1" s="199">
      <c r="P409" s="81">
        <f>IF(TRIM(B409)&lt;&gt;"",IFERROR(INDEX(DescMap_Label,MATCH(TRIM(B409),DescMap_Description,0)),"UNMATCHED"),"")</f>
        <v/>
      </c>
    </row>
    <row r="410" ht="15" customHeight="1" s="199">
      <c r="P410" s="81">
        <f>IF(TRIM(B410)&lt;&gt;"",IFERROR(INDEX(DescMap_Label,MATCH(TRIM(B410),DescMap_Description,0)),"UNMATCHED"),"")</f>
        <v/>
      </c>
    </row>
    <row r="411" ht="15" customHeight="1" s="199">
      <c r="P411" s="81">
        <f>IF(TRIM(B411)&lt;&gt;"",IFERROR(INDEX(DescMap_Label,MATCH(TRIM(B411),DescMap_Description,0)),"UNMATCHED"),"")</f>
        <v/>
      </c>
    </row>
    <row r="412" ht="15" customHeight="1" s="199">
      <c r="P412" s="81">
        <f>IF(TRIM(B412)&lt;&gt;"",IFERROR(INDEX(DescMap_Label,MATCH(TRIM(B412),DescMap_Description,0)),"UNMATCHED"),"")</f>
        <v/>
      </c>
    </row>
    <row r="413" ht="15" customHeight="1" s="199">
      <c r="P413" s="81">
        <f>IF(TRIM(B413)&lt;&gt;"",IFERROR(INDEX(DescMap_Label,MATCH(TRIM(B413),DescMap_Description,0)),"UNMATCHED"),"")</f>
        <v/>
      </c>
    </row>
    <row r="414" ht="15" customHeight="1" s="199">
      <c r="P414" s="81">
        <f>IF(TRIM(B414)&lt;&gt;"",IFERROR(INDEX(DescMap_Label,MATCH(TRIM(B414),DescMap_Description,0)),"UNMATCHED"),"")</f>
        <v/>
      </c>
    </row>
    <row r="415" ht="15" customHeight="1" s="199">
      <c r="P415" s="81">
        <f>IF(TRIM(B415)&lt;&gt;"",IFERROR(INDEX(DescMap_Label,MATCH(TRIM(B415),DescMap_Description,0)),"UNMATCHED"),"")</f>
        <v/>
      </c>
    </row>
    <row r="416" ht="15" customHeight="1" s="199">
      <c r="P416" s="81">
        <f>IF(TRIM(B416)&lt;&gt;"",IFERROR(INDEX(DescMap_Label,MATCH(TRIM(B416),DescMap_Description,0)),"UNMATCHED"),"")</f>
        <v/>
      </c>
    </row>
    <row r="417" ht="15" customHeight="1" s="199">
      <c r="P417" s="81">
        <f>IF(TRIM(B417)&lt;&gt;"",IFERROR(INDEX(DescMap_Label,MATCH(TRIM(B417),DescMap_Description,0)),"UNMATCHED"),"")</f>
        <v/>
      </c>
    </row>
    <row r="418" ht="15" customHeight="1" s="199">
      <c r="P418" s="81">
        <f>IF(TRIM(B418)&lt;&gt;"",IFERROR(INDEX(DescMap_Label,MATCH(TRIM(B418),DescMap_Description,0)),"UNMATCHED"),"")</f>
        <v/>
      </c>
    </row>
    <row r="419" ht="15" customHeight="1" s="199">
      <c r="P419" s="81">
        <f>IF(TRIM(B419)&lt;&gt;"",IFERROR(INDEX(DescMap_Label,MATCH(TRIM(B419),DescMap_Description,0)),"UNMATCHED"),"")</f>
        <v/>
      </c>
    </row>
    <row r="420" ht="15" customHeight="1" s="199">
      <c r="P420" s="81">
        <f>IF(TRIM(B420)&lt;&gt;"",IFERROR(INDEX(DescMap_Label,MATCH(TRIM(B420),DescMap_Description,0)),"UNMATCHED"),"")</f>
        <v/>
      </c>
    </row>
    <row r="421" ht="15" customHeight="1" s="199">
      <c r="P421" s="81">
        <f>IF(TRIM(B421)&lt;&gt;"",IFERROR(INDEX(DescMap_Label,MATCH(TRIM(B421),DescMap_Description,0)),"UNMATCHED"),"")</f>
        <v/>
      </c>
    </row>
    <row r="422" ht="15" customHeight="1" s="199">
      <c r="P422" s="81">
        <f>IF(TRIM(B422)&lt;&gt;"",IFERROR(INDEX(DescMap_Label,MATCH(TRIM(B422),DescMap_Description,0)),"UNMATCHED"),"")</f>
        <v/>
      </c>
    </row>
    <row r="423" ht="15" customHeight="1" s="199">
      <c r="P423" s="81">
        <f>IF(TRIM(B423)&lt;&gt;"",IFERROR(INDEX(DescMap_Label,MATCH(TRIM(B423),DescMap_Description,0)),"UNMATCHED"),"")</f>
        <v/>
      </c>
    </row>
    <row r="424" ht="15" customHeight="1" s="199">
      <c r="P424" s="81">
        <f>IF(TRIM(B424)&lt;&gt;"",IFERROR(INDEX(DescMap_Label,MATCH(TRIM(B424),DescMap_Description,0)),"UNMATCHED"),"")</f>
        <v/>
      </c>
    </row>
    <row r="425" ht="15" customHeight="1" s="199">
      <c r="P425" s="81">
        <f>IF(TRIM(B425)&lt;&gt;"",IFERROR(INDEX(DescMap_Label,MATCH(TRIM(B425),DescMap_Description,0)),"UNMATCHED"),"")</f>
        <v/>
      </c>
    </row>
    <row r="426" ht="15" customHeight="1" s="199">
      <c r="P426" s="81">
        <f>IF(TRIM(B426)&lt;&gt;"",IFERROR(INDEX(DescMap_Label,MATCH(TRIM(B426),DescMap_Description,0)),"UNMATCHED"),"")</f>
        <v/>
      </c>
    </row>
    <row r="427" ht="15" customHeight="1" s="199">
      <c r="P427" s="81">
        <f>IF(TRIM(B427)&lt;&gt;"",IFERROR(INDEX(DescMap_Label,MATCH(TRIM(B427),DescMap_Description,0)),"UNMATCHED"),"")</f>
        <v/>
      </c>
    </row>
    <row r="428" ht="15" customHeight="1" s="199">
      <c r="P428" s="81">
        <f>IF(TRIM(B428)&lt;&gt;"",IFERROR(INDEX(DescMap_Label,MATCH(TRIM(B428),DescMap_Description,0)),"UNMATCHED"),"")</f>
        <v/>
      </c>
    </row>
    <row r="429" ht="15" customHeight="1" s="199">
      <c r="P429" s="81">
        <f>IF(TRIM(B429)&lt;&gt;"",IFERROR(INDEX(DescMap_Label,MATCH(TRIM(B429),DescMap_Description,0)),"UNMATCHED"),"")</f>
        <v/>
      </c>
    </row>
    <row r="430" ht="15" customHeight="1" s="199">
      <c r="P430" s="81">
        <f>IF(TRIM(B430)&lt;&gt;"",IFERROR(INDEX(DescMap_Label,MATCH(TRIM(B430),DescMap_Description,0)),"UNMATCHED"),"")</f>
        <v/>
      </c>
    </row>
    <row r="431" ht="15" customHeight="1" s="199">
      <c r="P431" s="81">
        <f>IF(TRIM(B431)&lt;&gt;"",IFERROR(INDEX(DescMap_Label,MATCH(TRIM(B431),DescMap_Description,0)),"UNMATCHED"),"")</f>
        <v/>
      </c>
    </row>
    <row r="432" ht="15" customHeight="1" s="199">
      <c r="P432" s="81">
        <f>IF(TRIM(B432)&lt;&gt;"",IFERROR(INDEX(DescMap_Label,MATCH(TRIM(B432),DescMap_Description,0)),"UNMATCHED"),"")</f>
        <v/>
      </c>
    </row>
    <row r="433" ht="15" customHeight="1" s="199">
      <c r="P433" s="81">
        <f>IF(TRIM(B433)&lt;&gt;"",IFERROR(INDEX(DescMap_Label,MATCH(TRIM(B433),DescMap_Description,0)),"UNMATCHED"),"")</f>
        <v/>
      </c>
    </row>
    <row r="434" ht="15" customHeight="1" s="199">
      <c r="P434" s="81">
        <f>IF(TRIM(B434)&lt;&gt;"",IFERROR(INDEX(DescMap_Label,MATCH(TRIM(B434),DescMap_Description,0)),"UNMATCHED"),"")</f>
        <v/>
      </c>
    </row>
    <row r="435" ht="15" customHeight="1" s="199">
      <c r="P435" s="81">
        <f>IF(TRIM(B435)&lt;&gt;"",IFERROR(INDEX(DescMap_Label,MATCH(TRIM(B435),DescMap_Description,0)),"UNMATCHED"),"")</f>
        <v/>
      </c>
    </row>
    <row r="436" ht="15" customHeight="1" s="199">
      <c r="P436" s="81">
        <f>IF(TRIM(B436)&lt;&gt;"",IFERROR(INDEX(DescMap_Label,MATCH(TRIM(B436),DescMap_Description,0)),"UNMATCHED"),"")</f>
        <v/>
      </c>
    </row>
    <row r="437" ht="15" customHeight="1" s="199">
      <c r="P437" s="81">
        <f>IF(TRIM(B437)&lt;&gt;"",IFERROR(INDEX(DescMap_Label,MATCH(TRIM(B437),DescMap_Description,0)),"UNMATCHED"),"")</f>
        <v/>
      </c>
    </row>
    <row r="438" ht="15" customHeight="1" s="199">
      <c r="P438" s="81">
        <f>IF(TRIM(B438)&lt;&gt;"",IFERROR(INDEX(DescMap_Label,MATCH(TRIM(B438),DescMap_Description,0)),"UNMATCHED"),"")</f>
        <v/>
      </c>
    </row>
    <row r="439" ht="15" customHeight="1" s="199">
      <c r="P439" s="81">
        <f>IF(TRIM(B439)&lt;&gt;"",IFERROR(INDEX(DescMap_Label,MATCH(TRIM(B439),DescMap_Description,0)),"UNMATCHED"),"")</f>
        <v/>
      </c>
    </row>
    <row r="440" ht="15" customHeight="1" s="199">
      <c r="P440" s="81">
        <f>IF(TRIM(B440)&lt;&gt;"",IFERROR(INDEX(DescMap_Label,MATCH(TRIM(B440),DescMap_Description,0)),"UNMATCHED"),"")</f>
        <v/>
      </c>
    </row>
    <row r="441" ht="15" customHeight="1" s="199">
      <c r="P441" s="81">
        <f>IF(TRIM(B441)&lt;&gt;"",IFERROR(INDEX(DescMap_Label,MATCH(TRIM(B441),DescMap_Description,0)),"UNMATCHED"),"")</f>
        <v/>
      </c>
    </row>
    <row r="442" ht="15" customHeight="1" s="199">
      <c r="P442" s="81">
        <f>IF(TRIM(B442)&lt;&gt;"",IFERROR(INDEX(DescMap_Label,MATCH(TRIM(B442),DescMap_Description,0)),"UNMATCHED"),"")</f>
        <v/>
      </c>
    </row>
    <row r="443" ht="15" customHeight="1" s="199">
      <c r="P443" s="81">
        <f>IF(TRIM(B443)&lt;&gt;"",IFERROR(INDEX(DescMap_Label,MATCH(TRIM(B443),DescMap_Description,0)),"UNMATCHED"),"")</f>
        <v/>
      </c>
    </row>
    <row r="444" ht="15" customHeight="1" s="199">
      <c r="P444" s="81">
        <f>IF(TRIM(B444)&lt;&gt;"",IFERROR(INDEX(DescMap_Label,MATCH(TRIM(B444),DescMap_Description,0)),"UNMATCHED"),"")</f>
        <v/>
      </c>
    </row>
    <row r="445" ht="15" customHeight="1" s="199">
      <c r="P445" s="81">
        <f>IF(TRIM(B445)&lt;&gt;"",IFERROR(INDEX(DescMap_Label,MATCH(TRIM(B445),DescMap_Description,0)),"UNMATCHED"),"")</f>
        <v/>
      </c>
    </row>
    <row r="446" ht="15" customHeight="1" s="199">
      <c r="P446" s="81">
        <f>IF(TRIM(B446)&lt;&gt;"",IFERROR(INDEX(DescMap_Label,MATCH(TRIM(B446),DescMap_Description,0)),"UNMATCHED"),"")</f>
        <v/>
      </c>
    </row>
    <row r="447" ht="15" customHeight="1" s="199">
      <c r="P447" s="81">
        <f>IF(TRIM(B447)&lt;&gt;"",IFERROR(INDEX(DescMap_Label,MATCH(TRIM(B447),DescMap_Description,0)),"UNMATCHED"),"")</f>
        <v/>
      </c>
    </row>
    <row r="448" ht="15" customHeight="1" s="199">
      <c r="P448" s="81">
        <f>IF(TRIM(B448)&lt;&gt;"",IFERROR(INDEX(DescMap_Label,MATCH(TRIM(B448),DescMap_Description,0)),"UNMATCHED"),"")</f>
        <v/>
      </c>
    </row>
    <row r="449" ht="15" customHeight="1" s="199">
      <c r="P449" s="81">
        <f>IF(TRIM(B449)&lt;&gt;"",IFERROR(INDEX(DescMap_Label,MATCH(TRIM(B449),DescMap_Description,0)),"UNMATCHED"),"")</f>
        <v/>
      </c>
    </row>
    <row r="450" ht="15" customHeight="1" s="199">
      <c r="P450" s="81">
        <f>IF(TRIM(B450)&lt;&gt;"",IFERROR(INDEX(DescMap_Label,MATCH(TRIM(B450),DescMap_Description,0)),"UNMATCHED"),"")</f>
        <v/>
      </c>
    </row>
    <row r="451" ht="15" customHeight="1" s="199">
      <c r="P451" s="81">
        <f>IF(TRIM(B451)&lt;&gt;"",IFERROR(INDEX(DescMap_Label,MATCH(TRIM(B451),DescMap_Description,0)),"UNMATCHED"),"")</f>
        <v/>
      </c>
    </row>
    <row r="452" ht="15" customHeight="1" s="199">
      <c r="P452" s="81">
        <f>IF(TRIM(B452)&lt;&gt;"",IFERROR(INDEX(DescMap_Label,MATCH(TRIM(B452),DescMap_Description,0)),"UNMATCHED"),"")</f>
        <v/>
      </c>
    </row>
    <row r="453" ht="15" customHeight="1" s="199">
      <c r="P453" s="81">
        <f>IF(TRIM(B453)&lt;&gt;"",IFERROR(INDEX(DescMap_Label,MATCH(TRIM(B453),DescMap_Description,0)),"UNMATCHED"),"")</f>
        <v/>
      </c>
    </row>
    <row r="454" ht="15" customHeight="1" s="199">
      <c r="P454" s="81">
        <f>IF(TRIM(B454)&lt;&gt;"",IFERROR(INDEX(DescMap_Label,MATCH(TRIM(B454),DescMap_Description,0)),"UNMATCHED"),"")</f>
        <v/>
      </c>
    </row>
    <row r="455" ht="15" customHeight="1" s="199">
      <c r="P455" s="81">
        <f>IF(TRIM(B455)&lt;&gt;"",IFERROR(INDEX(DescMap_Label,MATCH(TRIM(B455),DescMap_Description,0)),"UNMATCHED"),"")</f>
        <v/>
      </c>
    </row>
    <row r="456" ht="15" customHeight="1" s="199">
      <c r="P456" s="81">
        <f>IF(TRIM(B456)&lt;&gt;"",IFERROR(INDEX(DescMap_Label,MATCH(TRIM(B456),DescMap_Description,0)),"UNMATCHED"),"")</f>
        <v/>
      </c>
    </row>
    <row r="457" ht="15" customHeight="1" s="199">
      <c r="P457" s="81">
        <f>IF(TRIM(B457)&lt;&gt;"",IFERROR(INDEX(DescMap_Label,MATCH(TRIM(B457),DescMap_Description,0)),"UNMATCHED"),"")</f>
        <v/>
      </c>
    </row>
    <row r="458" ht="15" customHeight="1" s="199">
      <c r="P458" s="81">
        <f>IF(TRIM(B458)&lt;&gt;"",IFERROR(INDEX(DescMap_Label,MATCH(TRIM(B458),DescMap_Description,0)),"UNMATCHED"),"")</f>
        <v/>
      </c>
    </row>
    <row r="459" ht="15" customHeight="1" s="199">
      <c r="P459" s="81">
        <f>IF(TRIM(B459)&lt;&gt;"",IFERROR(INDEX(DescMap_Label,MATCH(TRIM(B459),DescMap_Description,0)),"UNMATCHED"),"")</f>
        <v/>
      </c>
    </row>
    <row r="460" ht="15" customHeight="1" s="199">
      <c r="P460" s="81">
        <f>IF(TRIM(B460)&lt;&gt;"",IFERROR(INDEX(DescMap_Label,MATCH(TRIM(B460),DescMap_Description,0)),"UNMATCHED"),"")</f>
        <v/>
      </c>
    </row>
    <row r="461" ht="15" customHeight="1" s="199">
      <c r="P461" s="81">
        <f>IF(TRIM(B461)&lt;&gt;"",IFERROR(INDEX(DescMap_Label,MATCH(TRIM(B461),DescMap_Description,0)),"UNMATCHED"),"")</f>
        <v/>
      </c>
    </row>
    <row r="462" ht="15" customHeight="1" s="199">
      <c r="P462" s="81">
        <f>IF(TRIM(B462)&lt;&gt;"",IFERROR(INDEX(DescMap_Label,MATCH(TRIM(B462),DescMap_Description,0)),"UNMATCHED"),"")</f>
        <v/>
      </c>
    </row>
    <row r="463" ht="15" customHeight="1" s="199">
      <c r="P463" s="81">
        <f>IF(TRIM(B463)&lt;&gt;"",IFERROR(INDEX(DescMap_Label,MATCH(TRIM(B463),DescMap_Description,0)),"UNMATCHED"),"")</f>
        <v/>
      </c>
    </row>
    <row r="464" ht="15" customHeight="1" s="199">
      <c r="P464" s="81">
        <f>IF(TRIM(B464)&lt;&gt;"",IFERROR(INDEX(DescMap_Label,MATCH(TRIM(B464),DescMap_Description,0)),"UNMATCHED"),"")</f>
        <v/>
      </c>
    </row>
    <row r="465" ht="15" customHeight="1" s="199">
      <c r="P465" s="81">
        <f>IF(TRIM(B465)&lt;&gt;"",IFERROR(INDEX(DescMap_Label,MATCH(TRIM(B465),DescMap_Description,0)),"UNMATCHED"),"")</f>
        <v/>
      </c>
    </row>
    <row r="466" ht="15" customHeight="1" s="199">
      <c r="P466" s="81">
        <f>IF(TRIM(B466)&lt;&gt;"",IFERROR(INDEX(DescMap_Label,MATCH(TRIM(B466),DescMap_Description,0)),"UNMATCHED"),"")</f>
        <v/>
      </c>
    </row>
    <row r="467" ht="15" customHeight="1" s="199">
      <c r="P467" s="81">
        <f>IF(TRIM(B467)&lt;&gt;"",IFERROR(INDEX(DescMap_Label,MATCH(TRIM(B467),DescMap_Description,0)),"UNMATCHED"),"")</f>
        <v/>
      </c>
    </row>
    <row r="468" ht="15" customHeight="1" s="199">
      <c r="P468" s="81">
        <f>IF(TRIM(B468)&lt;&gt;"",IFERROR(INDEX(DescMap_Label,MATCH(TRIM(B468),DescMap_Description,0)),"UNMATCHED"),"")</f>
        <v/>
      </c>
    </row>
    <row r="469" ht="15" customHeight="1" s="199">
      <c r="P469" s="81">
        <f>IF(TRIM(B469)&lt;&gt;"",IFERROR(INDEX(DescMap_Label,MATCH(TRIM(B469),DescMap_Description,0)),"UNMATCHED"),"")</f>
        <v/>
      </c>
    </row>
    <row r="470" ht="15" customHeight="1" s="199">
      <c r="P470" s="81">
        <f>IF(TRIM(B470)&lt;&gt;"",IFERROR(INDEX(DescMap_Label,MATCH(TRIM(B470),DescMap_Description,0)),"UNMATCHED"),"")</f>
        <v/>
      </c>
    </row>
    <row r="471" ht="15" customHeight="1" s="199">
      <c r="P471" s="81">
        <f>IF(TRIM(B471)&lt;&gt;"",IFERROR(INDEX(DescMap_Label,MATCH(TRIM(B471),DescMap_Description,0)),"UNMATCHED"),"")</f>
        <v/>
      </c>
    </row>
    <row r="472" ht="15" customHeight="1" s="199">
      <c r="P472" s="81">
        <f>IF(TRIM(B472)&lt;&gt;"",IFERROR(INDEX(DescMap_Label,MATCH(TRIM(B472),DescMap_Description,0)),"UNMATCHED"),"")</f>
        <v/>
      </c>
    </row>
    <row r="473" ht="15" customHeight="1" s="199">
      <c r="P473" s="81">
        <f>IF(TRIM(B473)&lt;&gt;"",IFERROR(INDEX(DescMap_Label,MATCH(TRIM(B473),DescMap_Description,0)),"UNMATCHED"),"")</f>
        <v/>
      </c>
    </row>
    <row r="474" ht="15" customHeight="1" s="199">
      <c r="P474" s="81">
        <f>IF(TRIM(B474)&lt;&gt;"",IFERROR(INDEX(DescMap_Label,MATCH(TRIM(B474),DescMap_Description,0)),"UNMATCHED"),"")</f>
        <v/>
      </c>
    </row>
    <row r="475" ht="15" customHeight="1" s="199">
      <c r="P475" s="81">
        <f>IF(TRIM(B475)&lt;&gt;"",IFERROR(INDEX(DescMap_Label,MATCH(TRIM(B475),DescMap_Description,0)),"UNMATCHED"),"")</f>
        <v/>
      </c>
    </row>
    <row r="476" ht="15" customHeight="1" s="199">
      <c r="P476" s="81">
        <f>IF(TRIM(B476)&lt;&gt;"",IFERROR(INDEX(DescMap_Label,MATCH(TRIM(B476),DescMap_Description,0)),"UNMATCHED"),"")</f>
        <v/>
      </c>
    </row>
    <row r="477" ht="15" customHeight="1" s="199">
      <c r="P477" s="81">
        <f>IF(TRIM(B477)&lt;&gt;"",IFERROR(INDEX(DescMap_Label,MATCH(TRIM(B477),DescMap_Description,0)),"UNMATCHED"),"")</f>
        <v/>
      </c>
    </row>
    <row r="478" ht="15" customHeight="1" s="199">
      <c r="P478" s="81">
        <f>IF(TRIM(B478)&lt;&gt;"",IFERROR(INDEX(DescMap_Label,MATCH(TRIM(B478),DescMap_Description,0)),"UNMATCHED"),"")</f>
        <v/>
      </c>
    </row>
    <row r="479" ht="15" customHeight="1" s="199">
      <c r="P479" s="81">
        <f>IF(TRIM(B479)&lt;&gt;"",IFERROR(INDEX(DescMap_Label,MATCH(TRIM(B479),DescMap_Description,0)),"UNMATCHED"),"")</f>
        <v/>
      </c>
    </row>
    <row r="480" ht="15" customHeight="1" s="199">
      <c r="P480" s="81">
        <f>IF(TRIM(B480)&lt;&gt;"",IFERROR(INDEX(DescMap_Label,MATCH(TRIM(B480),DescMap_Description,0)),"UNMATCHED"),"")</f>
        <v/>
      </c>
    </row>
    <row r="481" ht="15" customHeight="1" s="199">
      <c r="P481" s="81">
        <f>IF(TRIM(B481)&lt;&gt;"",IFERROR(INDEX(DescMap_Label,MATCH(TRIM(B481),DescMap_Description,0)),"UNMATCHED"),"")</f>
        <v/>
      </c>
    </row>
    <row r="482" ht="15" customHeight="1" s="199">
      <c r="P482" s="81">
        <f>IF(TRIM(B482)&lt;&gt;"",IFERROR(INDEX(DescMap_Label,MATCH(TRIM(B482),DescMap_Description,0)),"UNMATCHED"),"")</f>
        <v/>
      </c>
    </row>
    <row r="483" ht="15" customHeight="1" s="199">
      <c r="P483" s="81">
        <f>IF(TRIM(B483)&lt;&gt;"",IFERROR(INDEX(DescMap_Label,MATCH(TRIM(B483),DescMap_Description,0)),"UNMATCHED"),"")</f>
        <v/>
      </c>
    </row>
    <row r="484" ht="15" customHeight="1" s="199">
      <c r="P484" s="81">
        <f>IF(TRIM(B484)&lt;&gt;"",IFERROR(INDEX(DescMap_Label,MATCH(TRIM(B484),DescMap_Description,0)),"UNMATCHED"),"")</f>
        <v/>
      </c>
    </row>
    <row r="485" ht="15" customHeight="1" s="199">
      <c r="P485" s="81">
        <f>IF(TRIM(B485)&lt;&gt;"",IFERROR(INDEX(DescMap_Label,MATCH(TRIM(B485),DescMap_Description,0)),"UNMATCHED"),"")</f>
        <v/>
      </c>
    </row>
    <row r="486" ht="15" customHeight="1" s="199">
      <c r="P486" s="81">
        <f>IF(TRIM(B486)&lt;&gt;"",IFERROR(INDEX(DescMap_Label,MATCH(TRIM(B486),DescMap_Description,0)),"UNMATCHED"),"")</f>
        <v/>
      </c>
    </row>
    <row r="487" ht="15" customHeight="1" s="199">
      <c r="P487" s="81">
        <f>IF(TRIM(B487)&lt;&gt;"",IFERROR(INDEX(DescMap_Label,MATCH(TRIM(B487),DescMap_Description,0)),"UNMATCHED"),"")</f>
        <v/>
      </c>
    </row>
    <row r="488" ht="15" customHeight="1" s="199">
      <c r="P488" s="81">
        <f>IF(TRIM(B488)&lt;&gt;"",IFERROR(INDEX(DescMap_Label,MATCH(TRIM(B488),DescMap_Description,0)),"UNMATCHED"),"")</f>
        <v/>
      </c>
    </row>
    <row r="489" ht="15" customHeight="1" s="199">
      <c r="P489" s="81">
        <f>IF(TRIM(B489)&lt;&gt;"",IFERROR(INDEX(DescMap_Label,MATCH(TRIM(B489),DescMap_Description,0)),"UNMATCHED"),"")</f>
        <v/>
      </c>
    </row>
    <row r="490" ht="15" customHeight="1" s="199">
      <c r="P490" s="81">
        <f>IF(TRIM(B490)&lt;&gt;"",IFERROR(INDEX(DescMap_Label,MATCH(TRIM(B490),DescMap_Description,0)),"UNMATCHED"),"")</f>
        <v/>
      </c>
    </row>
    <row r="491" ht="15" customHeight="1" s="199">
      <c r="P491" s="81">
        <f>IF(TRIM(B491)&lt;&gt;"",IFERROR(INDEX(DescMap_Label,MATCH(TRIM(B491),DescMap_Description,0)),"UNMATCHED"),"")</f>
        <v/>
      </c>
    </row>
    <row r="492" ht="15" customHeight="1" s="199">
      <c r="P492" s="81">
        <f>IF(TRIM(B492)&lt;&gt;"",IFERROR(INDEX(DescMap_Label,MATCH(TRIM(B492),DescMap_Description,0)),"UNMATCHED"),"")</f>
        <v/>
      </c>
    </row>
    <row r="493" ht="15" customHeight="1" s="199">
      <c r="P493" s="81">
        <f>IF(TRIM(B493)&lt;&gt;"",IFERROR(INDEX(DescMap_Label,MATCH(TRIM(B493),DescMap_Description,0)),"UNMATCHED"),"")</f>
        <v/>
      </c>
    </row>
    <row r="494" ht="15" customHeight="1" s="199">
      <c r="P494" s="81">
        <f>IF(TRIM(B494)&lt;&gt;"",IFERROR(INDEX(DescMap_Label,MATCH(TRIM(B494),DescMap_Description,0)),"UNMATCHED"),"")</f>
        <v/>
      </c>
    </row>
    <row r="495" ht="15" customHeight="1" s="199">
      <c r="P495" s="81">
        <f>IF(TRIM(B495)&lt;&gt;"",IFERROR(INDEX(DescMap_Label,MATCH(TRIM(B495),DescMap_Description,0)),"UNMATCHED"),"")</f>
        <v/>
      </c>
    </row>
    <row r="496" ht="15" customHeight="1" s="199">
      <c r="P496" s="81">
        <f>IF(TRIM(B496)&lt;&gt;"",IFERROR(INDEX(DescMap_Label,MATCH(TRIM(B496),DescMap_Description,0)),"UNMATCHED"),"")</f>
        <v/>
      </c>
    </row>
    <row r="497" ht="15" customHeight="1" s="199">
      <c r="P497" s="81">
        <f>IF(TRIM(B497)&lt;&gt;"",IFERROR(INDEX(DescMap_Label,MATCH(TRIM(B497),DescMap_Description,0)),"UNMATCHED"),"")</f>
        <v/>
      </c>
    </row>
    <row r="498" ht="15" customHeight="1" s="199">
      <c r="P498" s="81">
        <f>IF(TRIM(B498)&lt;&gt;"",IFERROR(INDEX(DescMap_Label,MATCH(TRIM(B498),DescMap_Description,0)),"UNMATCHED"),"")</f>
        <v/>
      </c>
    </row>
    <row r="499" ht="15" customHeight="1" s="199">
      <c r="P499" s="81">
        <f>IF(TRIM(B499)&lt;&gt;"",IFERROR(INDEX(DescMap_Label,MATCH(TRIM(B499),DescMap_Description,0)),"UNMATCHED"),"")</f>
        <v/>
      </c>
    </row>
    <row r="500" ht="15" customHeight="1" s="199">
      <c r="P500" s="81">
        <f>IF(TRIM(B500)&lt;&gt;"",IFERROR(INDEX(DescMap_Label,MATCH(TRIM(B500),DescMap_Description,0)),"UNMATCHED"),"")</f>
        <v/>
      </c>
    </row>
    <row r="501" ht="15" customHeight="1" s="199">
      <c r="P501" s="81">
        <f>IF(TRIM(B501)&lt;&gt;"",IFERROR(INDEX(DescMap_Label,MATCH(TRIM(B501),DescMap_Description,0)),"UNMATCHED"),"")</f>
        <v/>
      </c>
    </row>
    <row r="502" ht="15" customHeight="1" s="199">
      <c r="P502" s="81">
        <f>IF(TRIM(B502)&lt;&gt;"",IFERROR(INDEX(DescMap_Label,MATCH(TRIM(B502),DescMap_Description,0)),"UNMATCHED"),"")</f>
        <v/>
      </c>
    </row>
    <row r="503" ht="15" customHeight="1" s="199">
      <c r="P503" s="81">
        <f>IF(TRIM(B503)&lt;&gt;"",IFERROR(INDEX(DescMap_Label,MATCH(TRIM(B503),DescMap_Description,0)),"UNMATCHED"),"")</f>
        <v/>
      </c>
    </row>
    <row r="504" ht="15" customHeight="1" s="199">
      <c r="P504" s="81">
        <f>IF(TRIM(B504)&lt;&gt;"",IFERROR(INDEX(DescMap_Label,MATCH(TRIM(B504),DescMap_Description,0)),"UNMATCHED"),"")</f>
        <v/>
      </c>
    </row>
    <row r="505" ht="15" customHeight="1" s="199">
      <c r="P505" s="81">
        <f>IF(TRIM(B505)&lt;&gt;"",IFERROR(INDEX(DescMap_Label,MATCH(TRIM(B505),DescMap_Description,0)),"UNMATCHED"),"")</f>
        <v/>
      </c>
    </row>
    <row r="506" ht="15" customHeight="1" s="199">
      <c r="P506" s="81">
        <f>IF(TRIM(B506)&lt;&gt;"",IFERROR(INDEX(DescMap_Label,MATCH(TRIM(B506),DescMap_Description,0)),"UNMATCHED"),"")</f>
        <v/>
      </c>
    </row>
    <row r="507" ht="15" customHeight="1" s="199">
      <c r="P507" s="81">
        <f>IF(TRIM(B507)&lt;&gt;"",IFERROR(INDEX(DescMap_Label,MATCH(TRIM(B507),DescMap_Description,0)),"UNMATCHED"),"")</f>
        <v/>
      </c>
    </row>
    <row r="508" ht="15" customHeight="1" s="199">
      <c r="P508" s="81">
        <f>IF(TRIM(B508)&lt;&gt;"",IFERROR(INDEX(DescMap_Label,MATCH(TRIM(B508),DescMap_Description,0)),"UNMATCHED"),"")</f>
        <v/>
      </c>
    </row>
    <row r="509" ht="15" customHeight="1" s="199">
      <c r="P509" s="81">
        <f>IF(TRIM(B509)&lt;&gt;"",IFERROR(INDEX(DescMap_Label,MATCH(TRIM(B509),DescMap_Description,0)),"UNMATCHED"),"")</f>
        <v/>
      </c>
    </row>
    <row r="510" ht="15" customHeight="1" s="199">
      <c r="P510" s="81">
        <f>IF(TRIM(B510)&lt;&gt;"",IFERROR(INDEX(DescMap_Label,MATCH(TRIM(B510),DescMap_Description,0)),"UNMATCHED"),"")</f>
        <v/>
      </c>
    </row>
    <row r="511" ht="15" customHeight="1" s="199">
      <c r="P511" s="81">
        <f>IF(TRIM(B511)&lt;&gt;"",IFERROR(INDEX(DescMap_Label,MATCH(TRIM(B511),DescMap_Description,0)),"UNMATCHED"),"")</f>
        <v/>
      </c>
    </row>
  </sheetData>
  <mergeCells count="8">
    <mergeCell ref="A7:O7"/>
    <mergeCell ref="A1:P1"/>
    <mergeCell ref="A5:O5"/>
    <mergeCell ref="A8:O8"/>
    <mergeCell ref="A6:O6"/>
    <mergeCell ref="A9:O9"/>
    <mergeCell ref="A4:O4"/>
    <mergeCell ref="A3:O3"/>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Z69"/>
  <sheetViews>
    <sheetView zoomScaleNormal="100" workbookViewId="0">
      <pane xSplit="2" ySplit="5" topLeftCell="C23" activePane="bottomRight" state="frozen"/>
      <selection pane="topRight" activeCell="C1" sqref="C1"/>
      <selection pane="bottomLeft" activeCell="A6" sqref="A6"/>
      <selection pane="bottomRight" activeCell="B22" sqref="B22"/>
    </sheetView>
  </sheetViews>
  <sheetFormatPr baseColWidth="8" defaultColWidth="8.7109375" defaultRowHeight="15"/>
  <cols>
    <col width="14" customWidth="1" style="199" min="1" max="1"/>
    <col width="36" customWidth="1" style="199" min="2" max="2"/>
    <col width="8" customWidth="1" style="199" min="3" max="3"/>
    <col width="28" customWidth="1" style="199" min="4" max="4"/>
    <col width="50" customWidth="1" style="199" min="5" max="5"/>
    <col width="11" customWidth="1" style="199" min="6" max="17"/>
    <col width="14" customWidth="1" style="199" min="18" max="18"/>
  </cols>
  <sheetData>
    <row r="1" ht="25.5" customHeight="1" s="199">
      <c r="A1" s="189" t="inlineStr">
        <is>
          <t>T12 Raw Data  —  auto-calculated from T12 Input descriptions</t>
        </is>
      </c>
      <c r="AZ1" t="inlineStr">
        <is>
          <t>Description→Label rollup with monthly trending</t>
        </is>
      </c>
    </row>
    <row r="2" ht="18" customHeight="1" s="199">
      <c r="A2" s="188" t="inlineStr">
        <is>
          <t>Matches T12 Input col B descriptions against Description_Map. UNMATCHED rows in T12 Input col P are not included here. Add missing descriptions to Description_Map tab to capture them.</t>
        </is>
      </c>
      <c r="AZ2" t="inlineStr">
        <is>
          <t>aggregator</t>
        </is>
      </c>
    </row>
    <row r="3" ht="6" customHeight="1" s="199">
      <c r="AZ3" t="inlineStr">
        <is>
          <t>visible</t>
        </is>
      </c>
    </row>
    <row r="4" ht="27.75" customHeight="1" s="199">
      <c r="A4" s="10" t="inlineStr">
        <is>
          <t>Section</t>
        </is>
      </c>
      <c r="B4" s="10" t="inlineStr">
        <is>
          <t>Label</t>
        </is>
      </c>
      <c r="C4" s="10" t="inlineStr">
        <is>
          <t>Care</t>
        </is>
      </c>
      <c r="D4" s="10" t="inlineStr">
        <is>
          <t>Flag</t>
        </is>
      </c>
      <c r="E4" s="10" t="inlineStr">
        <is>
          <t>Matched Descriptions</t>
        </is>
      </c>
      <c r="F4" s="10" t="inlineStr">
        <is>
          <t>M01</t>
        </is>
      </c>
      <c r="G4" s="10" t="inlineStr">
        <is>
          <t>M02</t>
        </is>
      </c>
      <c r="H4" s="10" t="inlineStr">
        <is>
          <t>M03</t>
        </is>
      </c>
      <c r="I4" s="10" t="inlineStr">
        <is>
          <t>M04</t>
        </is>
      </c>
      <c r="J4" s="10" t="inlineStr">
        <is>
          <t>M05</t>
        </is>
      </c>
      <c r="K4" s="10" t="inlineStr">
        <is>
          <t>M06</t>
        </is>
      </c>
      <c r="L4" s="10" t="inlineStr">
        <is>
          <t>M07</t>
        </is>
      </c>
      <c r="M4" s="10" t="inlineStr">
        <is>
          <t>M08</t>
        </is>
      </c>
      <c r="N4" s="10" t="inlineStr">
        <is>
          <t>M09</t>
        </is>
      </c>
      <c r="O4" s="10" t="inlineStr">
        <is>
          <t>M10</t>
        </is>
      </c>
      <c r="P4" s="10" t="inlineStr">
        <is>
          <t>M11</t>
        </is>
      </c>
      <c r="Q4" s="10" t="inlineStr">
        <is>
          <t>M12</t>
        </is>
      </c>
      <c r="R4" s="23" t="inlineStr">
        <is>
          <t>T12_Total</t>
        </is>
      </c>
      <c r="AZ4" t="inlineStr">
        <is>
          <t>v0.2.7</t>
        </is>
      </c>
    </row>
    <row r="5" ht="6" customHeight="1" s="199"/>
    <row r="6" ht="15.75" customHeight="1" s="199">
      <c r="A6" s="82" t="inlineStr">
        <is>
          <t>Revenue</t>
        </is>
      </c>
      <c r="B6" s="83" t="inlineStr">
        <is>
          <t>Base rent — IL</t>
        </is>
      </c>
      <c r="C6" s="84" t="inlineStr">
        <is>
          <t>IL</t>
        </is>
      </c>
      <c r="D6" s="85" t="n"/>
      <c r="E6" s="86" t="inlineStr">
        <is>
          <t>IL Base Rate Income | Independent Living Base Rate</t>
        </is>
      </c>
      <c r="F6" s="24">
        <f>SUMIF(T12_Calc!$N$1:$N$505,"Base rent — IL",T12_Calc!$B$1:$B$505)</f>
        <v/>
      </c>
      <c r="G6" s="24">
        <f>SUMIF(T12_Calc!$N$1:$N$505,"Base rent — IL",T12_Calc!$C$1:$C$505)</f>
        <v/>
      </c>
      <c r="H6" s="24">
        <f>SUMIF(T12_Calc!$N$1:$N$505,"Base rent — IL",T12_Calc!$D$1:$D$505)</f>
        <v/>
      </c>
      <c r="I6" s="24">
        <f>SUMIF(T12_Calc!$N$1:$N$505,"Base rent — IL",T12_Calc!$E$1:$E$505)</f>
        <v/>
      </c>
      <c r="J6" s="24">
        <f>SUMIF(T12_Calc!$N$1:$N$505,"Base rent — IL",T12_Calc!$F$1:$F$505)</f>
        <v/>
      </c>
      <c r="K6" s="24">
        <f>SUMIF(T12_Calc!$N$1:$N$505,"Base rent — IL",T12_Calc!$G$1:$G$505)</f>
        <v/>
      </c>
      <c r="L6" s="24">
        <f>SUMIF(T12_Calc!$N$1:$N$505,"Base rent — IL",T12_Calc!$H$1:$H$505)</f>
        <v/>
      </c>
      <c r="M6" s="24">
        <f>SUMIF(T12_Calc!$N$1:$N$505,"Base rent — IL",T12_Calc!$I$1:$I$505)</f>
        <v/>
      </c>
      <c r="N6" s="24">
        <f>SUMIF(T12_Calc!$N$1:$N$505,"Base rent — IL",T12_Calc!$J$1:$J$505)</f>
        <v/>
      </c>
      <c r="O6" s="24">
        <f>SUMIF(T12_Calc!$N$1:$N$505,"Base rent — IL",T12_Calc!$K$1:$K$505)</f>
        <v/>
      </c>
      <c r="P6" s="24">
        <f>SUMIF(T12_Calc!$N$1:$N$505,"Base rent — IL",T12_Calc!$L$1:$L$505)</f>
        <v/>
      </c>
      <c r="Q6" s="24">
        <f>SUMIF(T12_Calc!$N$1:$N$505,"Base rent — IL",T12_Calc!$M$1:$M$505)</f>
        <v/>
      </c>
      <c r="R6" s="87">
        <f>SUM(F6:Q6)</f>
        <v/>
      </c>
    </row>
    <row r="7" ht="15.75" customHeight="1" s="199">
      <c r="A7" s="82" t="inlineStr">
        <is>
          <t>Revenue</t>
        </is>
      </c>
      <c r="B7" s="83" t="inlineStr">
        <is>
          <t>Base rent — AL</t>
        </is>
      </c>
      <c r="C7" s="84" t="inlineStr">
        <is>
          <t>AL</t>
        </is>
      </c>
      <c r="D7" s="85" t="n"/>
      <c r="E7" s="86" t="inlineStr">
        <is>
          <t>AL Base Rate Income | AL Base Rate | Assisted Living Base Rate | Assisted Living Revenue</t>
        </is>
      </c>
      <c r="F7" s="24">
        <f>SUMIF(T12_Calc!$N$1:$N$505,"Base rent — AL",T12_Calc!$B$1:$B$505)</f>
        <v/>
      </c>
      <c r="G7" s="24">
        <f>SUMIF(T12_Calc!$N$1:$N$505,"Base rent — AL",T12_Calc!$C$1:$C$505)</f>
        <v/>
      </c>
      <c r="H7" s="24">
        <f>SUMIF(T12_Calc!$N$1:$N$505,"Base rent — AL",T12_Calc!$D$1:$D$505)</f>
        <v/>
      </c>
      <c r="I7" s="24">
        <f>SUMIF(T12_Calc!$N$1:$N$505,"Base rent — AL",T12_Calc!$E$1:$E$505)</f>
        <v/>
      </c>
      <c r="J7" s="24">
        <f>SUMIF(T12_Calc!$N$1:$N$505,"Base rent — AL",T12_Calc!$F$1:$F$505)</f>
        <v/>
      </c>
      <c r="K7" s="24">
        <f>SUMIF(T12_Calc!$N$1:$N$505,"Base rent — AL",T12_Calc!$G$1:$G$505)</f>
        <v/>
      </c>
      <c r="L7" s="24">
        <f>SUMIF(T12_Calc!$N$1:$N$505,"Base rent — AL",T12_Calc!$H$1:$H$505)</f>
        <v/>
      </c>
      <c r="M7" s="24">
        <f>SUMIF(T12_Calc!$N$1:$N$505,"Base rent — AL",T12_Calc!$I$1:$I$505)</f>
        <v/>
      </c>
      <c r="N7" s="24">
        <f>SUMIF(T12_Calc!$N$1:$N$505,"Base rent — AL",T12_Calc!$J$1:$J$505)</f>
        <v/>
      </c>
      <c r="O7" s="24">
        <f>SUMIF(T12_Calc!$N$1:$N$505,"Base rent — AL",T12_Calc!$K$1:$K$505)</f>
        <v/>
      </c>
      <c r="P7" s="24">
        <f>SUMIF(T12_Calc!$N$1:$N$505,"Base rent — AL",T12_Calc!$L$1:$L$505)</f>
        <v/>
      </c>
      <c r="Q7" s="24">
        <f>SUMIF(T12_Calc!$N$1:$N$505,"Base rent — AL",T12_Calc!$M$1:$M$505)</f>
        <v/>
      </c>
      <c r="R7" s="87">
        <f>SUM(F7:Q7)</f>
        <v/>
      </c>
    </row>
    <row r="8" ht="15.75" customHeight="1" s="199">
      <c r="A8" s="82" t="inlineStr">
        <is>
          <t>Revenue</t>
        </is>
      </c>
      <c r="B8" s="83" t="inlineStr">
        <is>
          <t>Base rent — MC</t>
        </is>
      </c>
      <c r="C8" s="84" t="inlineStr">
        <is>
          <t>MC</t>
        </is>
      </c>
      <c r="D8" s="85" t="n"/>
      <c r="E8" s="86" t="inlineStr">
        <is>
          <t>ALZ Base Rate Income | Memory Care Base Rate Income | MC Base Rate Income | Memory Care Revenue</t>
        </is>
      </c>
      <c r="F8" s="24">
        <f>SUMIF(T12_Calc!$N$1:$N$505,"Base rent — MC",T12_Calc!$B$1:$B$505)</f>
        <v/>
      </c>
      <c r="G8" s="24">
        <f>SUMIF(T12_Calc!$N$1:$N$505,"Base rent — MC",T12_Calc!$C$1:$C$505)</f>
        <v/>
      </c>
      <c r="H8" s="24">
        <f>SUMIF(T12_Calc!$N$1:$N$505,"Base rent — MC",T12_Calc!$D$1:$D$505)</f>
        <v/>
      </c>
      <c r="I8" s="24">
        <f>SUMIF(T12_Calc!$N$1:$N$505,"Base rent — MC",T12_Calc!$E$1:$E$505)</f>
        <v/>
      </c>
      <c r="J8" s="24">
        <f>SUMIF(T12_Calc!$N$1:$N$505,"Base rent — MC",T12_Calc!$F$1:$F$505)</f>
        <v/>
      </c>
      <c r="K8" s="24">
        <f>SUMIF(T12_Calc!$N$1:$N$505,"Base rent — MC",T12_Calc!$G$1:$G$505)</f>
        <v/>
      </c>
      <c r="L8" s="24">
        <f>SUMIF(T12_Calc!$N$1:$N$505,"Base rent — MC",T12_Calc!$H$1:$H$505)</f>
        <v/>
      </c>
      <c r="M8" s="24">
        <f>SUMIF(T12_Calc!$N$1:$N$505,"Base rent — MC",T12_Calc!$I$1:$I$505)</f>
        <v/>
      </c>
      <c r="N8" s="24">
        <f>SUMIF(T12_Calc!$N$1:$N$505,"Base rent — MC",T12_Calc!$J$1:$J$505)</f>
        <v/>
      </c>
      <c r="O8" s="24">
        <f>SUMIF(T12_Calc!$N$1:$N$505,"Base rent — MC",T12_Calc!$K$1:$K$505)</f>
        <v/>
      </c>
      <c r="P8" s="24">
        <f>SUMIF(T12_Calc!$N$1:$N$505,"Base rent — MC",T12_Calc!$L$1:$L$505)</f>
        <v/>
      </c>
      <c r="Q8" s="24">
        <f>SUMIF(T12_Calc!$N$1:$N$505,"Base rent — MC",T12_Calc!$M$1:$M$505)</f>
        <v/>
      </c>
      <c r="R8" s="87">
        <f>SUM(F8:Q8)</f>
        <v/>
      </c>
    </row>
    <row r="9" ht="15.75" customHeight="1" s="199">
      <c r="A9" s="82" t="inlineStr">
        <is>
          <t>Revenue</t>
        </is>
      </c>
      <c r="B9" s="83" t="inlineStr">
        <is>
          <t>LOC revenue — IL</t>
        </is>
      </c>
      <c r="C9" s="84" t="inlineStr">
        <is>
          <t>IL</t>
        </is>
      </c>
      <c r="D9" s="85" t="n"/>
      <c r="E9" s="86" t="inlineStr">
        <is>
          <t>IL Care Rate Income | IL Level of Care Income</t>
        </is>
      </c>
      <c r="F9" s="24">
        <f>SUMIF(T12_Calc!$N$1:$N$505,"LOC revenue — IL",T12_Calc!$B$1:$B$505)</f>
        <v/>
      </c>
      <c r="G9" s="24">
        <f>SUMIF(T12_Calc!$N$1:$N$505,"LOC revenue — IL",T12_Calc!$C$1:$C$505)</f>
        <v/>
      </c>
      <c r="H9" s="24">
        <f>SUMIF(T12_Calc!$N$1:$N$505,"LOC revenue — IL",T12_Calc!$D$1:$D$505)</f>
        <v/>
      </c>
      <c r="I9" s="24">
        <f>SUMIF(T12_Calc!$N$1:$N$505,"LOC revenue — IL",T12_Calc!$E$1:$E$505)</f>
        <v/>
      </c>
      <c r="J9" s="24">
        <f>SUMIF(T12_Calc!$N$1:$N$505,"LOC revenue — IL",T12_Calc!$F$1:$F$505)</f>
        <v/>
      </c>
      <c r="K9" s="24">
        <f>SUMIF(T12_Calc!$N$1:$N$505,"LOC revenue — IL",T12_Calc!$G$1:$G$505)</f>
        <v/>
      </c>
      <c r="L9" s="24">
        <f>SUMIF(T12_Calc!$N$1:$N$505,"LOC revenue — IL",T12_Calc!$H$1:$H$505)</f>
        <v/>
      </c>
      <c r="M9" s="24">
        <f>SUMIF(T12_Calc!$N$1:$N$505,"LOC revenue — IL",T12_Calc!$I$1:$I$505)</f>
        <v/>
      </c>
      <c r="N9" s="24">
        <f>SUMIF(T12_Calc!$N$1:$N$505,"LOC revenue — IL",T12_Calc!$J$1:$J$505)</f>
        <v/>
      </c>
      <c r="O9" s="24">
        <f>SUMIF(T12_Calc!$N$1:$N$505,"LOC revenue — IL",T12_Calc!$K$1:$K$505)</f>
        <v/>
      </c>
      <c r="P9" s="24">
        <f>SUMIF(T12_Calc!$N$1:$N$505,"LOC revenue — IL",T12_Calc!$L$1:$L$505)</f>
        <v/>
      </c>
      <c r="Q9" s="24">
        <f>SUMIF(T12_Calc!$N$1:$N$505,"LOC revenue — IL",T12_Calc!$M$1:$M$505)</f>
        <v/>
      </c>
      <c r="R9" s="87">
        <f>SUM(F9:Q9)</f>
        <v/>
      </c>
    </row>
    <row r="10" ht="15.75" customHeight="1" s="199">
      <c r="A10" s="82" t="inlineStr">
        <is>
          <t>Revenue</t>
        </is>
      </c>
      <c r="B10" s="83" t="inlineStr">
        <is>
          <t>LOC revenue — AL</t>
        </is>
      </c>
      <c r="C10" s="84" t="inlineStr">
        <is>
          <t>AL</t>
        </is>
      </c>
      <c r="D10" s="85" t="n"/>
      <c r="E10" s="86" t="inlineStr">
        <is>
          <t>AL Care Rate Income | AL Level of Care Income | AL Care Level Income</t>
        </is>
      </c>
      <c r="F10" s="24">
        <f>SUMIF(T12_Calc!$N$1:$N$505,"LOC revenue — AL",T12_Calc!$B$1:$B$505)</f>
        <v/>
      </c>
      <c r="G10" s="24">
        <f>SUMIF(T12_Calc!$N$1:$N$505,"LOC revenue — AL",T12_Calc!$C$1:$C$505)</f>
        <v/>
      </c>
      <c r="H10" s="24">
        <f>SUMIF(T12_Calc!$N$1:$N$505,"LOC revenue — AL",T12_Calc!$D$1:$D$505)</f>
        <v/>
      </c>
      <c r="I10" s="24">
        <f>SUMIF(T12_Calc!$N$1:$N$505,"LOC revenue — AL",T12_Calc!$E$1:$E$505)</f>
        <v/>
      </c>
      <c r="J10" s="24">
        <f>SUMIF(T12_Calc!$N$1:$N$505,"LOC revenue — AL",T12_Calc!$F$1:$F$505)</f>
        <v/>
      </c>
      <c r="K10" s="24">
        <f>SUMIF(T12_Calc!$N$1:$N$505,"LOC revenue — AL",T12_Calc!$G$1:$G$505)</f>
        <v/>
      </c>
      <c r="L10" s="24">
        <f>SUMIF(T12_Calc!$N$1:$N$505,"LOC revenue — AL",T12_Calc!$H$1:$H$505)</f>
        <v/>
      </c>
      <c r="M10" s="24">
        <f>SUMIF(T12_Calc!$N$1:$N$505,"LOC revenue — AL",T12_Calc!$I$1:$I$505)</f>
        <v/>
      </c>
      <c r="N10" s="24">
        <f>SUMIF(T12_Calc!$N$1:$N$505,"LOC revenue — AL",T12_Calc!$J$1:$J$505)</f>
        <v/>
      </c>
      <c r="O10" s="24">
        <f>SUMIF(T12_Calc!$N$1:$N$505,"LOC revenue — AL",T12_Calc!$K$1:$K$505)</f>
        <v/>
      </c>
      <c r="P10" s="24">
        <f>SUMIF(T12_Calc!$N$1:$N$505,"LOC revenue — AL",T12_Calc!$L$1:$L$505)</f>
        <v/>
      </c>
      <c r="Q10" s="24">
        <f>SUMIF(T12_Calc!$N$1:$N$505,"LOC revenue — AL",T12_Calc!$M$1:$M$505)</f>
        <v/>
      </c>
      <c r="R10" s="87">
        <f>SUM(F10:Q10)</f>
        <v/>
      </c>
    </row>
    <row r="11" ht="15.75" customHeight="1" s="199">
      <c r="A11" s="82" t="inlineStr">
        <is>
          <t>Revenue</t>
        </is>
      </c>
      <c r="B11" s="83" t="inlineStr">
        <is>
          <t>LOC revenue — MC</t>
        </is>
      </c>
      <c r="C11" s="84" t="inlineStr">
        <is>
          <t>MC</t>
        </is>
      </c>
      <c r="D11" s="85" t="n"/>
      <c r="E11" s="86" t="inlineStr">
        <is>
          <t>ALZ Care Rate Income | Memory Care Level of Care | MC Care Rate Income</t>
        </is>
      </c>
      <c r="F11" s="24">
        <f>SUMIF(T12_Calc!$N$1:$N$505,"LOC revenue — MC",T12_Calc!$B$1:$B$505)</f>
        <v/>
      </c>
      <c r="G11" s="24">
        <f>SUMIF(T12_Calc!$N$1:$N$505,"LOC revenue — MC",T12_Calc!$C$1:$C$505)</f>
        <v/>
      </c>
      <c r="H11" s="24">
        <f>SUMIF(T12_Calc!$N$1:$N$505,"LOC revenue — MC",T12_Calc!$D$1:$D$505)</f>
        <v/>
      </c>
      <c r="I11" s="24">
        <f>SUMIF(T12_Calc!$N$1:$N$505,"LOC revenue — MC",T12_Calc!$E$1:$E$505)</f>
        <v/>
      </c>
      <c r="J11" s="24">
        <f>SUMIF(T12_Calc!$N$1:$N$505,"LOC revenue — MC",T12_Calc!$F$1:$F$505)</f>
        <v/>
      </c>
      <c r="K11" s="24">
        <f>SUMIF(T12_Calc!$N$1:$N$505,"LOC revenue — MC",T12_Calc!$G$1:$G$505)</f>
        <v/>
      </c>
      <c r="L11" s="24">
        <f>SUMIF(T12_Calc!$N$1:$N$505,"LOC revenue — MC",T12_Calc!$H$1:$H$505)</f>
        <v/>
      </c>
      <c r="M11" s="24">
        <f>SUMIF(T12_Calc!$N$1:$N$505,"LOC revenue — MC",T12_Calc!$I$1:$I$505)</f>
        <v/>
      </c>
      <c r="N11" s="24">
        <f>SUMIF(T12_Calc!$N$1:$N$505,"LOC revenue — MC",T12_Calc!$J$1:$J$505)</f>
        <v/>
      </c>
      <c r="O11" s="24">
        <f>SUMIF(T12_Calc!$N$1:$N$505,"LOC revenue — MC",T12_Calc!$K$1:$K$505)</f>
        <v/>
      </c>
      <c r="P11" s="24">
        <f>SUMIF(T12_Calc!$N$1:$N$505,"LOC revenue — MC",T12_Calc!$L$1:$L$505)</f>
        <v/>
      </c>
      <c r="Q11" s="24">
        <f>SUMIF(T12_Calc!$N$1:$N$505,"LOC revenue — MC",T12_Calc!$M$1:$M$505)</f>
        <v/>
      </c>
      <c r="R11" s="87">
        <f>SUM(F11:Q11)</f>
        <v/>
      </c>
    </row>
    <row r="12" ht="15.75" customHeight="1" s="199">
      <c r="A12" s="88" t="inlineStr">
        <is>
          <t>Revenue</t>
        </is>
      </c>
      <c r="B12" s="89" t="inlineStr">
        <is>
          <t>Community / move-in fees</t>
        </is>
      </c>
      <c r="C12" s="90" t="inlineStr">
        <is>
          <t>-</t>
        </is>
      </c>
      <c r="D12" s="91" t="inlineStr">
        <is>
          <t>Normalize to $0</t>
        </is>
      </c>
      <c r="E12" s="92" t="inlineStr">
        <is>
          <t>Community Fees | Move-In Fees</t>
        </is>
      </c>
      <c r="F12" s="47">
        <f>SUMIF(T12_Calc!$N$1:$N$505,"Community / move-in fees",T12_Calc!$B$1:$B$505)</f>
        <v/>
      </c>
      <c r="G12" s="47">
        <f>SUMIF(T12_Calc!$N$1:$N$505,"Community / move-in fees",T12_Calc!$C$1:$C$505)</f>
        <v/>
      </c>
      <c r="H12" s="47">
        <f>SUMIF(T12_Calc!$N$1:$N$505,"Community / move-in fees",T12_Calc!$D$1:$D$505)</f>
        <v/>
      </c>
      <c r="I12" s="47">
        <f>SUMIF(T12_Calc!$N$1:$N$505,"Community / move-in fees",T12_Calc!$E$1:$E$505)</f>
        <v/>
      </c>
      <c r="J12" s="47">
        <f>SUMIF(T12_Calc!$N$1:$N$505,"Community / move-in fees",T12_Calc!$F$1:$F$505)</f>
        <v/>
      </c>
      <c r="K12" s="47">
        <f>SUMIF(T12_Calc!$N$1:$N$505,"Community / move-in fees",T12_Calc!$G$1:$G$505)</f>
        <v/>
      </c>
      <c r="L12" s="47">
        <f>SUMIF(T12_Calc!$N$1:$N$505,"Community / move-in fees",T12_Calc!$H$1:$H$505)</f>
        <v/>
      </c>
      <c r="M12" s="47">
        <f>SUMIF(T12_Calc!$N$1:$N$505,"Community / move-in fees",T12_Calc!$I$1:$I$505)</f>
        <v/>
      </c>
      <c r="N12" s="47">
        <f>SUMIF(T12_Calc!$N$1:$N$505,"Community / move-in fees",T12_Calc!$J$1:$J$505)</f>
        <v/>
      </c>
      <c r="O12" s="47">
        <f>SUMIF(T12_Calc!$N$1:$N$505,"Community / move-in fees",T12_Calc!$K$1:$K$505)</f>
        <v/>
      </c>
      <c r="P12" s="47">
        <f>SUMIF(T12_Calc!$N$1:$N$505,"Community / move-in fees",T12_Calc!$L$1:$L$505)</f>
        <v/>
      </c>
      <c r="Q12" s="47">
        <f>SUMIF(T12_Calc!$N$1:$N$505,"Community / move-in fees",T12_Calc!$M$1:$M$505)</f>
        <v/>
      </c>
      <c r="R12" s="93">
        <f>SUM(F12:Q12)</f>
        <v/>
      </c>
    </row>
    <row r="13" ht="15.75" customHeight="1" s="199">
      <c r="A13" s="88" t="inlineStr">
        <is>
          <t>Revenue</t>
        </is>
      </c>
      <c r="B13" s="89" t="inlineStr">
        <is>
          <t>Concessions &amp; specials</t>
        </is>
      </c>
      <c r="C13" s="90" t="inlineStr">
        <is>
          <t>-</t>
        </is>
      </c>
      <c r="D13" s="91" t="inlineStr">
        <is>
          <t>Normalize to $0</t>
        </is>
      </c>
      <c r="E13" s="92" t="inlineStr">
        <is>
          <t>Concessions | Move In Specials and Discounts | Move-In Specials</t>
        </is>
      </c>
      <c r="F13" s="47">
        <f>SUMIF(T12_Calc!$N$1:$N$505,"Concessions &amp; specials",T12_Calc!$B$1:$B$505)</f>
        <v/>
      </c>
      <c r="G13" s="47">
        <f>SUMIF(T12_Calc!$N$1:$N$505,"Concessions &amp; specials",T12_Calc!$C$1:$C$505)</f>
        <v/>
      </c>
      <c r="H13" s="47">
        <f>SUMIF(T12_Calc!$N$1:$N$505,"Concessions &amp; specials",T12_Calc!$D$1:$D$505)</f>
        <v/>
      </c>
      <c r="I13" s="47">
        <f>SUMIF(T12_Calc!$N$1:$N$505,"Concessions &amp; specials",T12_Calc!$E$1:$E$505)</f>
        <v/>
      </c>
      <c r="J13" s="47">
        <f>SUMIF(T12_Calc!$N$1:$N$505,"Concessions &amp; specials",T12_Calc!$F$1:$F$505)</f>
        <v/>
      </c>
      <c r="K13" s="47">
        <f>SUMIF(T12_Calc!$N$1:$N$505,"Concessions &amp; specials",T12_Calc!$G$1:$G$505)</f>
        <v/>
      </c>
      <c r="L13" s="47">
        <f>SUMIF(T12_Calc!$N$1:$N$505,"Concessions &amp; specials",T12_Calc!$H$1:$H$505)</f>
        <v/>
      </c>
      <c r="M13" s="47">
        <f>SUMIF(T12_Calc!$N$1:$N$505,"Concessions &amp; specials",T12_Calc!$I$1:$I$505)</f>
        <v/>
      </c>
      <c r="N13" s="47">
        <f>SUMIF(T12_Calc!$N$1:$N$505,"Concessions &amp; specials",T12_Calc!$J$1:$J$505)</f>
        <v/>
      </c>
      <c r="O13" s="47">
        <f>SUMIF(T12_Calc!$N$1:$N$505,"Concessions &amp; specials",T12_Calc!$K$1:$K$505)</f>
        <v/>
      </c>
      <c r="P13" s="47">
        <f>SUMIF(T12_Calc!$N$1:$N$505,"Concessions &amp; specials",T12_Calc!$L$1:$L$505)</f>
        <v/>
      </c>
      <c r="Q13" s="47">
        <f>SUMIF(T12_Calc!$N$1:$N$505,"Concessions &amp; specials",T12_Calc!$M$1:$M$505)</f>
        <v/>
      </c>
      <c r="R13" s="93">
        <f>SUM(F13:Q13)</f>
        <v/>
      </c>
    </row>
    <row r="14" ht="15.75" customHeight="1" s="199">
      <c r="A14" s="88" t="inlineStr">
        <is>
          <t>Revenue</t>
        </is>
      </c>
      <c r="B14" s="89" t="inlineStr">
        <is>
          <t>Respite care</t>
        </is>
      </c>
      <c r="C14" s="90" t="inlineStr">
        <is>
          <t>-</t>
        </is>
      </c>
      <c r="D14" s="91" t="inlineStr">
        <is>
          <t>Volatile</t>
        </is>
      </c>
      <c r="E14" s="92" t="inlineStr">
        <is>
          <t>Respite Care Income | Respite Care</t>
        </is>
      </c>
      <c r="F14" s="47">
        <f>SUMIF(T12_Calc!$N$1:$N$505,"Respite care",T12_Calc!$B$1:$B$505)</f>
        <v/>
      </c>
      <c r="G14" s="47">
        <f>SUMIF(T12_Calc!$N$1:$N$505,"Respite care",T12_Calc!$C$1:$C$505)</f>
        <v/>
      </c>
      <c r="H14" s="47">
        <f>SUMIF(T12_Calc!$N$1:$N$505,"Respite care",T12_Calc!$D$1:$D$505)</f>
        <v/>
      </c>
      <c r="I14" s="47">
        <f>SUMIF(T12_Calc!$N$1:$N$505,"Respite care",T12_Calc!$E$1:$E$505)</f>
        <v/>
      </c>
      <c r="J14" s="47">
        <f>SUMIF(T12_Calc!$N$1:$N$505,"Respite care",T12_Calc!$F$1:$F$505)</f>
        <v/>
      </c>
      <c r="K14" s="47">
        <f>SUMIF(T12_Calc!$N$1:$N$505,"Respite care",T12_Calc!$G$1:$G$505)</f>
        <v/>
      </c>
      <c r="L14" s="47">
        <f>SUMIF(T12_Calc!$N$1:$N$505,"Respite care",T12_Calc!$H$1:$H$505)</f>
        <v/>
      </c>
      <c r="M14" s="47">
        <f>SUMIF(T12_Calc!$N$1:$N$505,"Respite care",T12_Calc!$I$1:$I$505)</f>
        <v/>
      </c>
      <c r="N14" s="47">
        <f>SUMIF(T12_Calc!$N$1:$N$505,"Respite care",T12_Calc!$J$1:$J$505)</f>
        <v/>
      </c>
      <c r="O14" s="47">
        <f>SUMIF(T12_Calc!$N$1:$N$505,"Respite care",T12_Calc!$K$1:$K$505)</f>
        <v/>
      </c>
      <c r="P14" s="47">
        <f>SUMIF(T12_Calc!$N$1:$N$505,"Respite care",T12_Calc!$L$1:$L$505)</f>
        <v/>
      </c>
      <c r="Q14" s="47">
        <f>SUMIF(T12_Calc!$N$1:$N$505,"Respite care",T12_Calc!$M$1:$M$505)</f>
        <v/>
      </c>
      <c r="R14" s="93">
        <f>SUM(F14:Q14)</f>
        <v/>
      </c>
    </row>
    <row r="15" ht="15.75" customHeight="1" s="199">
      <c r="A15" s="82" t="inlineStr">
        <is>
          <t>Revenue</t>
        </is>
      </c>
      <c r="B15" s="83" t="inlineStr">
        <is>
          <t>2nd Person Revenue</t>
        </is>
      </c>
      <c r="C15" s="84" t="n"/>
      <c r="D15" s="85" t="n"/>
      <c r="E15" s="86" t="n"/>
      <c r="F15" s="24">
        <f>SUMIF(T12_Calc!$N$1:$N$505,"2nd Person Revenue",T12_Calc!$B$1:$B$505)</f>
        <v/>
      </c>
      <c r="G15" s="24">
        <f>SUMIF(T12_Calc!$N$1:$N$505,"2nd Person Revenue",T12_Calc!$C$1:$C$505)</f>
        <v/>
      </c>
      <c r="H15" s="24">
        <f>SUMIF(T12_Calc!$N$1:$N$505,"2nd Person Revenue",T12_Calc!$D$1:$D$505)</f>
        <v/>
      </c>
      <c r="I15" s="24">
        <f>SUMIF(T12_Calc!$N$1:$N$505,"2nd Person Revenue",T12_Calc!$E$1:$E$505)</f>
        <v/>
      </c>
      <c r="J15" s="24">
        <f>SUMIF(T12_Calc!$N$1:$N$505,"2nd Person Revenue",T12_Calc!$F$1:$F$505)</f>
        <v/>
      </c>
      <c r="K15" s="24">
        <f>SUMIF(T12_Calc!$N$1:$N$505,"2nd Person Revenue",T12_Calc!$G$1:$G$505)</f>
        <v/>
      </c>
      <c r="L15" s="24">
        <f>SUMIF(T12_Calc!$N$1:$N$505,"2nd Person Revenue",T12_Calc!$H$1:$H$505)</f>
        <v/>
      </c>
      <c r="M15" s="24">
        <f>SUMIF(T12_Calc!$N$1:$N$505,"2nd Person Revenue",T12_Calc!$I$1:$I$505)</f>
        <v/>
      </c>
      <c r="N15" s="24">
        <f>SUMIF(T12_Calc!$N$1:$N$505,"2nd Person Revenue",T12_Calc!$J$1:$J$505)</f>
        <v/>
      </c>
      <c r="O15" s="24">
        <f>SUMIF(T12_Calc!$N$1:$N$505,"2nd Person Revenue",T12_Calc!$K$1:$K$505)</f>
        <v/>
      </c>
      <c r="P15" s="24">
        <f>SUMIF(T12_Calc!$N$1:$N$505,"2nd Person Revenue",T12_Calc!$L$1:$L$505)</f>
        <v/>
      </c>
      <c r="Q15" s="24">
        <f>SUMIF(T12_Calc!$N$1:$N$505,"2nd Person Revenue",T12_Calc!$M$1:$M$505)</f>
        <v/>
      </c>
      <c r="R15" s="87">
        <f>SUM(F15:Q15)</f>
        <v/>
      </c>
    </row>
    <row r="16" ht="15.75" customHeight="1" s="199">
      <c r="A16" s="82" t="inlineStr">
        <is>
          <t>Revenue</t>
        </is>
      </c>
      <c r="B16" s="83" t="inlineStr">
        <is>
          <t>Meal Income</t>
        </is>
      </c>
      <c r="C16" s="84" t="n"/>
      <c r="D16" s="85" t="n"/>
      <c r="E16" s="86" t="n"/>
      <c r="F16" s="24">
        <f>SUMIF(T12_Calc!$N$1:$N$505,"Meal Income",T12_Calc!$B$1:$B$505)</f>
        <v/>
      </c>
      <c r="G16" s="24">
        <f>SUMIF(T12_Calc!$N$1:$N$505,"Meal Income",T12_Calc!$C$1:$C$505)</f>
        <v/>
      </c>
      <c r="H16" s="24">
        <f>SUMIF(T12_Calc!$N$1:$N$505,"Meal Income",T12_Calc!$D$1:$D$505)</f>
        <v/>
      </c>
      <c r="I16" s="24">
        <f>SUMIF(T12_Calc!$N$1:$N$505,"Meal Income",T12_Calc!$E$1:$E$505)</f>
        <v/>
      </c>
      <c r="J16" s="24">
        <f>SUMIF(T12_Calc!$N$1:$N$505,"Meal Income",T12_Calc!$F$1:$F$505)</f>
        <v/>
      </c>
      <c r="K16" s="24">
        <f>SUMIF(T12_Calc!$N$1:$N$505,"Meal Income",T12_Calc!$G$1:$G$505)</f>
        <v/>
      </c>
      <c r="L16" s="24">
        <f>SUMIF(T12_Calc!$N$1:$N$505,"Meal Income",T12_Calc!$H$1:$H$505)</f>
        <v/>
      </c>
      <c r="M16" s="24">
        <f>SUMIF(T12_Calc!$N$1:$N$505,"Meal Income",T12_Calc!$I$1:$I$505)</f>
        <v/>
      </c>
      <c r="N16" s="24">
        <f>SUMIF(T12_Calc!$N$1:$N$505,"Meal Income",T12_Calc!$J$1:$J$505)</f>
        <v/>
      </c>
      <c r="O16" s="24">
        <f>SUMIF(T12_Calc!$N$1:$N$505,"Meal Income",T12_Calc!$K$1:$K$505)</f>
        <v/>
      </c>
      <c r="P16" s="24">
        <f>SUMIF(T12_Calc!$N$1:$N$505,"Meal Income",T12_Calc!$L$1:$L$505)</f>
        <v/>
      </c>
      <c r="Q16" s="24">
        <f>SUMIF(T12_Calc!$N$1:$N$505,"Meal Income",T12_Calc!$M$1:$M$505)</f>
        <v/>
      </c>
      <c r="R16" s="87">
        <f>SUM(F16:Q16)</f>
        <v/>
      </c>
    </row>
    <row r="17" ht="15.75" customHeight="1" s="199">
      <c r="A17" s="82" t="inlineStr">
        <is>
          <t>Revenue</t>
        </is>
      </c>
      <c r="B17" s="83" t="inlineStr">
        <is>
          <t>Housekeeping Income</t>
        </is>
      </c>
      <c r="C17" s="84" t="n"/>
      <c r="D17" s="85" t="n"/>
      <c r="E17" s="86" t="n"/>
      <c r="F17" s="24">
        <f>SUMIF(T12_Calc!$N$1:$N$505,"Housekeeping Income",T12_Calc!$B$1:$B$505)</f>
        <v/>
      </c>
      <c r="G17" s="24">
        <f>SUMIF(T12_Calc!$N$1:$N$505,"Housekeeping Income",T12_Calc!$C$1:$C$505)</f>
        <v/>
      </c>
      <c r="H17" s="24">
        <f>SUMIF(T12_Calc!$N$1:$N$505,"Housekeeping Income",T12_Calc!$D$1:$D$505)</f>
        <v/>
      </c>
      <c r="I17" s="24">
        <f>SUMIF(T12_Calc!$N$1:$N$505,"Housekeeping Income",T12_Calc!$E$1:$E$505)</f>
        <v/>
      </c>
      <c r="J17" s="24">
        <f>SUMIF(T12_Calc!$N$1:$N$505,"Housekeeping Income",T12_Calc!$F$1:$F$505)</f>
        <v/>
      </c>
      <c r="K17" s="24">
        <f>SUMIF(T12_Calc!$N$1:$N$505,"Housekeeping Income",T12_Calc!$G$1:$G$505)</f>
        <v/>
      </c>
      <c r="L17" s="24">
        <f>SUMIF(T12_Calc!$N$1:$N$505,"Housekeeping Income",T12_Calc!$H$1:$H$505)</f>
        <v/>
      </c>
      <c r="M17" s="24">
        <f>SUMIF(T12_Calc!$N$1:$N$505,"Housekeeping Income",T12_Calc!$I$1:$I$505)</f>
        <v/>
      </c>
      <c r="N17" s="24">
        <f>SUMIF(T12_Calc!$N$1:$N$505,"Housekeeping Income",T12_Calc!$J$1:$J$505)</f>
        <v/>
      </c>
      <c r="O17" s="24">
        <f>SUMIF(T12_Calc!$N$1:$N$505,"Housekeeping Income",T12_Calc!$K$1:$K$505)</f>
        <v/>
      </c>
      <c r="P17" s="24">
        <f>SUMIF(T12_Calc!$N$1:$N$505,"Housekeeping Income",T12_Calc!$L$1:$L$505)</f>
        <v/>
      </c>
      <c r="Q17" s="24">
        <f>SUMIF(T12_Calc!$N$1:$N$505,"Housekeeping Income",T12_Calc!$M$1:$M$505)</f>
        <v/>
      </c>
      <c r="R17" s="87">
        <f>SUM(F17:Q17)</f>
        <v/>
      </c>
    </row>
    <row r="18" ht="15.75" customHeight="1" s="199">
      <c r="A18" s="82" t="inlineStr">
        <is>
          <t>Revenue</t>
        </is>
      </c>
      <c r="B18" s="83" t="inlineStr">
        <is>
          <t>Laundry Income</t>
        </is>
      </c>
      <c r="C18" s="84" t="n"/>
      <c r="D18" s="85" t="n"/>
      <c r="E18" s="86" t="n"/>
      <c r="F18" s="24">
        <f>SUMIF(T12_Calc!$N$1:$N$505,"Laundry Income",T12_Calc!$B$1:$B$505)</f>
        <v/>
      </c>
      <c r="G18" s="24">
        <f>SUMIF(T12_Calc!$N$1:$N$505,"Laundry Income",T12_Calc!$C$1:$C$505)</f>
        <v/>
      </c>
      <c r="H18" s="24">
        <f>SUMIF(T12_Calc!$N$1:$N$505,"Laundry Income",T12_Calc!$D$1:$D$505)</f>
        <v/>
      </c>
      <c r="I18" s="24">
        <f>SUMIF(T12_Calc!$N$1:$N$505,"Laundry Income",T12_Calc!$E$1:$E$505)</f>
        <v/>
      </c>
      <c r="J18" s="24">
        <f>SUMIF(T12_Calc!$N$1:$N$505,"Laundry Income",T12_Calc!$F$1:$F$505)</f>
        <v/>
      </c>
      <c r="K18" s="24">
        <f>SUMIF(T12_Calc!$N$1:$N$505,"Laundry Income",T12_Calc!$G$1:$G$505)</f>
        <v/>
      </c>
      <c r="L18" s="24">
        <f>SUMIF(T12_Calc!$N$1:$N$505,"Laundry Income",T12_Calc!$H$1:$H$505)</f>
        <v/>
      </c>
      <c r="M18" s="24">
        <f>SUMIF(T12_Calc!$N$1:$N$505,"Laundry Income",T12_Calc!$I$1:$I$505)</f>
        <v/>
      </c>
      <c r="N18" s="24">
        <f>SUMIF(T12_Calc!$N$1:$N$505,"Laundry Income",T12_Calc!$J$1:$J$505)</f>
        <v/>
      </c>
      <c r="O18" s="24">
        <f>SUMIF(T12_Calc!$N$1:$N$505,"Laundry Income",T12_Calc!$K$1:$K$505)</f>
        <v/>
      </c>
      <c r="P18" s="24">
        <f>SUMIF(T12_Calc!$N$1:$N$505,"Laundry Income",T12_Calc!$L$1:$L$505)</f>
        <v/>
      </c>
      <c r="Q18" s="24">
        <f>SUMIF(T12_Calc!$N$1:$N$505,"Laundry Income",T12_Calc!$M$1:$M$505)</f>
        <v/>
      </c>
      <c r="R18" s="87">
        <f>SUM(F18:Q18)</f>
        <v/>
      </c>
    </row>
    <row r="19" ht="15.75" customHeight="1" s="199">
      <c r="A19" s="82" t="inlineStr">
        <is>
          <t>Revenue</t>
        </is>
      </c>
      <c r="B19" s="83" t="inlineStr">
        <is>
          <t>Scooter Fee Revenue</t>
        </is>
      </c>
      <c r="C19" s="84" t="n"/>
      <c r="D19" s="85" t="n"/>
      <c r="E19" s="86" t="n"/>
      <c r="F19" s="24">
        <f>SUMIF(T12_Calc!$N$1:$N$505,"Scooter Fee Revenue",T12_Calc!$B$1:$B$505)</f>
        <v/>
      </c>
      <c r="G19" s="24">
        <f>SUMIF(T12_Calc!$N$1:$N$505,"Scooter Fee Revenue",T12_Calc!$C$1:$C$505)</f>
        <v/>
      </c>
      <c r="H19" s="24">
        <f>SUMIF(T12_Calc!$N$1:$N$505,"Scooter Fee Revenue",T12_Calc!$D$1:$D$505)</f>
        <v/>
      </c>
      <c r="I19" s="24">
        <f>SUMIF(T12_Calc!$N$1:$N$505,"Scooter Fee Revenue",T12_Calc!$E$1:$E$505)</f>
        <v/>
      </c>
      <c r="J19" s="24">
        <f>SUMIF(T12_Calc!$N$1:$N$505,"Scooter Fee Revenue",T12_Calc!$F$1:$F$505)</f>
        <v/>
      </c>
      <c r="K19" s="24">
        <f>SUMIF(T12_Calc!$N$1:$N$505,"Scooter Fee Revenue",T12_Calc!$G$1:$G$505)</f>
        <v/>
      </c>
      <c r="L19" s="24">
        <f>SUMIF(T12_Calc!$N$1:$N$505,"Scooter Fee Revenue",T12_Calc!$H$1:$H$505)</f>
        <v/>
      </c>
      <c r="M19" s="24">
        <f>SUMIF(T12_Calc!$N$1:$N$505,"Scooter Fee Revenue",T12_Calc!$I$1:$I$505)</f>
        <v/>
      </c>
      <c r="N19" s="24">
        <f>SUMIF(T12_Calc!$N$1:$N$505,"Scooter Fee Revenue",T12_Calc!$J$1:$J$505)</f>
        <v/>
      </c>
      <c r="O19" s="24">
        <f>SUMIF(T12_Calc!$N$1:$N$505,"Scooter Fee Revenue",T12_Calc!$K$1:$K$505)</f>
        <v/>
      </c>
      <c r="P19" s="24">
        <f>SUMIF(T12_Calc!$N$1:$N$505,"Scooter Fee Revenue",T12_Calc!$L$1:$L$505)</f>
        <v/>
      </c>
      <c r="Q19" s="24">
        <f>SUMIF(T12_Calc!$N$1:$N$505,"Scooter Fee Revenue",T12_Calc!$M$1:$M$505)</f>
        <v/>
      </c>
      <c r="R19" s="87">
        <f>SUM(F19:Q19)</f>
        <v/>
      </c>
    </row>
    <row r="20" ht="15.75" customHeight="1" s="199">
      <c r="A20" s="82" t="inlineStr">
        <is>
          <t>Revenue</t>
        </is>
      </c>
      <c r="B20" s="83" t="inlineStr">
        <is>
          <t>Transfer Fee Revenue</t>
        </is>
      </c>
      <c r="C20" s="84" t="n"/>
      <c r="D20" s="85" t="n"/>
      <c r="E20" s="86" t="n"/>
      <c r="F20" s="24">
        <f>SUMIF(T12_Calc!$N$1:$N$505,"Transfer Fee Revenue",T12_Calc!$B$1:$B$505)</f>
        <v/>
      </c>
      <c r="G20" s="24">
        <f>SUMIF(T12_Calc!$N$1:$N$505,"Transfer Fee Revenue",T12_Calc!$C$1:$C$505)</f>
        <v/>
      </c>
      <c r="H20" s="24">
        <f>SUMIF(T12_Calc!$N$1:$N$505,"Transfer Fee Revenue",T12_Calc!$D$1:$D$505)</f>
        <v/>
      </c>
      <c r="I20" s="24">
        <f>SUMIF(T12_Calc!$N$1:$N$505,"Transfer Fee Revenue",T12_Calc!$E$1:$E$505)</f>
        <v/>
      </c>
      <c r="J20" s="24">
        <f>SUMIF(T12_Calc!$N$1:$N$505,"Transfer Fee Revenue",T12_Calc!$F$1:$F$505)</f>
        <v/>
      </c>
      <c r="K20" s="24">
        <f>SUMIF(T12_Calc!$N$1:$N$505,"Transfer Fee Revenue",T12_Calc!$G$1:$G$505)</f>
        <v/>
      </c>
      <c r="L20" s="24">
        <f>SUMIF(T12_Calc!$N$1:$N$505,"Transfer Fee Revenue",T12_Calc!$H$1:$H$505)</f>
        <v/>
      </c>
      <c r="M20" s="24">
        <f>SUMIF(T12_Calc!$N$1:$N$505,"Transfer Fee Revenue",T12_Calc!$I$1:$I$505)</f>
        <v/>
      </c>
      <c r="N20" s="24">
        <f>SUMIF(T12_Calc!$N$1:$N$505,"Transfer Fee Revenue",T12_Calc!$J$1:$J$505)</f>
        <v/>
      </c>
      <c r="O20" s="24">
        <f>SUMIF(T12_Calc!$N$1:$N$505,"Transfer Fee Revenue",T12_Calc!$K$1:$K$505)</f>
        <v/>
      </c>
      <c r="P20" s="24">
        <f>SUMIF(T12_Calc!$N$1:$N$505,"Transfer Fee Revenue",T12_Calc!$L$1:$L$505)</f>
        <v/>
      </c>
      <c r="Q20" s="24">
        <f>SUMIF(T12_Calc!$N$1:$N$505,"Transfer Fee Revenue",T12_Calc!$M$1:$M$505)</f>
        <v/>
      </c>
      <c r="R20" s="87">
        <f>SUM(F20:Q20)</f>
        <v/>
      </c>
    </row>
    <row r="21" ht="15.75" customHeight="1" s="199">
      <c r="A21" s="82" t="inlineStr">
        <is>
          <t>Revenue</t>
        </is>
      </c>
      <c r="B21" s="83" t="inlineStr">
        <is>
          <t>Other community revenue</t>
        </is>
      </c>
      <c r="C21" s="84" t="inlineStr">
        <is>
          <t>-</t>
        </is>
      </c>
      <c r="D21" s="85" t="n"/>
      <c r="E21" s="86" t="inlineStr">
        <is>
          <t>Guest Meals | Beautician Income | Utility Income | Incontinence Supplies Income | Personal Purchases | Administrative Fees | Finance Charges Revenue</t>
        </is>
      </c>
      <c r="F21" s="24">
        <f>SUMIF(T12_Calc!$N$1:$N$505,"Other community revenue",T12_Calc!$B$1:$B$505)</f>
        <v/>
      </c>
      <c r="G21" s="24">
        <f>SUMIF(T12_Calc!$N$1:$N$505,"Other community revenue",T12_Calc!$C$1:$C$505)</f>
        <v/>
      </c>
      <c r="H21" s="24">
        <f>SUMIF(T12_Calc!$N$1:$N$505,"Other community revenue",T12_Calc!$D$1:$D$505)</f>
        <v/>
      </c>
      <c r="I21" s="24">
        <f>SUMIF(T12_Calc!$N$1:$N$505,"Other community revenue",T12_Calc!$E$1:$E$505)</f>
        <v/>
      </c>
      <c r="J21" s="24">
        <f>SUMIF(T12_Calc!$N$1:$N$505,"Other community revenue",T12_Calc!$F$1:$F$505)</f>
        <v/>
      </c>
      <c r="K21" s="24">
        <f>SUMIF(T12_Calc!$N$1:$N$505,"Other community revenue",T12_Calc!$G$1:$G$505)</f>
        <v/>
      </c>
      <c r="L21" s="24">
        <f>SUMIF(T12_Calc!$N$1:$N$505,"Other community revenue",T12_Calc!$H$1:$H$505)</f>
        <v/>
      </c>
      <c r="M21" s="24">
        <f>SUMIF(T12_Calc!$N$1:$N$505,"Other community revenue",T12_Calc!$I$1:$I$505)</f>
        <v/>
      </c>
      <c r="N21" s="24">
        <f>SUMIF(T12_Calc!$N$1:$N$505,"Other community revenue",T12_Calc!$J$1:$J$505)</f>
        <v/>
      </c>
      <c r="O21" s="24">
        <f>SUMIF(T12_Calc!$N$1:$N$505,"Other community revenue",T12_Calc!$K$1:$K$505)</f>
        <v/>
      </c>
      <c r="P21" s="24">
        <f>SUMIF(T12_Calc!$N$1:$N$505,"Other community revenue",T12_Calc!$L$1:$L$505)</f>
        <v/>
      </c>
      <c r="Q21" s="24">
        <f>SUMIF(T12_Calc!$N$1:$N$505,"Other community revenue",T12_Calc!$M$1:$M$505)</f>
        <v/>
      </c>
      <c r="R21" s="87">
        <f>SUM(F21:Q21)</f>
        <v/>
      </c>
    </row>
    <row r="22" ht="15.75" customHeight="1" s="199">
      <c r="A22" s="82" t="inlineStr">
        <is>
          <t>Labor</t>
        </is>
      </c>
      <c r="B22" s="83" t="inlineStr">
        <is>
          <t>Care staff labor</t>
        </is>
      </c>
      <c r="C22" s="84" t="inlineStr">
        <is>
          <t>-</t>
        </is>
      </c>
      <c r="D22" s="85" t="n"/>
      <c r="E22" s="86" t="inlineStr">
        <is>
          <t>Care Staff Labor | Direct Care Labor | Other Labor</t>
        </is>
      </c>
      <c r="F22" s="24">
        <f>SUMIF(T12_Calc!$N$1:$N$505,"Care staff labor",T12_Calc!$B$1:$B$505)</f>
        <v/>
      </c>
      <c r="G22" s="24">
        <f>SUMIF(T12_Calc!$N$1:$N$505,"Care staff labor",T12_Calc!$C$1:$C$505)</f>
        <v/>
      </c>
      <c r="H22" s="24">
        <f>SUMIF(T12_Calc!$N$1:$N$505,"Care staff labor",T12_Calc!$D$1:$D$505)</f>
        <v/>
      </c>
      <c r="I22" s="24">
        <f>SUMIF(T12_Calc!$N$1:$N$505,"Care staff labor",T12_Calc!$E$1:$E$505)</f>
        <v/>
      </c>
      <c r="J22" s="24">
        <f>SUMIF(T12_Calc!$N$1:$N$505,"Care staff labor",T12_Calc!$F$1:$F$505)</f>
        <v/>
      </c>
      <c r="K22" s="24">
        <f>SUMIF(T12_Calc!$N$1:$N$505,"Care staff labor",T12_Calc!$G$1:$G$505)</f>
        <v/>
      </c>
      <c r="L22" s="24">
        <f>SUMIF(T12_Calc!$N$1:$N$505,"Care staff labor",T12_Calc!$H$1:$H$505)</f>
        <v/>
      </c>
      <c r="M22" s="24">
        <f>SUMIF(T12_Calc!$N$1:$N$505,"Care staff labor",T12_Calc!$I$1:$I$505)</f>
        <v/>
      </c>
      <c r="N22" s="24">
        <f>SUMIF(T12_Calc!$N$1:$N$505,"Care staff labor",T12_Calc!$J$1:$J$505)</f>
        <v/>
      </c>
      <c r="O22" s="24">
        <f>SUMIF(T12_Calc!$N$1:$N$505,"Care staff labor",T12_Calc!$K$1:$K$505)</f>
        <v/>
      </c>
      <c r="P22" s="24">
        <f>SUMIF(T12_Calc!$N$1:$N$505,"Care staff labor",T12_Calc!$L$1:$L$505)</f>
        <v/>
      </c>
      <c r="Q22" s="24">
        <f>SUMIF(T12_Calc!$N$1:$N$505,"Care staff labor",T12_Calc!$M$1:$M$505)</f>
        <v/>
      </c>
      <c r="R22" s="87">
        <f>SUM(F22:Q22)</f>
        <v/>
      </c>
    </row>
    <row r="23" ht="15.75" customHeight="1" s="199">
      <c r="A23" s="82" t="inlineStr">
        <is>
          <t>Labor</t>
        </is>
      </c>
      <c r="B23" s="83" t="inlineStr">
        <is>
          <t>Wellness / care coordinators</t>
        </is>
      </c>
      <c r="C23" s="84" t="inlineStr">
        <is>
          <t>-</t>
        </is>
      </c>
      <c r="D23" s="85" t="n"/>
      <c r="E23" s="86" t="inlineStr">
        <is>
          <t>Wellness/Care Coordinators Labor | Wellness/Care Coordinator Labor | Care Coordinator Labor</t>
        </is>
      </c>
      <c r="F23" s="24">
        <f>SUMIF(T12_Calc!$N$1:$N$505,"Wellness / care coordinators",T12_Calc!$B$1:$B$505)</f>
        <v/>
      </c>
      <c r="G23" s="24">
        <f>SUMIF(T12_Calc!$N$1:$N$505,"Wellness / care coordinators",T12_Calc!$C$1:$C$505)</f>
        <v/>
      </c>
      <c r="H23" s="24">
        <f>SUMIF(T12_Calc!$N$1:$N$505,"Wellness / care coordinators",T12_Calc!$D$1:$D$505)</f>
        <v/>
      </c>
      <c r="I23" s="24">
        <f>SUMIF(T12_Calc!$N$1:$N$505,"Wellness / care coordinators",T12_Calc!$E$1:$E$505)</f>
        <v/>
      </c>
      <c r="J23" s="24">
        <f>SUMIF(T12_Calc!$N$1:$N$505,"Wellness / care coordinators",T12_Calc!$F$1:$F$505)</f>
        <v/>
      </c>
      <c r="K23" s="24">
        <f>SUMIF(T12_Calc!$N$1:$N$505,"Wellness / care coordinators",T12_Calc!$G$1:$G$505)</f>
        <v/>
      </c>
      <c r="L23" s="24">
        <f>SUMIF(T12_Calc!$N$1:$N$505,"Wellness / care coordinators",T12_Calc!$H$1:$H$505)</f>
        <v/>
      </c>
      <c r="M23" s="24">
        <f>SUMIF(T12_Calc!$N$1:$N$505,"Wellness / care coordinators",T12_Calc!$I$1:$I$505)</f>
        <v/>
      </c>
      <c r="N23" s="24">
        <f>SUMIF(T12_Calc!$N$1:$N$505,"Wellness / care coordinators",T12_Calc!$J$1:$J$505)</f>
        <v/>
      </c>
      <c r="O23" s="24">
        <f>SUMIF(T12_Calc!$N$1:$N$505,"Wellness / care coordinators",T12_Calc!$K$1:$K$505)</f>
        <v/>
      </c>
      <c r="P23" s="24">
        <f>SUMIF(T12_Calc!$N$1:$N$505,"Wellness / care coordinators",T12_Calc!$L$1:$L$505)</f>
        <v/>
      </c>
      <c r="Q23" s="24">
        <f>SUMIF(T12_Calc!$N$1:$N$505,"Wellness / care coordinators",T12_Calc!$M$1:$M$505)</f>
        <v/>
      </c>
      <c r="R23" s="87">
        <f>SUM(F23:Q23)</f>
        <v/>
      </c>
    </row>
    <row r="24" ht="15.75" customHeight="1" s="199">
      <c r="A24" s="88" t="inlineStr">
        <is>
          <t>Labor</t>
        </is>
      </c>
      <c r="B24" s="89" t="inlineStr">
        <is>
          <t>Contract / agency labor</t>
        </is>
      </c>
      <c r="C24" s="90" t="inlineStr">
        <is>
          <t>-</t>
        </is>
      </c>
      <c r="D24" s="91" t="inlineStr">
        <is>
          <t>Normalize at stabilization</t>
        </is>
      </c>
      <c r="E24" s="92" t="inlineStr">
        <is>
          <t>Contract Labor - Care | Contract Labor | Agency Labor</t>
        </is>
      </c>
      <c r="F24" s="47">
        <f>SUMIF(T12_Calc!$N$1:$N$505,"Contract / agency labor",T12_Calc!$B$1:$B$505)</f>
        <v/>
      </c>
      <c r="G24" s="47">
        <f>SUMIF(T12_Calc!$N$1:$N$505,"Contract / agency labor",T12_Calc!$C$1:$C$505)</f>
        <v/>
      </c>
      <c r="H24" s="47">
        <f>SUMIF(T12_Calc!$N$1:$N$505,"Contract / agency labor",T12_Calc!$D$1:$D$505)</f>
        <v/>
      </c>
      <c r="I24" s="47">
        <f>SUMIF(T12_Calc!$N$1:$N$505,"Contract / agency labor",T12_Calc!$E$1:$E$505)</f>
        <v/>
      </c>
      <c r="J24" s="47">
        <f>SUMIF(T12_Calc!$N$1:$N$505,"Contract / agency labor",T12_Calc!$F$1:$F$505)</f>
        <v/>
      </c>
      <c r="K24" s="47">
        <f>SUMIF(T12_Calc!$N$1:$N$505,"Contract / agency labor",T12_Calc!$G$1:$G$505)</f>
        <v/>
      </c>
      <c r="L24" s="47">
        <f>SUMIF(T12_Calc!$N$1:$N$505,"Contract / agency labor",T12_Calc!$H$1:$H$505)</f>
        <v/>
      </c>
      <c r="M24" s="47">
        <f>SUMIF(T12_Calc!$N$1:$N$505,"Contract / agency labor",T12_Calc!$I$1:$I$505)</f>
        <v/>
      </c>
      <c r="N24" s="47">
        <f>SUMIF(T12_Calc!$N$1:$N$505,"Contract / agency labor",T12_Calc!$J$1:$J$505)</f>
        <v/>
      </c>
      <c r="O24" s="47">
        <f>SUMIF(T12_Calc!$N$1:$N$505,"Contract / agency labor",T12_Calc!$K$1:$K$505)</f>
        <v/>
      </c>
      <c r="P24" s="47">
        <f>SUMIF(T12_Calc!$N$1:$N$505,"Contract / agency labor",T12_Calc!$L$1:$L$505)</f>
        <v/>
      </c>
      <c r="Q24" s="47">
        <f>SUMIF(T12_Calc!$N$1:$N$505,"Contract / agency labor",T12_Calc!$M$1:$M$505)</f>
        <v/>
      </c>
      <c r="R24" s="93">
        <f>SUM(F24:Q24)</f>
        <v/>
      </c>
    </row>
    <row r="25" ht="15.75" customHeight="1" s="199">
      <c r="A25" s="82" t="inlineStr">
        <is>
          <t>Labor</t>
        </is>
      </c>
      <c r="B25" s="83" t="inlineStr">
        <is>
          <t>Activities labor</t>
        </is>
      </c>
      <c r="C25" s="84" t="inlineStr">
        <is>
          <t>-</t>
        </is>
      </c>
      <c r="D25" s="85" t="n"/>
      <c r="E25" s="86" t="inlineStr">
        <is>
          <t>Activities Labor</t>
        </is>
      </c>
      <c r="F25" s="24">
        <f>SUMIF(T12_Calc!$N$1:$N$505,"Activities labor",T12_Calc!$B$1:$B$505)</f>
        <v/>
      </c>
      <c r="G25" s="24">
        <f>SUMIF(T12_Calc!$N$1:$N$505,"Activities labor",T12_Calc!$C$1:$C$505)</f>
        <v/>
      </c>
      <c r="H25" s="24">
        <f>SUMIF(T12_Calc!$N$1:$N$505,"Activities labor",T12_Calc!$D$1:$D$505)</f>
        <v/>
      </c>
      <c r="I25" s="24">
        <f>SUMIF(T12_Calc!$N$1:$N$505,"Activities labor",T12_Calc!$E$1:$E$505)</f>
        <v/>
      </c>
      <c r="J25" s="24">
        <f>SUMIF(T12_Calc!$N$1:$N$505,"Activities labor",T12_Calc!$F$1:$F$505)</f>
        <v/>
      </c>
      <c r="K25" s="24">
        <f>SUMIF(T12_Calc!$N$1:$N$505,"Activities labor",T12_Calc!$G$1:$G$505)</f>
        <v/>
      </c>
      <c r="L25" s="24">
        <f>SUMIF(T12_Calc!$N$1:$N$505,"Activities labor",T12_Calc!$H$1:$H$505)</f>
        <v/>
      </c>
      <c r="M25" s="24">
        <f>SUMIF(T12_Calc!$N$1:$N$505,"Activities labor",T12_Calc!$I$1:$I$505)</f>
        <v/>
      </c>
      <c r="N25" s="24">
        <f>SUMIF(T12_Calc!$N$1:$N$505,"Activities labor",T12_Calc!$J$1:$J$505)</f>
        <v/>
      </c>
      <c r="O25" s="24">
        <f>SUMIF(T12_Calc!$N$1:$N$505,"Activities labor",T12_Calc!$K$1:$K$505)</f>
        <v/>
      </c>
      <c r="P25" s="24">
        <f>SUMIF(T12_Calc!$N$1:$N$505,"Activities labor",T12_Calc!$L$1:$L$505)</f>
        <v/>
      </c>
      <c r="Q25" s="24">
        <f>SUMIF(T12_Calc!$N$1:$N$505,"Activities labor",T12_Calc!$M$1:$M$505)</f>
        <v/>
      </c>
      <c r="R25" s="87">
        <f>SUM(F25:Q25)</f>
        <v/>
      </c>
    </row>
    <row r="26" ht="15.75" customHeight="1" s="199">
      <c r="A26" s="82" t="inlineStr">
        <is>
          <t>Labor</t>
        </is>
      </c>
      <c r="B26" s="83" t="inlineStr">
        <is>
          <t>Dining / food service labor</t>
        </is>
      </c>
      <c r="C26" s="84" t="inlineStr">
        <is>
          <t>-</t>
        </is>
      </c>
      <c r="D26" s="85" t="n"/>
      <c r="E26" s="86" t="inlineStr">
        <is>
          <t>Food Service Labor | Dietary Labor | Dining Labor</t>
        </is>
      </c>
      <c r="F26" s="24">
        <f>SUMIF(T12_Calc!$N$1:$N$505,"Dining / food service labor",T12_Calc!$B$1:$B$505)</f>
        <v/>
      </c>
      <c r="G26" s="24">
        <f>SUMIF(T12_Calc!$N$1:$N$505,"Dining / food service labor",T12_Calc!$C$1:$C$505)</f>
        <v/>
      </c>
      <c r="H26" s="24">
        <f>SUMIF(T12_Calc!$N$1:$N$505,"Dining / food service labor",T12_Calc!$D$1:$D$505)</f>
        <v/>
      </c>
      <c r="I26" s="24">
        <f>SUMIF(T12_Calc!$N$1:$N$505,"Dining / food service labor",T12_Calc!$E$1:$E$505)</f>
        <v/>
      </c>
      <c r="J26" s="24">
        <f>SUMIF(T12_Calc!$N$1:$N$505,"Dining / food service labor",T12_Calc!$F$1:$F$505)</f>
        <v/>
      </c>
      <c r="K26" s="24">
        <f>SUMIF(T12_Calc!$N$1:$N$505,"Dining / food service labor",T12_Calc!$G$1:$G$505)</f>
        <v/>
      </c>
      <c r="L26" s="24">
        <f>SUMIF(T12_Calc!$N$1:$N$505,"Dining / food service labor",T12_Calc!$H$1:$H$505)</f>
        <v/>
      </c>
      <c r="M26" s="24">
        <f>SUMIF(T12_Calc!$N$1:$N$505,"Dining / food service labor",T12_Calc!$I$1:$I$505)</f>
        <v/>
      </c>
      <c r="N26" s="24">
        <f>SUMIF(T12_Calc!$N$1:$N$505,"Dining / food service labor",T12_Calc!$J$1:$J$505)</f>
        <v/>
      </c>
      <c r="O26" s="24">
        <f>SUMIF(T12_Calc!$N$1:$N$505,"Dining / food service labor",T12_Calc!$K$1:$K$505)</f>
        <v/>
      </c>
      <c r="P26" s="24">
        <f>SUMIF(T12_Calc!$N$1:$N$505,"Dining / food service labor",T12_Calc!$L$1:$L$505)</f>
        <v/>
      </c>
      <c r="Q26" s="24">
        <f>SUMIF(T12_Calc!$N$1:$N$505,"Dining / food service labor",T12_Calc!$M$1:$M$505)</f>
        <v/>
      </c>
      <c r="R26" s="87">
        <f>SUM(F26:Q26)</f>
        <v/>
      </c>
    </row>
    <row r="27" ht="15.75" customHeight="1" s="199">
      <c r="A27" s="82" t="inlineStr">
        <is>
          <t>Labor</t>
        </is>
      </c>
      <c r="B27" s="83" t="inlineStr">
        <is>
          <t>Maint. &amp; housekeeping labor</t>
        </is>
      </c>
      <c r="C27" s="84" t="inlineStr">
        <is>
          <t>-</t>
        </is>
      </c>
      <c r="D27" s="85" t="n"/>
      <c r="E27" s="86" t="inlineStr">
        <is>
          <t>Maintenance/Housekeeping Labor | Maintenance Labor | Housekeeping Labor</t>
        </is>
      </c>
      <c r="F27" s="24">
        <f>SUMIF(T12_Calc!$N$1:$N$505,"Maint. &amp; housekeeping labor",T12_Calc!$B$1:$B$505)</f>
        <v/>
      </c>
      <c r="G27" s="24">
        <f>SUMIF(T12_Calc!$N$1:$N$505,"Maint. &amp; housekeeping labor",T12_Calc!$C$1:$C$505)</f>
        <v/>
      </c>
      <c r="H27" s="24">
        <f>SUMIF(T12_Calc!$N$1:$N$505,"Maint. &amp; housekeeping labor",T12_Calc!$D$1:$D$505)</f>
        <v/>
      </c>
      <c r="I27" s="24">
        <f>SUMIF(T12_Calc!$N$1:$N$505,"Maint. &amp; housekeeping labor",T12_Calc!$E$1:$E$505)</f>
        <v/>
      </c>
      <c r="J27" s="24">
        <f>SUMIF(T12_Calc!$N$1:$N$505,"Maint. &amp; housekeeping labor",T12_Calc!$F$1:$F$505)</f>
        <v/>
      </c>
      <c r="K27" s="24">
        <f>SUMIF(T12_Calc!$N$1:$N$505,"Maint. &amp; housekeeping labor",T12_Calc!$G$1:$G$505)</f>
        <v/>
      </c>
      <c r="L27" s="24">
        <f>SUMIF(T12_Calc!$N$1:$N$505,"Maint. &amp; housekeeping labor",T12_Calc!$H$1:$H$505)</f>
        <v/>
      </c>
      <c r="M27" s="24">
        <f>SUMIF(T12_Calc!$N$1:$N$505,"Maint. &amp; housekeeping labor",T12_Calc!$I$1:$I$505)</f>
        <v/>
      </c>
      <c r="N27" s="24">
        <f>SUMIF(T12_Calc!$N$1:$N$505,"Maint. &amp; housekeeping labor",T12_Calc!$J$1:$J$505)</f>
        <v/>
      </c>
      <c r="O27" s="24">
        <f>SUMIF(T12_Calc!$N$1:$N$505,"Maint. &amp; housekeeping labor",T12_Calc!$K$1:$K$505)</f>
        <v/>
      </c>
      <c r="P27" s="24">
        <f>SUMIF(T12_Calc!$N$1:$N$505,"Maint. &amp; housekeeping labor",T12_Calc!$L$1:$L$505)</f>
        <v/>
      </c>
      <c r="Q27" s="24">
        <f>SUMIF(T12_Calc!$N$1:$N$505,"Maint. &amp; housekeeping labor",T12_Calc!$M$1:$M$505)</f>
        <v/>
      </c>
      <c r="R27" s="87">
        <f>SUM(F27:Q27)</f>
        <v/>
      </c>
    </row>
    <row r="28" ht="15.75" customHeight="1" s="199">
      <c r="A28" s="82" t="inlineStr">
        <is>
          <t>Labor</t>
        </is>
      </c>
      <c r="B28" s="83" t="inlineStr">
        <is>
          <t>Administrative labor</t>
        </is>
      </c>
      <c r="C28" s="84" t="inlineStr">
        <is>
          <t>-</t>
        </is>
      </c>
      <c r="D28" s="85" t="n"/>
      <c r="E28" s="86" t="inlineStr">
        <is>
          <t>Administration Labor | Administrative Labor</t>
        </is>
      </c>
      <c r="F28" s="24">
        <f>SUMIF(T12_Calc!$N$1:$N$505,"Administrative labor",T12_Calc!$B$1:$B$505)</f>
        <v/>
      </c>
      <c r="G28" s="24">
        <f>SUMIF(T12_Calc!$N$1:$N$505,"Administrative labor",T12_Calc!$C$1:$C$505)</f>
        <v/>
      </c>
      <c r="H28" s="24">
        <f>SUMIF(T12_Calc!$N$1:$N$505,"Administrative labor",T12_Calc!$D$1:$D$505)</f>
        <v/>
      </c>
      <c r="I28" s="24">
        <f>SUMIF(T12_Calc!$N$1:$N$505,"Administrative labor",T12_Calc!$E$1:$E$505)</f>
        <v/>
      </c>
      <c r="J28" s="24">
        <f>SUMIF(T12_Calc!$N$1:$N$505,"Administrative labor",T12_Calc!$F$1:$F$505)</f>
        <v/>
      </c>
      <c r="K28" s="24">
        <f>SUMIF(T12_Calc!$N$1:$N$505,"Administrative labor",T12_Calc!$G$1:$G$505)</f>
        <v/>
      </c>
      <c r="L28" s="24">
        <f>SUMIF(T12_Calc!$N$1:$N$505,"Administrative labor",T12_Calc!$H$1:$H$505)</f>
        <v/>
      </c>
      <c r="M28" s="24">
        <f>SUMIF(T12_Calc!$N$1:$N$505,"Administrative labor",T12_Calc!$I$1:$I$505)</f>
        <v/>
      </c>
      <c r="N28" s="24">
        <f>SUMIF(T12_Calc!$N$1:$N$505,"Administrative labor",T12_Calc!$J$1:$J$505)</f>
        <v/>
      </c>
      <c r="O28" s="24">
        <f>SUMIF(T12_Calc!$N$1:$N$505,"Administrative labor",T12_Calc!$K$1:$K$505)</f>
        <v/>
      </c>
      <c r="P28" s="24">
        <f>SUMIF(T12_Calc!$N$1:$N$505,"Administrative labor",T12_Calc!$L$1:$L$505)</f>
        <v/>
      </c>
      <c r="Q28" s="24">
        <f>SUMIF(T12_Calc!$N$1:$N$505,"Administrative labor",T12_Calc!$M$1:$M$505)</f>
        <v/>
      </c>
      <c r="R28" s="87">
        <f>SUM(F28:Q28)</f>
        <v/>
      </c>
    </row>
    <row r="29" ht="15.75" customHeight="1" s="199">
      <c r="A29" s="88" t="inlineStr">
        <is>
          <t>Labor</t>
        </is>
      </c>
      <c r="B29" s="89" t="inlineStr">
        <is>
          <t>Bonus wages</t>
        </is>
      </c>
      <c r="C29" s="90" t="inlineStr">
        <is>
          <t>-</t>
        </is>
      </c>
      <c r="D29" s="91" t="inlineStr">
        <is>
          <t>Stabilize annually</t>
        </is>
      </c>
      <c r="E29" s="92" t="inlineStr">
        <is>
          <t>Bonus Wages</t>
        </is>
      </c>
      <c r="F29" s="47">
        <f>SUMIF(T12_Calc!$N$1:$N$505,"Bonus wages",T12_Calc!$B$1:$B$505)</f>
        <v/>
      </c>
      <c r="G29" s="47">
        <f>SUMIF(T12_Calc!$N$1:$N$505,"Bonus wages",T12_Calc!$C$1:$C$505)</f>
        <v/>
      </c>
      <c r="H29" s="47">
        <f>SUMIF(T12_Calc!$N$1:$N$505,"Bonus wages",T12_Calc!$D$1:$D$505)</f>
        <v/>
      </c>
      <c r="I29" s="47">
        <f>SUMIF(T12_Calc!$N$1:$N$505,"Bonus wages",T12_Calc!$E$1:$E$505)</f>
        <v/>
      </c>
      <c r="J29" s="47">
        <f>SUMIF(T12_Calc!$N$1:$N$505,"Bonus wages",T12_Calc!$F$1:$F$505)</f>
        <v/>
      </c>
      <c r="K29" s="47">
        <f>SUMIF(T12_Calc!$N$1:$N$505,"Bonus wages",T12_Calc!$G$1:$G$505)</f>
        <v/>
      </c>
      <c r="L29" s="47">
        <f>SUMIF(T12_Calc!$N$1:$N$505,"Bonus wages",T12_Calc!$H$1:$H$505)</f>
        <v/>
      </c>
      <c r="M29" s="47">
        <f>SUMIF(T12_Calc!$N$1:$N$505,"Bonus wages",T12_Calc!$I$1:$I$505)</f>
        <v/>
      </c>
      <c r="N29" s="47">
        <f>SUMIF(T12_Calc!$N$1:$N$505,"Bonus wages",T12_Calc!$J$1:$J$505)</f>
        <v/>
      </c>
      <c r="O29" s="47">
        <f>SUMIF(T12_Calc!$N$1:$N$505,"Bonus wages",T12_Calc!$K$1:$K$505)</f>
        <v/>
      </c>
      <c r="P29" s="47">
        <f>SUMIF(T12_Calc!$N$1:$N$505,"Bonus wages",T12_Calc!$L$1:$L$505)</f>
        <v/>
      </c>
      <c r="Q29" s="47">
        <f>SUMIF(T12_Calc!$N$1:$N$505,"Bonus wages",T12_Calc!$M$1:$M$505)</f>
        <v/>
      </c>
      <c r="R29" s="93">
        <f>SUM(F29:Q29)</f>
        <v/>
      </c>
    </row>
    <row r="30" ht="15.75" customHeight="1" s="199">
      <c r="A30" s="88" t="inlineStr">
        <is>
          <t>Labor</t>
        </is>
      </c>
      <c r="B30" s="89" t="inlineStr">
        <is>
          <t>Overtime wages</t>
        </is>
      </c>
      <c r="C30" s="90" t="inlineStr">
        <is>
          <t>-</t>
        </is>
      </c>
      <c r="D30" s="91" t="inlineStr">
        <is>
          <t>Flag if &gt;5% of wages</t>
        </is>
      </c>
      <c r="E30" s="92" t="inlineStr">
        <is>
          <t>Overtime | Overtime Wages | OT Wages</t>
        </is>
      </c>
      <c r="F30" s="47">
        <f>SUMIF(T12_Calc!$N$1:$N$505,"Overtime wages",T12_Calc!$B$1:$B$505)</f>
        <v/>
      </c>
      <c r="G30" s="47">
        <f>SUMIF(T12_Calc!$N$1:$N$505,"Overtime wages",T12_Calc!$C$1:$C$505)</f>
        <v/>
      </c>
      <c r="H30" s="47">
        <f>SUMIF(T12_Calc!$N$1:$N$505,"Overtime wages",T12_Calc!$D$1:$D$505)</f>
        <v/>
      </c>
      <c r="I30" s="47">
        <f>SUMIF(T12_Calc!$N$1:$N$505,"Overtime wages",T12_Calc!$E$1:$E$505)</f>
        <v/>
      </c>
      <c r="J30" s="47">
        <f>SUMIF(T12_Calc!$N$1:$N$505,"Overtime wages",T12_Calc!$F$1:$F$505)</f>
        <v/>
      </c>
      <c r="K30" s="47">
        <f>SUMIF(T12_Calc!$N$1:$N$505,"Overtime wages",T12_Calc!$G$1:$G$505)</f>
        <v/>
      </c>
      <c r="L30" s="47">
        <f>SUMIF(T12_Calc!$N$1:$N$505,"Overtime wages",T12_Calc!$H$1:$H$505)</f>
        <v/>
      </c>
      <c r="M30" s="47">
        <f>SUMIF(T12_Calc!$N$1:$N$505,"Overtime wages",T12_Calc!$I$1:$I$505)</f>
        <v/>
      </c>
      <c r="N30" s="47">
        <f>SUMIF(T12_Calc!$N$1:$N$505,"Overtime wages",T12_Calc!$J$1:$J$505)</f>
        <v/>
      </c>
      <c r="O30" s="47">
        <f>SUMIF(T12_Calc!$N$1:$N$505,"Overtime wages",T12_Calc!$K$1:$K$505)</f>
        <v/>
      </c>
      <c r="P30" s="47">
        <f>SUMIF(T12_Calc!$N$1:$N$505,"Overtime wages",T12_Calc!$L$1:$L$505)</f>
        <v/>
      </c>
      <c r="Q30" s="47">
        <f>SUMIF(T12_Calc!$N$1:$N$505,"Overtime wages",T12_Calc!$M$1:$M$505)</f>
        <v/>
      </c>
      <c r="R30" s="93">
        <f>SUM(F30:Q30)</f>
        <v/>
      </c>
    </row>
    <row r="31" ht="15.75" customHeight="1" s="199">
      <c r="A31" s="88" t="inlineStr">
        <is>
          <t>Labor</t>
        </is>
      </c>
      <c r="B31" s="89" t="inlineStr">
        <is>
          <t>PTO wages</t>
        </is>
      </c>
      <c r="C31" s="90" t="inlineStr">
        <is>
          <t>-</t>
        </is>
      </c>
      <c r="D31" s="91" t="inlineStr">
        <is>
          <t>Annualize</t>
        </is>
      </c>
      <c r="E31" s="92" t="inlineStr">
        <is>
          <t>PTO Wages | PTO</t>
        </is>
      </c>
      <c r="F31" s="47">
        <f>SUMIF(T12_Calc!$N$1:$N$505,"PTO wages",T12_Calc!$B$1:$B$505)</f>
        <v/>
      </c>
      <c r="G31" s="47">
        <f>SUMIF(T12_Calc!$N$1:$N$505,"PTO wages",T12_Calc!$C$1:$C$505)</f>
        <v/>
      </c>
      <c r="H31" s="47">
        <f>SUMIF(T12_Calc!$N$1:$N$505,"PTO wages",T12_Calc!$D$1:$D$505)</f>
        <v/>
      </c>
      <c r="I31" s="47">
        <f>SUMIF(T12_Calc!$N$1:$N$505,"PTO wages",T12_Calc!$E$1:$E$505)</f>
        <v/>
      </c>
      <c r="J31" s="47">
        <f>SUMIF(T12_Calc!$N$1:$N$505,"PTO wages",T12_Calc!$F$1:$F$505)</f>
        <v/>
      </c>
      <c r="K31" s="47">
        <f>SUMIF(T12_Calc!$N$1:$N$505,"PTO wages",T12_Calc!$G$1:$G$505)</f>
        <v/>
      </c>
      <c r="L31" s="47">
        <f>SUMIF(T12_Calc!$N$1:$N$505,"PTO wages",T12_Calc!$H$1:$H$505)</f>
        <v/>
      </c>
      <c r="M31" s="47">
        <f>SUMIF(T12_Calc!$N$1:$N$505,"PTO wages",T12_Calc!$I$1:$I$505)</f>
        <v/>
      </c>
      <c r="N31" s="47">
        <f>SUMIF(T12_Calc!$N$1:$N$505,"PTO wages",T12_Calc!$J$1:$J$505)</f>
        <v/>
      </c>
      <c r="O31" s="47">
        <f>SUMIF(T12_Calc!$N$1:$N$505,"PTO wages",T12_Calc!$K$1:$K$505)</f>
        <v/>
      </c>
      <c r="P31" s="47">
        <f>SUMIF(T12_Calc!$N$1:$N$505,"PTO wages",T12_Calc!$L$1:$L$505)</f>
        <v/>
      </c>
      <c r="Q31" s="47">
        <f>SUMIF(T12_Calc!$N$1:$N$505,"PTO wages",T12_Calc!$M$1:$M$505)</f>
        <v/>
      </c>
      <c r="R31" s="93">
        <f>SUM(F31:Q31)</f>
        <v/>
      </c>
    </row>
    <row r="32" ht="15.75" customHeight="1" s="199">
      <c r="A32" s="82" t="inlineStr">
        <is>
          <t>Labor</t>
        </is>
      </c>
      <c r="B32" s="83" t="inlineStr">
        <is>
          <t>Payroll taxes</t>
        </is>
      </c>
      <c r="C32" s="84" t="inlineStr">
        <is>
          <t>-</t>
        </is>
      </c>
      <c r="D32" s="85" t="n"/>
      <c r="E32" s="86" t="inlineStr">
        <is>
          <t>Payroll Taxes</t>
        </is>
      </c>
      <c r="F32" s="24">
        <f>SUMIF(T12_Calc!$N$1:$N$505,"Payroll taxes",T12_Calc!$B$1:$B$505)</f>
        <v/>
      </c>
      <c r="G32" s="24">
        <f>SUMIF(T12_Calc!$N$1:$N$505,"Payroll taxes",T12_Calc!$C$1:$C$505)</f>
        <v/>
      </c>
      <c r="H32" s="24">
        <f>SUMIF(T12_Calc!$N$1:$N$505,"Payroll taxes",T12_Calc!$D$1:$D$505)</f>
        <v/>
      </c>
      <c r="I32" s="24">
        <f>SUMIF(T12_Calc!$N$1:$N$505,"Payroll taxes",T12_Calc!$E$1:$E$505)</f>
        <v/>
      </c>
      <c r="J32" s="24">
        <f>SUMIF(T12_Calc!$N$1:$N$505,"Payroll taxes",T12_Calc!$F$1:$F$505)</f>
        <v/>
      </c>
      <c r="K32" s="24">
        <f>SUMIF(T12_Calc!$N$1:$N$505,"Payroll taxes",T12_Calc!$G$1:$G$505)</f>
        <v/>
      </c>
      <c r="L32" s="24">
        <f>SUMIF(T12_Calc!$N$1:$N$505,"Payroll taxes",T12_Calc!$H$1:$H$505)</f>
        <v/>
      </c>
      <c r="M32" s="24">
        <f>SUMIF(T12_Calc!$N$1:$N$505,"Payroll taxes",T12_Calc!$I$1:$I$505)</f>
        <v/>
      </c>
      <c r="N32" s="24">
        <f>SUMIF(T12_Calc!$N$1:$N$505,"Payroll taxes",T12_Calc!$J$1:$J$505)</f>
        <v/>
      </c>
      <c r="O32" s="24">
        <f>SUMIF(T12_Calc!$N$1:$N$505,"Payroll taxes",T12_Calc!$K$1:$K$505)</f>
        <v/>
      </c>
      <c r="P32" s="24">
        <f>SUMIF(T12_Calc!$N$1:$N$505,"Payroll taxes",T12_Calc!$L$1:$L$505)</f>
        <v/>
      </c>
      <c r="Q32" s="24">
        <f>SUMIF(T12_Calc!$N$1:$N$505,"Payroll taxes",T12_Calc!$M$1:$M$505)</f>
        <v/>
      </c>
      <c r="R32" s="87">
        <f>SUM(F32:Q32)</f>
        <v/>
      </c>
    </row>
    <row r="33" ht="15.75" customHeight="1" s="199">
      <c r="A33" s="82" t="inlineStr">
        <is>
          <t>Labor</t>
        </is>
      </c>
      <c r="B33" s="83" t="inlineStr">
        <is>
          <t>Employee benefits</t>
        </is>
      </c>
      <c r="C33" s="84" t="inlineStr">
        <is>
          <t>-</t>
        </is>
      </c>
      <c r="D33" s="85" t="n"/>
      <c r="E33" s="86" t="inlineStr">
        <is>
          <t>Employee Benefits - Insurance | Employee Benefits</t>
        </is>
      </c>
      <c r="F33" s="24">
        <f>SUMIF(T12_Calc!$N$1:$N$505,"Employee benefits",T12_Calc!$B$1:$B$505)</f>
        <v/>
      </c>
      <c r="G33" s="24">
        <f>SUMIF(T12_Calc!$N$1:$N$505,"Employee benefits",T12_Calc!$C$1:$C$505)</f>
        <v/>
      </c>
      <c r="H33" s="24">
        <f>SUMIF(T12_Calc!$N$1:$N$505,"Employee benefits",T12_Calc!$D$1:$D$505)</f>
        <v/>
      </c>
      <c r="I33" s="24">
        <f>SUMIF(T12_Calc!$N$1:$N$505,"Employee benefits",T12_Calc!$E$1:$E$505)</f>
        <v/>
      </c>
      <c r="J33" s="24">
        <f>SUMIF(T12_Calc!$N$1:$N$505,"Employee benefits",T12_Calc!$F$1:$F$505)</f>
        <v/>
      </c>
      <c r="K33" s="24">
        <f>SUMIF(T12_Calc!$N$1:$N$505,"Employee benefits",T12_Calc!$G$1:$G$505)</f>
        <v/>
      </c>
      <c r="L33" s="24">
        <f>SUMIF(T12_Calc!$N$1:$N$505,"Employee benefits",T12_Calc!$H$1:$H$505)</f>
        <v/>
      </c>
      <c r="M33" s="24">
        <f>SUMIF(T12_Calc!$N$1:$N$505,"Employee benefits",T12_Calc!$I$1:$I$505)</f>
        <v/>
      </c>
      <c r="N33" s="24">
        <f>SUMIF(T12_Calc!$N$1:$N$505,"Employee benefits",T12_Calc!$J$1:$J$505)</f>
        <v/>
      </c>
      <c r="O33" s="24">
        <f>SUMIF(T12_Calc!$N$1:$N$505,"Employee benefits",T12_Calc!$K$1:$K$505)</f>
        <v/>
      </c>
      <c r="P33" s="24">
        <f>SUMIF(T12_Calc!$N$1:$N$505,"Employee benefits",T12_Calc!$L$1:$L$505)</f>
        <v/>
      </c>
      <c r="Q33" s="24">
        <f>SUMIF(T12_Calc!$N$1:$N$505,"Employee benefits",T12_Calc!$M$1:$M$505)</f>
        <v/>
      </c>
      <c r="R33" s="87">
        <f>SUM(F33:Q33)</f>
        <v/>
      </c>
    </row>
    <row r="34" ht="15.75" customHeight="1" s="199">
      <c r="A34" s="82" t="inlineStr">
        <is>
          <t>Labor</t>
        </is>
      </c>
      <c r="B34" s="83" t="inlineStr">
        <is>
          <t>Workers' comp insurance</t>
        </is>
      </c>
      <c r="C34" s="84" t="inlineStr">
        <is>
          <t>-</t>
        </is>
      </c>
      <c r="D34" s="85" t="n"/>
      <c r="E34" s="86" t="inlineStr">
        <is>
          <t>Worker's Comp Insurance | Workers Comp Insurance | Workers' Compensation</t>
        </is>
      </c>
      <c r="F34" s="24">
        <f>SUMIF(T12_Calc!$N$1:$N$505,"Workers' comp insurance",T12_Calc!$B$1:$B$505)</f>
        <v/>
      </c>
      <c r="G34" s="24">
        <f>SUMIF(T12_Calc!$N$1:$N$505,"Workers' comp insurance",T12_Calc!$C$1:$C$505)</f>
        <v/>
      </c>
      <c r="H34" s="24">
        <f>SUMIF(T12_Calc!$N$1:$N$505,"Workers' comp insurance",T12_Calc!$D$1:$D$505)</f>
        <v/>
      </c>
      <c r="I34" s="24">
        <f>SUMIF(T12_Calc!$N$1:$N$505,"Workers' comp insurance",T12_Calc!$E$1:$E$505)</f>
        <v/>
      </c>
      <c r="J34" s="24">
        <f>SUMIF(T12_Calc!$N$1:$N$505,"Workers' comp insurance",T12_Calc!$F$1:$F$505)</f>
        <v/>
      </c>
      <c r="K34" s="24">
        <f>SUMIF(T12_Calc!$N$1:$N$505,"Workers' comp insurance",T12_Calc!$G$1:$G$505)</f>
        <v/>
      </c>
      <c r="L34" s="24">
        <f>SUMIF(T12_Calc!$N$1:$N$505,"Workers' comp insurance",T12_Calc!$H$1:$H$505)</f>
        <v/>
      </c>
      <c r="M34" s="24">
        <f>SUMIF(T12_Calc!$N$1:$N$505,"Workers' comp insurance",T12_Calc!$I$1:$I$505)</f>
        <v/>
      </c>
      <c r="N34" s="24">
        <f>SUMIF(T12_Calc!$N$1:$N$505,"Workers' comp insurance",T12_Calc!$J$1:$J$505)</f>
        <v/>
      </c>
      <c r="O34" s="24">
        <f>SUMIF(T12_Calc!$N$1:$N$505,"Workers' comp insurance",T12_Calc!$K$1:$K$505)</f>
        <v/>
      </c>
      <c r="P34" s="24">
        <f>SUMIF(T12_Calc!$N$1:$N$505,"Workers' comp insurance",T12_Calc!$L$1:$L$505)</f>
        <v/>
      </c>
      <c r="Q34" s="24">
        <f>SUMIF(T12_Calc!$N$1:$N$505,"Workers' comp insurance",T12_Calc!$M$1:$M$505)</f>
        <v/>
      </c>
      <c r="R34" s="87">
        <f>SUM(F34:Q34)</f>
        <v/>
      </c>
    </row>
    <row r="35" ht="15.75" customHeight="1" s="199">
      <c r="A35" s="82" t="inlineStr">
        <is>
          <t>Labor</t>
        </is>
      </c>
      <c r="B35" s="83" t="inlineStr">
        <is>
          <t>Employee 401(k)</t>
        </is>
      </c>
      <c r="C35" s="84" t="inlineStr">
        <is>
          <t>-</t>
        </is>
      </c>
      <c r="D35" s="85" t="n"/>
      <c r="E35" s="86" t="inlineStr">
        <is>
          <t>Employee 401(K) | Employee 401(k)</t>
        </is>
      </c>
      <c r="F35" s="24">
        <f>SUMIF(T12_Calc!$N$1:$N$505,"Employee 401(k)",T12_Calc!$B$1:$B$505)</f>
        <v/>
      </c>
      <c r="G35" s="24">
        <f>SUMIF(T12_Calc!$N$1:$N$505,"Employee 401(k)",T12_Calc!$C$1:$C$505)</f>
        <v/>
      </c>
      <c r="H35" s="24">
        <f>SUMIF(T12_Calc!$N$1:$N$505,"Employee 401(k)",T12_Calc!$D$1:$D$505)</f>
        <v/>
      </c>
      <c r="I35" s="24">
        <f>SUMIF(T12_Calc!$N$1:$N$505,"Employee 401(k)",T12_Calc!$E$1:$E$505)</f>
        <v/>
      </c>
      <c r="J35" s="24">
        <f>SUMIF(T12_Calc!$N$1:$N$505,"Employee 401(k)",T12_Calc!$F$1:$F$505)</f>
        <v/>
      </c>
      <c r="K35" s="24">
        <f>SUMIF(T12_Calc!$N$1:$N$505,"Employee 401(k)",T12_Calc!$G$1:$G$505)</f>
        <v/>
      </c>
      <c r="L35" s="24">
        <f>SUMIF(T12_Calc!$N$1:$N$505,"Employee 401(k)",T12_Calc!$H$1:$H$505)</f>
        <v/>
      </c>
      <c r="M35" s="24">
        <f>SUMIF(T12_Calc!$N$1:$N$505,"Employee 401(k)",T12_Calc!$I$1:$I$505)</f>
        <v/>
      </c>
      <c r="N35" s="24">
        <f>SUMIF(T12_Calc!$N$1:$N$505,"Employee 401(k)",T12_Calc!$J$1:$J$505)</f>
        <v/>
      </c>
      <c r="O35" s="24">
        <f>SUMIF(T12_Calc!$N$1:$N$505,"Employee 401(k)",T12_Calc!$K$1:$K$505)</f>
        <v/>
      </c>
      <c r="P35" s="24">
        <f>SUMIF(T12_Calc!$N$1:$N$505,"Employee 401(k)",T12_Calc!$L$1:$L$505)</f>
        <v/>
      </c>
      <c r="Q35" s="24">
        <f>SUMIF(T12_Calc!$N$1:$N$505,"Employee 401(k)",T12_Calc!$M$1:$M$505)</f>
        <v/>
      </c>
      <c r="R35" s="87">
        <f>SUM(F35:Q35)</f>
        <v/>
      </c>
    </row>
    <row r="36" ht="15.75" customHeight="1" s="199">
      <c r="A36" s="82" t="inlineStr">
        <is>
          <t>Non-Labor</t>
        </is>
      </c>
      <c r="B36" s="83" t="inlineStr">
        <is>
          <t>Food cost</t>
        </is>
      </c>
      <c r="C36" s="84" t="inlineStr">
        <is>
          <t>-</t>
        </is>
      </c>
      <c r="D36" s="85" t="n"/>
      <c r="E36" s="86" t="inlineStr">
        <is>
          <t>Food Cost</t>
        </is>
      </c>
      <c r="F36" s="24">
        <f>SUMIF(T12_Calc!$N$1:$N$505,"Food cost",T12_Calc!$B$1:$B$505)</f>
        <v/>
      </c>
      <c r="G36" s="24">
        <f>SUMIF(T12_Calc!$N$1:$N$505,"Food cost",T12_Calc!$C$1:$C$505)</f>
        <v/>
      </c>
      <c r="H36" s="24">
        <f>SUMIF(T12_Calc!$N$1:$N$505,"Food cost",T12_Calc!$D$1:$D$505)</f>
        <v/>
      </c>
      <c r="I36" s="24">
        <f>SUMIF(T12_Calc!$N$1:$N$505,"Food cost",T12_Calc!$E$1:$E$505)</f>
        <v/>
      </c>
      <c r="J36" s="24">
        <f>SUMIF(T12_Calc!$N$1:$N$505,"Food cost",T12_Calc!$F$1:$F$505)</f>
        <v/>
      </c>
      <c r="K36" s="24">
        <f>SUMIF(T12_Calc!$N$1:$N$505,"Food cost",T12_Calc!$G$1:$G$505)</f>
        <v/>
      </c>
      <c r="L36" s="24">
        <f>SUMIF(T12_Calc!$N$1:$N$505,"Food cost",T12_Calc!$H$1:$H$505)</f>
        <v/>
      </c>
      <c r="M36" s="24">
        <f>SUMIF(T12_Calc!$N$1:$N$505,"Food cost",T12_Calc!$I$1:$I$505)</f>
        <v/>
      </c>
      <c r="N36" s="24">
        <f>SUMIF(T12_Calc!$N$1:$N$505,"Food cost",T12_Calc!$J$1:$J$505)</f>
        <v/>
      </c>
      <c r="O36" s="24">
        <f>SUMIF(T12_Calc!$N$1:$N$505,"Food cost",T12_Calc!$K$1:$K$505)</f>
        <v/>
      </c>
      <c r="P36" s="24">
        <f>SUMIF(T12_Calc!$N$1:$N$505,"Food cost",T12_Calc!$L$1:$L$505)</f>
        <v/>
      </c>
      <c r="Q36" s="24">
        <f>SUMIF(T12_Calc!$N$1:$N$505,"Food cost",T12_Calc!$M$1:$M$505)</f>
        <v/>
      </c>
      <c r="R36" s="87">
        <f>SUM(F36:Q36)</f>
        <v/>
      </c>
    </row>
    <row r="37" ht="15.75" customHeight="1" s="199">
      <c r="A37" s="82" t="inlineStr">
        <is>
          <t>Non-Labor</t>
        </is>
      </c>
      <c r="B37" s="83" t="inlineStr">
        <is>
          <t>Dining &amp; kitchen supplies</t>
        </is>
      </c>
      <c r="C37" s="84" t="inlineStr">
        <is>
          <t>-</t>
        </is>
      </c>
      <c r="D37" s="85" t="n"/>
      <c r="E37" s="86" t="inlineStr">
        <is>
          <t>Dietary Supplies</t>
        </is>
      </c>
      <c r="F37" s="24">
        <f>SUMIF(T12_Calc!$N$1:$N$505,"Dining &amp; kitchen supplies",T12_Calc!$B$1:$B$505)</f>
        <v/>
      </c>
      <c r="G37" s="24">
        <f>SUMIF(T12_Calc!$N$1:$N$505,"Dining &amp; kitchen supplies",T12_Calc!$C$1:$C$505)</f>
        <v/>
      </c>
      <c r="H37" s="24">
        <f>SUMIF(T12_Calc!$N$1:$N$505,"Dining &amp; kitchen supplies",T12_Calc!$D$1:$D$505)</f>
        <v/>
      </c>
      <c r="I37" s="24">
        <f>SUMIF(T12_Calc!$N$1:$N$505,"Dining &amp; kitchen supplies",T12_Calc!$E$1:$E$505)</f>
        <v/>
      </c>
      <c r="J37" s="24">
        <f>SUMIF(T12_Calc!$N$1:$N$505,"Dining &amp; kitchen supplies",T12_Calc!$F$1:$F$505)</f>
        <v/>
      </c>
      <c r="K37" s="24">
        <f>SUMIF(T12_Calc!$N$1:$N$505,"Dining &amp; kitchen supplies",T12_Calc!$G$1:$G$505)</f>
        <v/>
      </c>
      <c r="L37" s="24">
        <f>SUMIF(T12_Calc!$N$1:$N$505,"Dining &amp; kitchen supplies",T12_Calc!$H$1:$H$505)</f>
        <v/>
      </c>
      <c r="M37" s="24">
        <f>SUMIF(T12_Calc!$N$1:$N$505,"Dining &amp; kitchen supplies",T12_Calc!$I$1:$I$505)</f>
        <v/>
      </c>
      <c r="N37" s="24">
        <f>SUMIF(T12_Calc!$N$1:$N$505,"Dining &amp; kitchen supplies",T12_Calc!$J$1:$J$505)</f>
        <v/>
      </c>
      <c r="O37" s="24">
        <f>SUMIF(T12_Calc!$N$1:$N$505,"Dining &amp; kitchen supplies",T12_Calc!$K$1:$K$505)</f>
        <v/>
      </c>
      <c r="P37" s="24">
        <f>SUMIF(T12_Calc!$N$1:$N$505,"Dining &amp; kitchen supplies",T12_Calc!$L$1:$L$505)</f>
        <v/>
      </c>
      <c r="Q37" s="24">
        <f>SUMIF(T12_Calc!$N$1:$N$505,"Dining &amp; kitchen supplies",T12_Calc!$M$1:$M$505)</f>
        <v/>
      </c>
      <c r="R37" s="87">
        <f>SUM(F37:Q37)</f>
        <v/>
      </c>
    </row>
    <row r="38" ht="15.75" customHeight="1" s="199">
      <c r="A38" s="82" t="inlineStr">
        <is>
          <t>Non-Labor</t>
        </is>
      </c>
      <c r="B38" s="83" t="inlineStr">
        <is>
          <t>Nursing &amp; care supplies</t>
        </is>
      </c>
      <c r="C38" s="84" t="inlineStr">
        <is>
          <t>-</t>
        </is>
      </c>
      <c r="D38" s="85" t="n"/>
      <c r="E38" s="86" t="inlineStr">
        <is>
          <t>Nursing Supplies</t>
        </is>
      </c>
      <c r="F38" s="24">
        <f>SUMIF(T12_Calc!$N$1:$N$505,"Nursing &amp; care supplies",T12_Calc!$B$1:$B$505)</f>
        <v/>
      </c>
      <c r="G38" s="24">
        <f>SUMIF(T12_Calc!$N$1:$N$505,"Nursing &amp; care supplies",T12_Calc!$C$1:$C$505)</f>
        <v/>
      </c>
      <c r="H38" s="24">
        <f>SUMIF(T12_Calc!$N$1:$N$505,"Nursing &amp; care supplies",T12_Calc!$D$1:$D$505)</f>
        <v/>
      </c>
      <c r="I38" s="24">
        <f>SUMIF(T12_Calc!$N$1:$N$505,"Nursing &amp; care supplies",T12_Calc!$E$1:$E$505)</f>
        <v/>
      </c>
      <c r="J38" s="24">
        <f>SUMIF(T12_Calc!$N$1:$N$505,"Nursing &amp; care supplies",T12_Calc!$F$1:$F$505)</f>
        <v/>
      </c>
      <c r="K38" s="24">
        <f>SUMIF(T12_Calc!$N$1:$N$505,"Nursing &amp; care supplies",T12_Calc!$G$1:$G$505)</f>
        <v/>
      </c>
      <c r="L38" s="24">
        <f>SUMIF(T12_Calc!$N$1:$N$505,"Nursing &amp; care supplies",T12_Calc!$H$1:$H$505)</f>
        <v/>
      </c>
      <c r="M38" s="24">
        <f>SUMIF(T12_Calc!$N$1:$N$505,"Nursing &amp; care supplies",T12_Calc!$I$1:$I$505)</f>
        <v/>
      </c>
      <c r="N38" s="24">
        <f>SUMIF(T12_Calc!$N$1:$N$505,"Nursing &amp; care supplies",T12_Calc!$J$1:$J$505)</f>
        <v/>
      </c>
      <c r="O38" s="24">
        <f>SUMIF(T12_Calc!$N$1:$N$505,"Nursing &amp; care supplies",T12_Calc!$K$1:$K$505)</f>
        <v/>
      </c>
      <c r="P38" s="24">
        <f>SUMIF(T12_Calc!$N$1:$N$505,"Nursing &amp; care supplies",T12_Calc!$L$1:$L$505)</f>
        <v/>
      </c>
      <c r="Q38" s="24">
        <f>SUMIF(T12_Calc!$N$1:$N$505,"Nursing &amp; care supplies",T12_Calc!$M$1:$M$505)</f>
        <v/>
      </c>
      <c r="R38" s="87">
        <f>SUM(F38:Q38)</f>
        <v/>
      </c>
    </row>
    <row r="39" ht="15.75" customHeight="1" s="199">
      <c r="A39" s="82" t="inlineStr">
        <is>
          <t>Non-Labor</t>
        </is>
      </c>
      <c r="B39" s="83" t="inlineStr">
        <is>
          <t>Recreation &amp; activity suppl.</t>
        </is>
      </c>
      <c r="C39" s="84" t="inlineStr">
        <is>
          <t>-</t>
        </is>
      </c>
      <c r="D39" s="85" t="n"/>
      <c r="E39" s="86" t="inlineStr">
        <is>
          <t>Recreation Supplies</t>
        </is>
      </c>
      <c r="F39" s="24">
        <f>SUMIF(T12_Calc!$N$1:$N$505,"Recreation &amp; activity suppl.",T12_Calc!$B$1:$B$505)</f>
        <v/>
      </c>
      <c r="G39" s="24">
        <f>SUMIF(T12_Calc!$N$1:$N$505,"Recreation &amp; activity suppl.",T12_Calc!$C$1:$C$505)</f>
        <v/>
      </c>
      <c r="H39" s="24">
        <f>SUMIF(T12_Calc!$N$1:$N$505,"Recreation &amp; activity suppl.",T12_Calc!$D$1:$D$505)</f>
        <v/>
      </c>
      <c r="I39" s="24">
        <f>SUMIF(T12_Calc!$N$1:$N$505,"Recreation &amp; activity suppl.",T12_Calc!$E$1:$E$505)</f>
        <v/>
      </c>
      <c r="J39" s="24">
        <f>SUMIF(T12_Calc!$N$1:$N$505,"Recreation &amp; activity suppl.",T12_Calc!$F$1:$F$505)</f>
        <v/>
      </c>
      <c r="K39" s="24">
        <f>SUMIF(T12_Calc!$N$1:$N$505,"Recreation &amp; activity suppl.",T12_Calc!$G$1:$G$505)</f>
        <v/>
      </c>
      <c r="L39" s="24">
        <f>SUMIF(T12_Calc!$N$1:$N$505,"Recreation &amp; activity suppl.",T12_Calc!$H$1:$H$505)</f>
        <v/>
      </c>
      <c r="M39" s="24">
        <f>SUMIF(T12_Calc!$N$1:$N$505,"Recreation &amp; activity suppl.",T12_Calc!$I$1:$I$505)</f>
        <v/>
      </c>
      <c r="N39" s="24">
        <f>SUMIF(T12_Calc!$N$1:$N$505,"Recreation &amp; activity suppl.",T12_Calc!$J$1:$J$505)</f>
        <v/>
      </c>
      <c r="O39" s="24">
        <f>SUMIF(T12_Calc!$N$1:$N$505,"Recreation &amp; activity suppl.",T12_Calc!$K$1:$K$505)</f>
        <v/>
      </c>
      <c r="P39" s="24">
        <f>SUMIF(T12_Calc!$N$1:$N$505,"Recreation &amp; activity suppl.",T12_Calc!$L$1:$L$505)</f>
        <v/>
      </c>
      <c r="Q39" s="24">
        <f>SUMIF(T12_Calc!$N$1:$N$505,"Recreation &amp; activity suppl.",T12_Calc!$M$1:$M$505)</f>
        <v/>
      </c>
      <c r="R39" s="87">
        <f>SUM(F39:Q39)</f>
        <v/>
      </c>
    </row>
    <row r="40" ht="15.75" customHeight="1" s="199">
      <c r="A40" s="82" t="inlineStr">
        <is>
          <t>Non-Labor</t>
        </is>
      </c>
      <c r="B40" s="83" t="inlineStr">
        <is>
          <t>R&amp;M fixed</t>
        </is>
      </c>
      <c r="C40" s="84" t="inlineStr">
        <is>
          <t>-</t>
        </is>
      </c>
      <c r="D40" s="85" t="n"/>
      <c r="E40" s="86" t="inlineStr">
        <is>
          <t>R &amp; M-Fixed | R&amp;M-Fixed | Maintenance Supplies</t>
        </is>
      </c>
      <c r="F40" s="24">
        <f>SUMIF(T12_Calc!$N$1:$N$505,"R&amp;M fixed",T12_Calc!$B$1:$B$505)</f>
        <v/>
      </c>
      <c r="G40" s="24">
        <f>SUMIF(T12_Calc!$N$1:$N$505,"R&amp;M fixed",T12_Calc!$C$1:$C$505)</f>
        <v/>
      </c>
      <c r="H40" s="24">
        <f>SUMIF(T12_Calc!$N$1:$N$505,"R&amp;M fixed",T12_Calc!$D$1:$D$505)</f>
        <v/>
      </c>
      <c r="I40" s="24">
        <f>SUMIF(T12_Calc!$N$1:$N$505,"R&amp;M fixed",T12_Calc!$E$1:$E$505)</f>
        <v/>
      </c>
      <c r="J40" s="24">
        <f>SUMIF(T12_Calc!$N$1:$N$505,"R&amp;M fixed",T12_Calc!$F$1:$F$505)</f>
        <v/>
      </c>
      <c r="K40" s="24">
        <f>SUMIF(T12_Calc!$N$1:$N$505,"R&amp;M fixed",T12_Calc!$G$1:$G$505)</f>
        <v/>
      </c>
      <c r="L40" s="24">
        <f>SUMIF(T12_Calc!$N$1:$N$505,"R&amp;M fixed",T12_Calc!$H$1:$H$505)</f>
        <v/>
      </c>
      <c r="M40" s="24">
        <f>SUMIF(T12_Calc!$N$1:$N$505,"R&amp;M fixed",T12_Calc!$I$1:$I$505)</f>
        <v/>
      </c>
      <c r="N40" s="24">
        <f>SUMIF(T12_Calc!$N$1:$N$505,"R&amp;M fixed",T12_Calc!$J$1:$J$505)</f>
        <v/>
      </c>
      <c r="O40" s="24">
        <f>SUMIF(T12_Calc!$N$1:$N$505,"R&amp;M fixed",T12_Calc!$K$1:$K$505)</f>
        <v/>
      </c>
      <c r="P40" s="24">
        <f>SUMIF(T12_Calc!$N$1:$N$505,"R&amp;M fixed",T12_Calc!$L$1:$L$505)</f>
        <v/>
      </c>
      <c r="Q40" s="24">
        <f>SUMIF(T12_Calc!$N$1:$N$505,"R&amp;M fixed",T12_Calc!$M$1:$M$505)</f>
        <v/>
      </c>
      <c r="R40" s="87">
        <f>SUM(F40:Q40)</f>
        <v/>
      </c>
    </row>
    <row r="41" ht="15.75" customHeight="1" s="199">
      <c r="A41" s="82" t="inlineStr">
        <is>
          <t>Non-Labor</t>
        </is>
      </c>
      <c r="B41" s="83" t="inlineStr">
        <is>
          <t>R&amp;M variable</t>
        </is>
      </c>
      <c r="C41" s="84" t="inlineStr">
        <is>
          <t>-</t>
        </is>
      </c>
      <c r="D41" s="85" t="n"/>
      <c r="E41" s="86" t="inlineStr">
        <is>
          <t>R &amp; M-Variable | R&amp;M-Variable</t>
        </is>
      </c>
      <c r="F41" s="24">
        <f>SUMIF(T12_Calc!$N$1:$N$505,"R&amp;M variable",T12_Calc!$B$1:$B$505)</f>
        <v/>
      </c>
      <c r="G41" s="24">
        <f>SUMIF(T12_Calc!$N$1:$N$505,"R&amp;M variable",T12_Calc!$C$1:$C$505)</f>
        <v/>
      </c>
      <c r="H41" s="24">
        <f>SUMIF(T12_Calc!$N$1:$N$505,"R&amp;M variable",T12_Calc!$D$1:$D$505)</f>
        <v/>
      </c>
      <c r="I41" s="24">
        <f>SUMIF(T12_Calc!$N$1:$N$505,"R&amp;M variable",T12_Calc!$E$1:$E$505)</f>
        <v/>
      </c>
      <c r="J41" s="24">
        <f>SUMIF(T12_Calc!$N$1:$N$505,"R&amp;M variable",T12_Calc!$F$1:$F$505)</f>
        <v/>
      </c>
      <c r="K41" s="24">
        <f>SUMIF(T12_Calc!$N$1:$N$505,"R&amp;M variable",T12_Calc!$G$1:$G$505)</f>
        <v/>
      </c>
      <c r="L41" s="24">
        <f>SUMIF(T12_Calc!$N$1:$N$505,"R&amp;M variable",T12_Calc!$H$1:$H$505)</f>
        <v/>
      </c>
      <c r="M41" s="24">
        <f>SUMIF(T12_Calc!$N$1:$N$505,"R&amp;M variable",T12_Calc!$I$1:$I$505)</f>
        <v/>
      </c>
      <c r="N41" s="24">
        <f>SUMIF(T12_Calc!$N$1:$N$505,"R&amp;M variable",T12_Calc!$J$1:$J$505)</f>
        <v/>
      </c>
      <c r="O41" s="24">
        <f>SUMIF(T12_Calc!$N$1:$N$505,"R&amp;M variable",T12_Calc!$K$1:$K$505)</f>
        <v/>
      </c>
      <c r="P41" s="24">
        <f>SUMIF(T12_Calc!$N$1:$N$505,"R&amp;M variable",T12_Calc!$L$1:$L$505)</f>
        <v/>
      </c>
      <c r="Q41" s="24">
        <f>SUMIF(T12_Calc!$N$1:$N$505,"R&amp;M variable",T12_Calc!$M$1:$M$505)</f>
        <v/>
      </c>
      <c r="R41" s="87">
        <f>SUM(F41:Q41)</f>
        <v/>
      </c>
    </row>
    <row r="42" ht="15.75" customHeight="1" s="199">
      <c r="A42" s="82" t="inlineStr">
        <is>
          <t>Non-Labor</t>
        </is>
      </c>
      <c r="B42" s="83" t="inlineStr">
        <is>
          <t>HK &amp; laundry supplies</t>
        </is>
      </c>
      <c r="C42" s="84" t="inlineStr">
        <is>
          <t>-</t>
        </is>
      </c>
      <c r="D42" s="85" t="n"/>
      <c r="E42" s="86" t="inlineStr">
        <is>
          <t>Housekeeping Supplies | Laundry Supplies</t>
        </is>
      </c>
      <c r="F42" s="24">
        <f>SUMIF(T12_Calc!$N$1:$N$505,"HK &amp; laundry supplies",T12_Calc!$B$1:$B$505)</f>
        <v/>
      </c>
      <c r="G42" s="24">
        <f>SUMIF(T12_Calc!$N$1:$N$505,"HK &amp; laundry supplies",T12_Calc!$C$1:$C$505)</f>
        <v/>
      </c>
      <c r="H42" s="24">
        <f>SUMIF(T12_Calc!$N$1:$N$505,"HK &amp; laundry supplies",T12_Calc!$D$1:$D$505)</f>
        <v/>
      </c>
      <c r="I42" s="24">
        <f>SUMIF(T12_Calc!$N$1:$N$505,"HK &amp; laundry supplies",T12_Calc!$E$1:$E$505)</f>
        <v/>
      </c>
      <c r="J42" s="24">
        <f>SUMIF(T12_Calc!$N$1:$N$505,"HK &amp; laundry supplies",T12_Calc!$F$1:$F$505)</f>
        <v/>
      </c>
      <c r="K42" s="24">
        <f>SUMIF(T12_Calc!$N$1:$N$505,"HK &amp; laundry supplies",T12_Calc!$G$1:$G$505)</f>
        <v/>
      </c>
      <c r="L42" s="24">
        <f>SUMIF(T12_Calc!$N$1:$N$505,"HK &amp; laundry supplies",T12_Calc!$H$1:$H$505)</f>
        <v/>
      </c>
      <c r="M42" s="24">
        <f>SUMIF(T12_Calc!$N$1:$N$505,"HK &amp; laundry supplies",T12_Calc!$I$1:$I$505)</f>
        <v/>
      </c>
      <c r="N42" s="24">
        <f>SUMIF(T12_Calc!$N$1:$N$505,"HK &amp; laundry supplies",T12_Calc!$J$1:$J$505)</f>
        <v/>
      </c>
      <c r="O42" s="24">
        <f>SUMIF(T12_Calc!$N$1:$N$505,"HK &amp; laundry supplies",T12_Calc!$K$1:$K$505)</f>
        <v/>
      </c>
      <c r="P42" s="24">
        <f>SUMIF(T12_Calc!$N$1:$N$505,"HK &amp; laundry supplies",T12_Calc!$L$1:$L$505)</f>
        <v/>
      </c>
      <c r="Q42" s="24">
        <f>SUMIF(T12_Calc!$N$1:$N$505,"HK &amp; laundry supplies",T12_Calc!$M$1:$M$505)</f>
        <v/>
      </c>
      <c r="R42" s="87">
        <f>SUM(F42:Q42)</f>
        <v/>
      </c>
    </row>
    <row r="43" ht="15.75" customHeight="1" s="199">
      <c r="A43" s="82" t="inlineStr">
        <is>
          <t>Non-Labor</t>
        </is>
      </c>
      <c r="B43" s="83" t="inlineStr">
        <is>
          <t>Sales, adv. &amp; marketing</t>
        </is>
      </c>
      <c r="C43" s="84" t="inlineStr">
        <is>
          <t>-</t>
        </is>
      </c>
      <c r="D43" s="85" t="n"/>
      <c r="E43" s="86" t="inlineStr">
        <is>
          <t>Advertising and Promotion | Advertising &amp; Promotion</t>
        </is>
      </c>
      <c r="F43" s="24">
        <f>SUMIF(T12_Calc!$N$1:$N$505,"Sales, adv. &amp; marketing",T12_Calc!$B$1:$B$505)</f>
        <v/>
      </c>
      <c r="G43" s="24">
        <f>SUMIF(T12_Calc!$N$1:$N$505,"Sales, adv. &amp; marketing",T12_Calc!$C$1:$C$505)</f>
        <v/>
      </c>
      <c r="H43" s="24">
        <f>SUMIF(T12_Calc!$N$1:$N$505,"Sales, adv. &amp; marketing",T12_Calc!$D$1:$D$505)</f>
        <v/>
      </c>
      <c r="I43" s="24">
        <f>SUMIF(T12_Calc!$N$1:$N$505,"Sales, adv. &amp; marketing",T12_Calc!$E$1:$E$505)</f>
        <v/>
      </c>
      <c r="J43" s="24">
        <f>SUMIF(T12_Calc!$N$1:$N$505,"Sales, adv. &amp; marketing",T12_Calc!$F$1:$F$505)</f>
        <v/>
      </c>
      <c r="K43" s="24">
        <f>SUMIF(T12_Calc!$N$1:$N$505,"Sales, adv. &amp; marketing",T12_Calc!$G$1:$G$505)</f>
        <v/>
      </c>
      <c r="L43" s="24">
        <f>SUMIF(T12_Calc!$N$1:$N$505,"Sales, adv. &amp; marketing",T12_Calc!$H$1:$H$505)</f>
        <v/>
      </c>
      <c r="M43" s="24">
        <f>SUMIF(T12_Calc!$N$1:$N$505,"Sales, adv. &amp; marketing",T12_Calc!$I$1:$I$505)</f>
        <v/>
      </c>
      <c r="N43" s="24">
        <f>SUMIF(T12_Calc!$N$1:$N$505,"Sales, adv. &amp; marketing",T12_Calc!$J$1:$J$505)</f>
        <v/>
      </c>
      <c r="O43" s="24">
        <f>SUMIF(T12_Calc!$N$1:$N$505,"Sales, adv. &amp; marketing",T12_Calc!$K$1:$K$505)</f>
        <v/>
      </c>
      <c r="P43" s="24">
        <f>SUMIF(T12_Calc!$N$1:$N$505,"Sales, adv. &amp; marketing",T12_Calc!$L$1:$L$505)</f>
        <v/>
      </c>
      <c r="Q43" s="24">
        <f>SUMIF(T12_Calc!$N$1:$N$505,"Sales, adv. &amp; marketing",T12_Calc!$M$1:$M$505)</f>
        <v/>
      </c>
      <c r="R43" s="87">
        <f>SUM(F43:Q43)</f>
        <v/>
      </c>
    </row>
    <row r="44" ht="15.75" customHeight="1" s="199">
      <c r="A44" s="88" t="inlineStr">
        <is>
          <t>Non-Labor</t>
        </is>
      </c>
      <c r="B44" s="89" t="inlineStr">
        <is>
          <t>Referral fees</t>
        </is>
      </c>
      <c r="C44" s="90" t="inlineStr">
        <is>
          <t>-</t>
        </is>
      </c>
      <c r="D44" s="91" t="inlineStr">
        <is>
          <t>Normalize at stabilization</t>
        </is>
      </c>
      <c r="E44" s="92" t="inlineStr">
        <is>
          <t>Referral Fees</t>
        </is>
      </c>
      <c r="F44" s="47">
        <f>SUMIF(T12_Calc!$N$1:$N$505,"Referral fees",T12_Calc!$B$1:$B$505)</f>
        <v/>
      </c>
      <c r="G44" s="47">
        <f>SUMIF(T12_Calc!$N$1:$N$505,"Referral fees",T12_Calc!$C$1:$C$505)</f>
        <v/>
      </c>
      <c r="H44" s="47">
        <f>SUMIF(T12_Calc!$N$1:$N$505,"Referral fees",T12_Calc!$D$1:$D$505)</f>
        <v/>
      </c>
      <c r="I44" s="47">
        <f>SUMIF(T12_Calc!$N$1:$N$505,"Referral fees",T12_Calc!$E$1:$E$505)</f>
        <v/>
      </c>
      <c r="J44" s="47">
        <f>SUMIF(T12_Calc!$N$1:$N$505,"Referral fees",T12_Calc!$F$1:$F$505)</f>
        <v/>
      </c>
      <c r="K44" s="47">
        <f>SUMIF(T12_Calc!$N$1:$N$505,"Referral fees",T12_Calc!$G$1:$G$505)</f>
        <v/>
      </c>
      <c r="L44" s="47">
        <f>SUMIF(T12_Calc!$N$1:$N$505,"Referral fees",T12_Calc!$H$1:$H$505)</f>
        <v/>
      </c>
      <c r="M44" s="47">
        <f>SUMIF(T12_Calc!$N$1:$N$505,"Referral fees",T12_Calc!$I$1:$I$505)</f>
        <v/>
      </c>
      <c r="N44" s="47">
        <f>SUMIF(T12_Calc!$N$1:$N$505,"Referral fees",T12_Calc!$J$1:$J$505)</f>
        <v/>
      </c>
      <c r="O44" s="47">
        <f>SUMIF(T12_Calc!$N$1:$N$505,"Referral fees",T12_Calc!$K$1:$K$505)</f>
        <v/>
      </c>
      <c r="P44" s="47">
        <f>SUMIF(T12_Calc!$N$1:$N$505,"Referral fees",T12_Calc!$L$1:$L$505)</f>
        <v/>
      </c>
      <c r="Q44" s="47">
        <f>SUMIF(T12_Calc!$N$1:$N$505,"Referral fees",T12_Calc!$M$1:$M$505)</f>
        <v/>
      </c>
      <c r="R44" s="93">
        <f>SUM(F44:Q44)</f>
        <v/>
      </c>
    </row>
    <row r="45" ht="15.75" customHeight="1" s="199">
      <c r="A45" s="82" t="inlineStr">
        <is>
          <t>Non-Labor</t>
        </is>
      </c>
      <c r="B45" s="83" t="inlineStr">
        <is>
          <t>Utilities</t>
        </is>
      </c>
      <c r="C45" s="84" t="inlineStr">
        <is>
          <t>-</t>
        </is>
      </c>
      <c r="D45" s="85" t="n"/>
      <c r="E45" s="86" t="inlineStr">
        <is>
          <t>Utilities</t>
        </is>
      </c>
      <c r="F45" s="24">
        <f>SUMIF(T12_Calc!$N$1:$N$505,"Utilities",T12_Calc!$B$1:$B$505)</f>
        <v/>
      </c>
      <c r="G45" s="24">
        <f>SUMIF(T12_Calc!$N$1:$N$505,"Utilities",T12_Calc!$C$1:$C$505)</f>
        <v/>
      </c>
      <c r="H45" s="24">
        <f>SUMIF(T12_Calc!$N$1:$N$505,"Utilities",T12_Calc!$D$1:$D$505)</f>
        <v/>
      </c>
      <c r="I45" s="24">
        <f>SUMIF(T12_Calc!$N$1:$N$505,"Utilities",T12_Calc!$E$1:$E$505)</f>
        <v/>
      </c>
      <c r="J45" s="24">
        <f>SUMIF(T12_Calc!$N$1:$N$505,"Utilities",T12_Calc!$F$1:$F$505)</f>
        <v/>
      </c>
      <c r="K45" s="24">
        <f>SUMIF(T12_Calc!$N$1:$N$505,"Utilities",T12_Calc!$G$1:$G$505)</f>
        <v/>
      </c>
      <c r="L45" s="24">
        <f>SUMIF(T12_Calc!$N$1:$N$505,"Utilities",T12_Calc!$H$1:$H$505)</f>
        <v/>
      </c>
      <c r="M45" s="24">
        <f>SUMIF(T12_Calc!$N$1:$N$505,"Utilities",T12_Calc!$I$1:$I$505)</f>
        <v/>
      </c>
      <c r="N45" s="24">
        <f>SUMIF(T12_Calc!$N$1:$N$505,"Utilities",T12_Calc!$J$1:$J$505)</f>
        <v/>
      </c>
      <c r="O45" s="24">
        <f>SUMIF(T12_Calc!$N$1:$N$505,"Utilities",T12_Calc!$K$1:$K$505)</f>
        <v/>
      </c>
      <c r="P45" s="24">
        <f>SUMIF(T12_Calc!$N$1:$N$505,"Utilities",T12_Calc!$L$1:$L$505)</f>
        <v/>
      </c>
      <c r="Q45" s="24">
        <f>SUMIF(T12_Calc!$N$1:$N$505,"Utilities",T12_Calc!$M$1:$M$505)</f>
        <v/>
      </c>
      <c r="R45" s="87">
        <f>SUM(F45:Q45)</f>
        <v/>
      </c>
    </row>
    <row r="46" ht="15.75" customHeight="1" s="199">
      <c r="A46" s="82" t="inlineStr">
        <is>
          <t>Non-Labor</t>
        </is>
      </c>
      <c r="B46" s="83" t="inlineStr">
        <is>
          <t>Telephone / IT</t>
        </is>
      </c>
      <c r="C46" s="84" t="inlineStr">
        <is>
          <t>-</t>
        </is>
      </c>
      <c r="D46" s="85" t="n"/>
      <c r="E46" s="86" t="inlineStr">
        <is>
          <t>Telephone/IT | Telephone Reimbursement</t>
        </is>
      </c>
      <c r="F46" s="24">
        <f>SUMIF(T12_Calc!$N$1:$N$505,"Telephone / IT",T12_Calc!$B$1:$B$505)</f>
        <v/>
      </c>
      <c r="G46" s="24">
        <f>SUMIF(T12_Calc!$N$1:$N$505,"Telephone / IT",T12_Calc!$C$1:$C$505)</f>
        <v/>
      </c>
      <c r="H46" s="24">
        <f>SUMIF(T12_Calc!$N$1:$N$505,"Telephone / IT",T12_Calc!$D$1:$D$505)</f>
        <v/>
      </c>
      <c r="I46" s="24">
        <f>SUMIF(T12_Calc!$N$1:$N$505,"Telephone / IT",T12_Calc!$E$1:$E$505)</f>
        <v/>
      </c>
      <c r="J46" s="24">
        <f>SUMIF(T12_Calc!$N$1:$N$505,"Telephone / IT",T12_Calc!$F$1:$F$505)</f>
        <v/>
      </c>
      <c r="K46" s="24">
        <f>SUMIF(T12_Calc!$N$1:$N$505,"Telephone / IT",T12_Calc!$G$1:$G$505)</f>
        <v/>
      </c>
      <c r="L46" s="24">
        <f>SUMIF(T12_Calc!$N$1:$N$505,"Telephone / IT",T12_Calc!$H$1:$H$505)</f>
        <v/>
      </c>
      <c r="M46" s="24">
        <f>SUMIF(T12_Calc!$N$1:$N$505,"Telephone / IT",T12_Calc!$I$1:$I$505)</f>
        <v/>
      </c>
      <c r="N46" s="24">
        <f>SUMIF(T12_Calc!$N$1:$N$505,"Telephone / IT",T12_Calc!$J$1:$J$505)</f>
        <v/>
      </c>
      <c r="O46" s="24">
        <f>SUMIF(T12_Calc!$N$1:$N$505,"Telephone / IT",T12_Calc!$K$1:$K$505)</f>
        <v/>
      </c>
      <c r="P46" s="24">
        <f>SUMIF(T12_Calc!$N$1:$N$505,"Telephone / IT",T12_Calc!$L$1:$L$505)</f>
        <v/>
      </c>
      <c r="Q46" s="24">
        <f>SUMIF(T12_Calc!$N$1:$N$505,"Telephone / IT",T12_Calc!$M$1:$M$505)</f>
        <v/>
      </c>
      <c r="R46" s="87">
        <f>SUM(F46:Q46)</f>
        <v/>
      </c>
    </row>
    <row r="47" ht="15.75" customHeight="1" s="199">
      <c r="A47" s="82" t="inlineStr">
        <is>
          <t>Non-Labor</t>
        </is>
      </c>
      <c r="B47" s="83" t="inlineStr">
        <is>
          <t>P&amp;C insurance (bundled)</t>
        </is>
      </c>
      <c r="C47" s="84" t="inlineStr">
        <is>
          <t>-</t>
        </is>
      </c>
      <c r="D47" s="85" t="n"/>
      <c r="E47" s="86" t="inlineStr">
        <is>
          <t>Bundled Insurance Poilicies | Bundled Insurance Policies | EPLI Insurance</t>
        </is>
      </c>
      <c r="F47" s="24">
        <f>SUMIF(T12_Calc!$N$1:$N$505,"P&amp;C insurance (bundled)",T12_Calc!$B$1:$B$505)</f>
        <v/>
      </c>
      <c r="G47" s="24">
        <f>SUMIF(T12_Calc!$N$1:$N$505,"P&amp;C insurance (bundled)",T12_Calc!$C$1:$C$505)</f>
        <v/>
      </c>
      <c r="H47" s="24">
        <f>SUMIF(T12_Calc!$N$1:$N$505,"P&amp;C insurance (bundled)",T12_Calc!$D$1:$D$505)</f>
        <v/>
      </c>
      <c r="I47" s="24">
        <f>SUMIF(T12_Calc!$N$1:$N$505,"P&amp;C insurance (bundled)",T12_Calc!$E$1:$E$505)</f>
        <v/>
      </c>
      <c r="J47" s="24">
        <f>SUMIF(T12_Calc!$N$1:$N$505,"P&amp;C insurance (bundled)",T12_Calc!$F$1:$F$505)</f>
        <v/>
      </c>
      <c r="K47" s="24">
        <f>SUMIF(T12_Calc!$N$1:$N$505,"P&amp;C insurance (bundled)",T12_Calc!$G$1:$G$505)</f>
        <v/>
      </c>
      <c r="L47" s="24">
        <f>SUMIF(T12_Calc!$N$1:$N$505,"P&amp;C insurance (bundled)",T12_Calc!$H$1:$H$505)</f>
        <v/>
      </c>
      <c r="M47" s="24">
        <f>SUMIF(T12_Calc!$N$1:$N$505,"P&amp;C insurance (bundled)",T12_Calc!$I$1:$I$505)</f>
        <v/>
      </c>
      <c r="N47" s="24">
        <f>SUMIF(T12_Calc!$N$1:$N$505,"P&amp;C insurance (bundled)",T12_Calc!$J$1:$J$505)</f>
        <v/>
      </c>
      <c r="O47" s="24">
        <f>SUMIF(T12_Calc!$N$1:$N$505,"P&amp;C insurance (bundled)",T12_Calc!$K$1:$K$505)</f>
        <v/>
      </c>
      <c r="P47" s="24">
        <f>SUMIF(T12_Calc!$N$1:$N$505,"P&amp;C insurance (bundled)",T12_Calc!$L$1:$L$505)</f>
        <v/>
      </c>
      <c r="Q47" s="24">
        <f>SUMIF(T12_Calc!$N$1:$N$505,"P&amp;C insurance (bundled)",T12_Calc!$M$1:$M$505)</f>
        <v/>
      </c>
      <c r="R47" s="87">
        <f>SUM(F47:Q47)</f>
        <v/>
      </c>
    </row>
    <row r="48" ht="15.75" customHeight="1" s="199">
      <c r="A48" s="82" t="inlineStr">
        <is>
          <t>Non-Labor</t>
        </is>
      </c>
      <c r="B48" s="83" t="inlineStr">
        <is>
          <t>Auto insurance</t>
        </is>
      </c>
      <c r="C48" s="84" t="inlineStr">
        <is>
          <t>-</t>
        </is>
      </c>
      <c r="D48" s="85" t="n"/>
      <c r="E48" s="86" t="inlineStr">
        <is>
          <t>Auto Insurance</t>
        </is>
      </c>
      <c r="F48" s="24">
        <f>SUMIF(T12_Calc!$N$1:$N$505,"Auto insurance",T12_Calc!$B$1:$B$505)</f>
        <v/>
      </c>
      <c r="G48" s="24">
        <f>SUMIF(T12_Calc!$N$1:$N$505,"Auto insurance",T12_Calc!$C$1:$C$505)</f>
        <v/>
      </c>
      <c r="H48" s="24">
        <f>SUMIF(T12_Calc!$N$1:$N$505,"Auto insurance",T12_Calc!$D$1:$D$505)</f>
        <v/>
      </c>
      <c r="I48" s="24">
        <f>SUMIF(T12_Calc!$N$1:$N$505,"Auto insurance",T12_Calc!$E$1:$E$505)</f>
        <v/>
      </c>
      <c r="J48" s="24">
        <f>SUMIF(T12_Calc!$N$1:$N$505,"Auto insurance",T12_Calc!$F$1:$F$505)</f>
        <v/>
      </c>
      <c r="K48" s="24">
        <f>SUMIF(T12_Calc!$N$1:$N$505,"Auto insurance",T12_Calc!$G$1:$G$505)</f>
        <v/>
      </c>
      <c r="L48" s="24">
        <f>SUMIF(T12_Calc!$N$1:$N$505,"Auto insurance",T12_Calc!$H$1:$H$505)</f>
        <v/>
      </c>
      <c r="M48" s="24">
        <f>SUMIF(T12_Calc!$N$1:$N$505,"Auto insurance",T12_Calc!$I$1:$I$505)</f>
        <v/>
      </c>
      <c r="N48" s="24">
        <f>SUMIF(T12_Calc!$N$1:$N$505,"Auto insurance",T12_Calc!$J$1:$J$505)</f>
        <v/>
      </c>
      <c r="O48" s="24">
        <f>SUMIF(T12_Calc!$N$1:$N$505,"Auto insurance",T12_Calc!$K$1:$K$505)</f>
        <v/>
      </c>
      <c r="P48" s="24">
        <f>SUMIF(T12_Calc!$N$1:$N$505,"Auto insurance",T12_Calc!$L$1:$L$505)</f>
        <v/>
      </c>
      <c r="Q48" s="24">
        <f>SUMIF(T12_Calc!$N$1:$N$505,"Auto insurance",T12_Calc!$M$1:$M$505)</f>
        <v/>
      </c>
      <c r="R48" s="87">
        <f>SUM(F48:Q48)</f>
        <v/>
      </c>
    </row>
    <row r="49" ht="15.75" customHeight="1" s="199">
      <c r="A49" s="82" t="inlineStr">
        <is>
          <t>Non-Labor</t>
        </is>
      </c>
      <c r="B49" s="83" t="inlineStr">
        <is>
          <t>Fire / security monitoring</t>
        </is>
      </c>
      <c r="C49" s="84" t="inlineStr">
        <is>
          <t>-</t>
        </is>
      </c>
      <c r="D49" s="85" t="n"/>
      <c r="E49" s="86" t="inlineStr">
        <is>
          <t>Fire/Security Monitoring</t>
        </is>
      </c>
      <c r="F49" s="24">
        <f>SUMIF(T12_Calc!$N$1:$N$505,"Fire / security monitoring",T12_Calc!$B$1:$B$505)</f>
        <v/>
      </c>
      <c r="G49" s="24">
        <f>SUMIF(T12_Calc!$N$1:$N$505,"Fire / security monitoring",T12_Calc!$C$1:$C$505)</f>
        <v/>
      </c>
      <c r="H49" s="24">
        <f>SUMIF(T12_Calc!$N$1:$N$505,"Fire / security monitoring",T12_Calc!$D$1:$D$505)</f>
        <v/>
      </c>
      <c r="I49" s="24">
        <f>SUMIF(T12_Calc!$N$1:$N$505,"Fire / security monitoring",T12_Calc!$E$1:$E$505)</f>
        <v/>
      </c>
      <c r="J49" s="24">
        <f>SUMIF(T12_Calc!$N$1:$N$505,"Fire / security monitoring",T12_Calc!$F$1:$F$505)</f>
        <v/>
      </c>
      <c r="K49" s="24">
        <f>SUMIF(T12_Calc!$N$1:$N$505,"Fire / security monitoring",T12_Calc!$G$1:$G$505)</f>
        <v/>
      </c>
      <c r="L49" s="24">
        <f>SUMIF(T12_Calc!$N$1:$N$505,"Fire / security monitoring",T12_Calc!$H$1:$H$505)</f>
        <v/>
      </c>
      <c r="M49" s="24">
        <f>SUMIF(T12_Calc!$N$1:$N$505,"Fire / security monitoring",T12_Calc!$I$1:$I$505)</f>
        <v/>
      </c>
      <c r="N49" s="24">
        <f>SUMIF(T12_Calc!$N$1:$N$505,"Fire / security monitoring",T12_Calc!$J$1:$J$505)</f>
        <v/>
      </c>
      <c r="O49" s="24">
        <f>SUMIF(T12_Calc!$N$1:$N$505,"Fire / security monitoring",T12_Calc!$K$1:$K$505)</f>
        <v/>
      </c>
      <c r="P49" s="24">
        <f>SUMIF(T12_Calc!$N$1:$N$505,"Fire / security monitoring",T12_Calc!$L$1:$L$505)</f>
        <v/>
      </c>
      <c r="Q49" s="24">
        <f>SUMIF(T12_Calc!$N$1:$N$505,"Fire / security monitoring",T12_Calc!$M$1:$M$505)</f>
        <v/>
      </c>
      <c r="R49" s="87">
        <f>SUM(F49:Q49)</f>
        <v/>
      </c>
    </row>
    <row r="50" ht="15.75" customHeight="1" s="199">
      <c r="A50" s="82" t="inlineStr">
        <is>
          <t>Non-Labor</t>
        </is>
      </c>
      <c r="B50" s="83" t="inlineStr">
        <is>
          <t>Pest elimination</t>
        </is>
      </c>
      <c r="C50" s="84" t="inlineStr">
        <is>
          <t>-</t>
        </is>
      </c>
      <c r="D50" s="85" t="n"/>
      <c r="E50" s="86" t="inlineStr">
        <is>
          <t>Pest Elimination</t>
        </is>
      </c>
      <c r="F50" s="24">
        <f>SUMIF(T12_Calc!$N$1:$N$505,"Pest elimination",T12_Calc!$B$1:$B$505)</f>
        <v/>
      </c>
      <c r="G50" s="24">
        <f>SUMIF(T12_Calc!$N$1:$N$505,"Pest elimination",T12_Calc!$C$1:$C$505)</f>
        <v/>
      </c>
      <c r="H50" s="24">
        <f>SUMIF(T12_Calc!$N$1:$N$505,"Pest elimination",T12_Calc!$D$1:$D$505)</f>
        <v/>
      </c>
      <c r="I50" s="24">
        <f>SUMIF(T12_Calc!$N$1:$N$505,"Pest elimination",T12_Calc!$E$1:$E$505)</f>
        <v/>
      </c>
      <c r="J50" s="24">
        <f>SUMIF(T12_Calc!$N$1:$N$505,"Pest elimination",T12_Calc!$F$1:$F$505)</f>
        <v/>
      </c>
      <c r="K50" s="24">
        <f>SUMIF(T12_Calc!$N$1:$N$505,"Pest elimination",T12_Calc!$G$1:$G$505)</f>
        <v/>
      </c>
      <c r="L50" s="24">
        <f>SUMIF(T12_Calc!$N$1:$N$505,"Pest elimination",T12_Calc!$H$1:$H$505)</f>
        <v/>
      </c>
      <c r="M50" s="24">
        <f>SUMIF(T12_Calc!$N$1:$N$505,"Pest elimination",T12_Calc!$I$1:$I$505)</f>
        <v/>
      </c>
      <c r="N50" s="24">
        <f>SUMIF(T12_Calc!$N$1:$N$505,"Pest elimination",T12_Calc!$J$1:$J$505)</f>
        <v/>
      </c>
      <c r="O50" s="24">
        <f>SUMIF(T12_Calc!$N$1:$N$505,"Pest elimination",T12_Calc!$K$1:$K$505)</f>
        <v/>
      </c>
      <c r="P50" s="24">
        <f>SUMIF(T12_Calc!$N$1:$N$505,"Pest elimination",T12_Calc!$L$1:$L$505)</f>
        <v/>
      </c>
      <c r="Q50" s="24">
        <f>SUMIF(T12_Calc!$N$1:$N$505,"Pest elimination",T12_Calc!$M$1:$M$505)</f>
        <v/>
      </c>
      <c r="R50" s="87">
        <f>SUM(F50:Q50)</f>
        <v/>
      </c>
    </row>
    <row r="51" ht="15.75" customHeight="1" s="199">
      <c r="A51" s="88" t="inlineStr">
        <is>
          <t>Non-Labor</t>
        </is>
      </c>
      <c r="B51" s="89" t="inlineStr">
        <is>
          <t>Real estate taxes</t>
        </is>
      </c>
      <c r="C51" s="90" t="inlineStr">
        <is>
          <t>-</t>
        </is>
      </c>
      <c r="D51" s="91" t="inlineStr">
        <is>
          <t>Verify assessed value</t>
        </is>
      </c>
      <c r="E51" s="92" t="inlineStr">
        <is>
          <t>Property Tax Expense | Real Estate Taxes</t>
        </is>
      </c>
      <c r="F51" s="47">
        <f>SUMIF(T12_Calc!$N$1:$N$505,"Real estate taxes",T12_Calc!$B$1:$B$505)</f>
        <v/>
      </c>
      <c r="G51" s="47">
        <f>SUMIF(T12_Calc!$N$1:$N$505,"Real estate taxes",T12_Calc!$C$1:$C$505)</f>
        <v/>
      </c>
      <c r="H51" s="47">
        <f>SUMIF(T12_Calc!$N$1:$N$505,"Real estate taxes",T12_Calc!$D$1:$D$505)</f>
        <v/>
      </c>
      <c r="I51" s="47">
        <f>SUMIF(T12_Calc!$N$1:$N$505,"Real estate taxes",T12_Calc!$E$1:$E$505)</f>
        <v/>
      </c>
      <c r="J51" s="47">
        <f>SUMIF(T12_Calc!$N$1:$N$505,"Real estate taxes",T12_Calc!$F$1:$F$505)</f>
        <v/>
      </c>
      <c r="K51" s="47">
        <f>SUMIF(T12_Calc!$N$1:$N$505,"Real estate taxes",T12_Calc!$G$1:$G$505)</f>
        <v/>
      </c>
      <c r="L51" s="47">
        <f>SUMIF(T12_Calc!$N$1:$N$505,"Real estate taxes",T12_Calc!$H$1:$H$505)</f>
        <v/>
      </c>
      <c r="M51" s="47">
        <f>SUMIF(T12_Calc!$N$1:$N$505,"Real estate taxes",T12_Calc!$I$1:$I$505)</f>
        <v/>
      </c>
      <c r="N51" s="47">
        <f>SUMIF(T12_Calc!$N$1:$N$505,"Real estate taxes",T12_Calc!$J$1:$J$505)</f>
        <v/>
      </c>
      <c r="O51" s="47">
        <f>SUMIF(T12_Calc!$N$1:$N$505,"Real estate taxes",T12_Calc!$K$1:$K$505)</f>
        <v/>
      </c>
      <c r="P51" s="47">
        <f>SUMIF(T12_Calc!$N$1:$N$505,"Real estate taxes",T12_Calc!$L$1:$L$505)</f>
        <v/>
      </c>
      <c r="Q51" s="47">
        <f>SUMIF(T12_Calc!$N$1:$N$505,"Real estate taxes",T12_Calc!$M$1:$M$505)</f>
        <v/>
      </c>
      <c r="R51" s="93">
        <f>SUM(F51:Q51)</f>
        <v/>
      </c>
    </row>
    <row r="52" ht="15.75" customHeight="1" s="199">
      <c r="A52" s="82" t="inlineStr">
        <is>
          <t>Non-Labor</t>
        </is>
      </c>
      <c r="B52" s="83" t="inlineStr">
        <is>
          <t>Personal property taxes</t>
        </is>
      </c>
      <c r="C52" s="84" t="inlineStr">
        <is>
          <t>-</t>
        </is>
      </c>
      <c r="D52" s="85" t="n"/>
      <c r="E52" s="86" t="inlineStr">
        <is>
          <t>Personal Property Tax Expense | Personal Property Taxes</t>
        </is>
      </c>
      <c r="F52" s="24">
        <f>SUMIF(T12_Calc!$N$1:$N$505,"Personal property taxes",T12_Calc!$B$1:$B$505)</f>
        <v/>
      </c>
      <c r="G52" s="24">
        <f>SUMIF(T12_Calc!$N$1:$N$505,"Personal property taxes",T12_Calc!$C$1:$C$505)</f>
        <v/>
      </c>
      <c r="H52" s="24">
        <f>SUMIF(T12_Calc!$N$1:$N$505,"Personal property taxes",T12_Calc!$D$1:$D$505)</f>
        <v/>
      </c>
      <c r="I52" s="24">
        <f>SUMIF(T12_Calc!$N$1:$N$505,"Personal property taxes",T12_Calc!$E$1:$E$505)</f>
        <v/>
      </c>
      <c r="J52" s="24">
        <f>SUMIF(T12_Calc!$N$1:$N$505,"Personal property taxes",T12_Calc!$F$1:$F$505)</f>
        <v/>
      </c>
      <c r="K52" s="24">
        <f>SUMIF(T12_Calc!$N$1:$N$505,"Personal property taxes",T12_Calc!$G$1:$G$505)</f>
        <v/>
      </c>
      <c r="L52" s="24">
        <f>SUMIF(T12_Calc!$N$1:$N$505,"Personal property taxes",T12_Calc!$H$1:$H$505)</f>
        <v/>
      </c>
      <c r="M52" s="24">
        <f>SUMIF(T12_Calc!$N$1:$N$505,"Personal property taxes",T12_Calc!$I$1:$I$505)</f>
        <v/>
      </c>
      <c r="N52" s="24">
        <f>SUMIF(T12_Calc!$N$1:$N$505,"Personal property taxes",T12_Calc!$J$1:$J$505)</f>
        <v/>
      </c>
      <c r="O52" s="24">
        <f>SUMIF(T12_Calc!$N$1:$N$505,"Personal property taxes",T12_Calc!$K$1:$K$505)</f>
        <v/>
      </c>
      <c r="P52" s="24">
        <f>SUMIF(T12_Calc!$N$1:$N$505,"Personal property taxes",T12_Calc!$L$1:$L$505)</f>
        <v/>
      </c>
      <c r="Q52" s="24">
        <f>SUMIF(T12_Calc!$N$1:$N$505,"Personal property taxes",T12_Calc!$M$1:$M$505)</f>
        <v/>
      </c>
      <c r="R52" s="87">
        <f>SUM(F52:Q52)</f>
        <v/>
      </c>
    </row>
    <row r="53" ht="15.75" customHeight="1" s="199">
      <c r="A53" s="82" t="inlineStr">
        <is>
          <t>Non-Labor</t>
        </is>
      </c>
      <c r="B53" s="83" t="inlineStr">
        <is>
          <t>Legal expenses</t>
        </is>
      </c>
      <c r="C53" s="84" t="inlineStr">
        <is>
          <t>-</t>
        </is>
      </c>
      <c r="D53" s="85" t="n"/>
      <c r="E53" s="86" t="inlineStr">
        <is>
          <t>Legal Expense | Legal Expenses</t>
        </is>
      </c>
      <c r="F53" s="24">
        <f>SUMIF(T12_Calc!$N$1:$N$505,"Legal expenses",T12_Calc!$B$1:$B$505)</f>
        <v/>
      </c>
      <c r="G53" s="24">
        <f>SUMIF(T12_Calc!$N$1:$N$505,"Legal expenses",T12_Calc!$C$1:$C$505)</f>
        <v/>
      </c>
      <c r="H53" s="24">
        <f>SUMIF(T12_Calc!$N$1:$N$505,"Legal expenses",T12_Calc!$D$1:$D$505)</f>
        <v/>
      </c>
      <c r="I53" s="24">
        <f>SUMIF(T12_Calc!$N$1:$N$505,"Legal expenses",T12_Calc!$E$1:$E$505)</f>
        <v/>
      </c>
      <c r="J53" s="24">
        <f>SUMIF(T12_Calc!$N$1:$N$505,"Legal expenses",T12_Calc!$F$1:$F$505)</f>
        <v/>
      </c>
      <c r="K53" s="24">
        <f>SUMIF(T12_Calc!$N$1:$N$505,"Legal expenses",T12_Calc!$G$1:$G$505)</f>
        <v/>
      </c>
      <c r="L53" s="24">
        <f>SUMIF(T12_Calc!$N$1:$N$505,"Legal expenses",T12_Calc!$H$1:$H$505)</f>
        <v/>
      </c>
      <c r="M53" s="24">
        <f>SUMIF(T12_Calc!$N$1:$N$505,"Legal expenses",T12_Calc!$I$1:$I$505)</f>
        <v/>
      </c>
      <c r="N53" s="24">
        <f>SUMIF(T12_Calc!$N$1:$N$505,"Legal expenses",T12_Calc!$J$1:$J$505)</f>
        <v/>
      </c>
      <c r="O53" s="24">
        <f>SUMIF(T12_Calc!$N$1:$N$505,"Legal expenses",T12_Calc!$K$1:$K$505)</f>
        <v/>
      </c>
      <c r="P53" s="24">
        <f>SUMIF(T12_Calc!$N$1:$N$505,"Legal expenses",T12_Calc!$L$1:$L$505)</f>
        <v/>
      </c>
      <c r="Q53" s="24">
        <f>SUMIF(T12_Calc!$N$1:$N$505,"Legal expenses",T12_Calc!$M$1:$M$505)</f>
        <v/>
      </c>
      <c r="R53" s="87">
        <f>SUM(F53:Q53)</f>
        <v/>
      </c>
    </row>
    <row r="54" ht="15.75" customHeight="1" s="199">
      <c r="A54" s="82" t="inlineStr">
        <is>
          <t>Non-Labor</t>
        </is>
      </c>
      <c r="B54" s="83" t="inlineStr">
        <is>
          <t>Professional services</t>
        </is>
      </c>
      <c r="C54" s="84" t="inlineStr">
        <is>
          <t>-</t>
        </is>
      </c>
      <c r="D54" s="85" t="n"/>
      <c r="E54" s="86" t="inlineStr">
        <is>
          <t>Professional Services</t>
        </is>
      </c>
      <c r="F54" s="24">
        <f>SUMIF(T12_Calc!$N$1:$N$505,"Professional services",T12_Calc!$B$1:$B$505)</f>
        <v/>
      </c>
      <c r="G54" s="24">
        <f>SUMIF(T12_Calc!$N$1:$N$505,"Professional services",T12_Calc!$C$1:$C$505)</f>
        <v/>
      </c>
      <c r="H54" s="24">
        <f>SUMIF(T12_Calc!$N$1:$N$505,"Professional services",T12_Calc!$D$1:$D$505)</f>
        <v/>
      </c>
      <c r="I54" s="24">
        <f>SUMIF(T12_Calc!$N$1:$N$505,"Professional services",T12_Calc!$E$1:$E$505)</f>
        <v/>
      </c>
      <c r="J54" s="24">
        <f>SUMIF(T12_Calc!$N$1:$N$505,"Professional services",T12_Calc!$F$1:$F$505)</f>
        <v/>
      </c>
      <c r="K54" s="24">
        <f>SUMIF(T12_Calc!$N$1:$N$505,"Professional services",T12_Calc!$G$1:$G$505)</f>
        <v/>
      </c>
      <c r="L54" s="24">
        <f>SUMIF(T12_Calc!$N$1:$N$505,"Professional services",T12_Calc!$H$1:$H$505)</f>
        <v/>
      </c>
      <c r="M54" s="24">
        <f>SUMIF(T12_Calc!$N$1:$N$505,"Professional services",T12_Calc!$I$1:$I$505)</f>
        <v/>
      </c>
      <c r="N54" s="24">
        <f>SUMIF(T12_Calc!$N$1:$N$505,"Professional services",T12_Calc!$J$1:$J$505)</f>
        <v/>
      </c>
      <c r="O54" s="24">
        <f>SUMIF(T12_Calc!$N$1:$N$505,"Professional services",T12_Calc!$K$1:$K$505)</f>
        <v/>
      </c>
      <c r="P54" s="24">
        <f>SUMIF(T12_Calc!$N$1:$N$505,"Professional services",T12_Calc!$L$1:$L$505)</f>
        <v/>
      </c>
      <c r="Q54" s="24">
        <f>SUMIF(T12_Calc!$N$1:$N$505,"Professional services",T12_Calc!$M$1:$M$505)</f>
        <v/>
      </c>
      <c r="R54" s="87">
        <f>SUM(F54:Q54)</f>
        <v/>
      </c>
    </row>
    <row r="55" ht="15.75" customHeight="1" s="199">
      <c r="A55" s="88" t="inlineStr">
        <is>
          <t>Non-Labor</t>
        </is>
      </c>
      <c r="B55" s="89" t="inlineStr">
        <is>
          <t>Bad debt expense</t>
        </is>
      </c>
      <c r="C55" s="90" t="inlineStr">
        <is>
          <t>-</t>
        </is>
      </c>
      <c r="D55" s="91" t="inlineStr">
        <is>
          <t>Normalize to 1-2%</t>
        </is>
      </c>
      <c r="E55" s="92" t="inlineStr">
        <is>
          <t>Bad Debt Expense</t>
        </is>
      </c>
      <c r="F55" s="47">
        <f>SUMIF(T12_Calc!$N$1:$N$505,"Bad debt expense",T12_Calc!$B$1:$B$505)</f>
        <v/>
      </c>
      <c r="G55" s="47">
        <f>SUMIF(T12_Calc!$N$1:$N$505,"Bad debt expense",T12_Calc!$C$1:$C$505)</f>
        <v/>
      </c>
      <c r="H55" s="47">
        <f>SUMIF(T12_Calc!$N$1:$N$505,"Bad debt expense",T12_Calc!$D$1:$D$505)</f>
        <v/>
      </c>
      <c r="I55" s="47">
        <f>SUMIF(T12_Calc!$N$1:$N$505,"Bad debt expense",T12_Calc!$E$1:$E$505)</f>
        <v/>
      </c>
      <c r="J55" s="47">
        <f>SUMIF(T12_Calc!$N$1:$N$505,"Bad debt expense",T12_Calc!$F$1:$F$505)</f>
        <v/>
      </c>
      <c r="K55" s="47">
        <f>SUMIF(T12_Calc!$N$1:$N$505,"Bad debt expense",T12_Calc!$G$1:$G$505)</f>
        <v/>
      </c>
      <c r="L55" s="47">
        <f>SUMIF(T12_Calc!$N$1:$N$505,"Bad debt expense",T12_Calc!$H$1:$H$505)</f>
        <v/>
      </c>
      <c r="M55" s="47">
        <f>SUMIF(T12_Calc!$N$1:$N$505,"Bad debt expense",T12_Calc!$I$1:$I$505)</f>
        <v/>
      </c>
      <c r="N55" s="47">
        <f>SUMIF(T12_Calc!$N$1:$N$505,"Bad debt expense",T12_Calc!$J$1:$J$505)</f>
        <v/>
      </c>
      <c r="O55" s="47">
        <f>SUMIF(T12_Calc!$N$1:$N$505,"Bad debt expense",T12_Calc!$K$1:$K$505)</f>
        <v/>
      </c>
      <c r="P55" s="47">
        <f>SUMIF(T12_Calc!$N$1:$N$505,"Bad debt expense",T12_Calc!$L$1:$L$505)</f>
        <v/>
      </c>
      <c r="Q55" s="47">
        <f>SUMIF(T12_Calc!$N$1:$N$505,"Bad debt expense",T12_Calc!$M$1:$M$505)</f>
        <v/>
      </c>
      <c r="R55" s="93">
        <f>SUM(F55:Q55)</f>
        <v/>
      </c>
    </row>
    <row r="56" ht="15.75" customHeight="1" s="199">
      <c r="A56" s="82" t="inlineStr">
        <is>
          <t>Non-Labor</t>
        </is>
      </c>
      <c r="B56" s="83" t="inlineStr">
        <is>
          <t>Permits, licenses &amp; dues</t>
        </is>
      </c>
      <c r="C56" s="84" t="inlineStr">
        <is>
          <t>-</t>
        </is>
      </c>
      <c r="D56" s="85" t="n"/>
      <c r="E56" s="86" t="inlineStr">
        <is>
          <t>Permits and Licenses | Dues and Subscriptions | Association Dues</t>
        </is>
      </c>
      <c r="F56" s="24">
        <f>SUMIF(T12_Calc!$N$1:$N$505,"Permits, licenses &amp; dues",T12_Calc!$B$1:$B$505)</f>
        <v/>
      </c>
      <c r="G56" s="24">
        <f>SUMIF(T12_Calc!$N$1:$N$505,"Permits, licenses &amp; dues",T12_Calc!$C$1:$C$505)</f>
        <v/>
      </c>
      <c r="H56" s="24">
        <f>SUMIF(T12_Calc!$N$1:$N$505,"Permits, licenses &amp; dues",T12_Calc!$D$1:$D$505)</f>
        <v/>
      </c>
      <c r="I56" s="24">
        <f>SUMIF(T12_Calc!$N$1:$N$505,"Permits, licenses &amp; dues",T12_Calc!$E$1:$E$505)</f>
        <v/>
      </c>
      <c r="J56" s="24">
        <f>SUMIF(T12_Calc!$N$1:$N$505,"Permits, licenses &amp; dues",T12_Calc!$F$1:$F$505)</f>
        <v/>
      </c>
      <c r="K56" s="24">
        <f>SUMIF(T12_Calc!$N$1:$N$505,"Permits, licenses &amp; dues",T12_Calc!$G$1:$G$505)</f>
        <v/>
      </c>
      <c r="L56" s="24">
        <f>SUMIF(T12_Calc!$N$1:$N$505,"Permits, licenses &amp; dues",T12_Calc!$H$1:$H$505)</f>
        <v/>
      </c>
      <c r="M56" s="24">
        <f>SUMIF(T12_Calc!$N$1:$N$505,"Permits, licenses &amp; dues",T12_Calc!$I$1:$I$505)</f>
        <v/>
      </c>
      <c r="N56" s="24">
        <f>SUMIF(T12_Calc!$N$1:$N$505,"Permits, licenses &amp; dues",T12_Calc!$J$1:$J$505)</f>
        <v/>
      </c>
      <c r="O56" s="24">
        <f>SUMIF(T12_Calc!$N$1:$N$505,"Permits, licenses &amp; dues",T12_Calc!$K$1:$K$505)</f>
        <v/>
      </c>
      <c r="P56" s="24">
        <f>SUMIF(T12_Calc!$N$1:$N$505,"Permits, licenses &amp; dues",T12_Calc!$L$1:$L$505)</f>
        <v/>
      </c>
      <c r="Q56" s="24">
        <f>SUMIF(T12_Calc!$N$1:$N$505,"Permits, licenses &amp; dues",T12_Calc!$M$1:$M$505)</f>
        <v/>
      </c>
      <c r="R56" s="87">
        <f>SUM(F56:Q56)</f>
        <v/>
      </c>
    </row>
    <row r="57">
      <c r="A57" s="82" t="inlineStr">
        <is>
          <t>Non-Labor</t>
        </is>
      </c>
      <c r="B57" s="83" t="inlineStr">
        <is>
          <t>Office, admin &amp; G&amp;A</t>
        </is>
      </c>
      <c r="C57" s="84" t="inlineStr">
        <is>
          <t>-</t>
        </is>
      </c>
      <c r="D57" s="85" t="n"/>
      <c r="E57" s="86" t="inlineStr">
        <is>
          <t>Payroll Admin Fee | Postage | Beautician Expense | Copier/Equipment Lease | Training/Continuing Education | Travel | Gas/Mileage | Conference Attendance | Credit Card Processing Fees | Office Supplies | Uniforms and Linen | Printing Expense | Bank Charges/Penalties | Pre-Employment Expense</t>
        </is>
      </c>
      <c r="F57" s="24">
        <f>SUMIF(T12_Calc!$N$1:$N$505,"Office, admin &amp; G&amp;A",T12_Calc!$B$1:$B$505)</f>
        <v/>
      </c>
      <c r="G57" s="24">
        <f>SUMIF(T12_Calc!$N$1:$N$505,"Office, admin &amp; G&amp;A",T12_Calc!$C$1:$C$505)</f>
        <v/>
      </c>
      <c r="H57" s="24">
        <f>SUMIF(T12_Calc!$N$1:$N$505,"Office, admin &amp; G&amp;A",T12_Calc!$D$1:$D$505)</f>
        <v/>
      </c>
      <c r="I57" s="24">
        <f>SUMIF(T12_Calc!$N$1:$N$505,"Office, admin &amp; G&amp;A",T12_Calc!$E$1:$E$505)</f>
        <v/>
      </c>
      <c r="J57" s="24">
        <f>SUMIF(T12_Calc!$N$1:$N$505,"Office, admin &amp; G&amp;A",T12_Calc!$F$1:$F$505)</f>
        <v/>
      </c>
      <c r="K57" s="24">
        <f>SUMIF(T12_Calc!$N$1:$N$505,"Office, admin &amp; G&amp;A",T12_Calc!$G$1:$G$505)</f>
        <v/>
      </c>
      <c r="L57" s="24">
        <f>SUMIF(T12_Calc!$N$1:$N$505,"Office, admin &amp; G&amp;A",T12_Calc!$H$1:$H$505)</f>
        <v/>
      </c>
      <c r="M57" s="24">
        <f>SUMIF(T12_Calc!$N$1:$N$505,"Office, admin &amp; G&amp;A",T12_Calc!$I$1:$I$505)</f>
        <v/>
      </c>
      <c r="N57" s="24">
        <f>SUMIF(T12_Calc!$N$1:$N$505,"Office, admin &amp; G&amp;A",T12_Calc!$J$1:$J$505)</f>
        <v/>
      </c>
      <c r="O57" s="24">
        <f>SUMIF(T12_Calc!$N$1:$N$505,"Office, admin &amp; G&amp;A",T12_Calc!$K$1:$K$505)</f>
        <v/>
      </c>
      <c r="P57" s="24">
        <f>SUMIF(T12_Calc!$N$1:$N$505,"Office, admin &amp; G&amp;A",T12_Calc!$L$1:$L$505)</f>
        <v/>
      </c>
      <c r="Q57" s="24">
        <f>SUMIF(T12_Calc!$N$1:$N$505,"Office, admin &amp; G&amp;A",T12_Calc!$M$1:$M$505)</f>
        <v/>
      </c>
      <c r="R57" s="87">
        <f>SUM(F57:Q57)</f>
        <v/>
      </c>
    </row>
    <row r="58">
      <c r="A58" s="82" t="inlineStr">
        <is>
          <t>Non-Labor</t>
        </is>
      </c>
      <c r="B58" s="83" t="inlineStr">
        <is>
          <t>Other / miscellaneous</t>
        </is>
      </c>
      <c r="C58" s="84" t="inlineStr">
        <is>
          <t>-</t>
        </is>
      </c>
      <c r="D58" s="85" t="n"/>
      <c r="E58" s="86" t="inlineStr">
        <is>
          <t>Reimbursable Supplies | Building (Bird/Fish) Supplies | Evacuation Expense | Personal purchases for Residen | Resident Gifts/Benefits</t>
        </is>
      </c>
      <c r="F58" s="24">
        <f>SUMIF(T12_Calc!$N$1:$N$505,"Other / miscellaneous",T12_Calc!$B$1:$B$505)</f>
        <v/>
      </c>
      <c r="G58" s="24">
        <f>SUMIF(T12_Calc!$N$1:$N$505,"Other / miscellaneous",T12_Calc!$C$1:$C$505)</f>
        <v/>
      </c>
      <c r="H58" s="24">
        <f>SUMIF(T12_Calc!$N$1:$N$505,"Other / miscellaneous",T12_Calc!$D$1:$D$505)</f>
        <v/>
      </c>
      <c r="I58" s="24">
        <f>SUMIF(T12_Calc!$N$1:$N$505,"Other / miscellaneous",T12_Calc!$E$1:$E$505)</f>
        <v/>
      </c>
      <c r="J58" s="24">
        <f>SUMIF(T12_Calc!$N$1:$N$505,"Other / miscellaneous",T12_Calc!$F$1:$F$505)</f>
        <v/>
      </c>
      <c r="K58" s="24">
        <f>SUMIF(T12_Calc!$N$1:$N$505,"Other / miscellaneous",T12_Calc!$G$1:$G$505)</f>
        <v/>
      </c>
      <c r="L58" s="24">
        <f>SUMIF(T12_Calc!$N$1:$N$505,"Other / miscellaneous",T12_Calc!$H$1:$H$505)</f>
        <v/>
      </c>
      <c r="M58" s="24">
        <f>SUMIF(T12_Calc!$N$1:$N$505,"Other / miscellaneous",T12_Calc!$I$1:$I$505)</f>
        <v/>
      </c>
      <c r="N58" s="24">
        <f>SUMIF(T12_Calc!$N$1:$N$505,"Other / miscellaneous",T12_Calc!$J$1:$J$505)</f>
        <v/>
      </c>
      <c r="O58" s="24">
        <f>SUMIF(T12_Calc!$N$1:$N$505,"Other / miscellaneous",T12_Calc!$K$1:$K$505)</f>
        <v/>
      </c>
      <c r="P58" s="24">
        <f>SUMIF(T12_Calc!$N$1:$N$505,"Other / miscellaneous",T12_Calc!$L$1:$L$505)</f>
        <v/>
      </c>
      <c r="Q58" s="24">
        <f>SUMIF(T12_Calc!$N$1:$N$505,"Other / miscellaneous",T12_Calc!$M$1:$M$505)</f>
        <v/>
      </c>
      <c r="R58" s="87">
        <f>SUM(F58:Q58)</f>
        <v/>
      </c>
    </row>
    <row r="59">
      <c r="A59" s="82" t="inlineStr">
        <is>
          <t>Non-Labor</t>
        </is>
      </c>
      <c r="B59" s="83" t="inlineStr">
        <is>
          <t>Management fee</t>
        </is>
      </c>
      <c r="C59" s="84" t="inlineStr">
        <is>
          <t>-</t>
        </is>
      </c>
      <c r="D59" s="91" t="inlineStr">
        <is>
          <t>Enter manually if needed</t>
        </is>
      </c>
      <c r="E59" s="86" t="inlineStr">
        <is>
          <t>Management Fees | Management Fee</t>
        </is>
      </c>
      <c r="F59" s="24">
        <f>SUMIF(T12_Calc!$N$1:$N$505,"Management fee",T12_Calc!$B$1:$B$505)</f>
        <v/>
      </c>
      <c r="G59" s="24">
        <f>SUMIF(T12_Calc!$N$1:$N$505,"Management fee",T12_Calc!$C$1:$C$505)</f>
        <v/>
      </c>
      <c r="H59" s="24">
        <f>SUMIF(T12_Calc!$N$1:$N$505,"Management fee",T12_Calc!$D$1:$D$505)</f>
        <v/>
      </c>
      <c r="I59" s="24">
        <f>SUMIF(T12_Calc!$N$1:$N$505,"Management fee",T12_Calc!$E$1:$E$505)</f>
        <v/>
      </c>
      <c r="J59" s="24">
        <f>SUMIF(T12_Calc!$N$1:$N$505,"Management fee",T12_Calc!$F$1:$F$505)</f>
        <v/>
      </c>
      <c r="K59" s="24">
        <f>SUMIF(T12_Calc!$N$1:$N$505,"Management fee",T12_Calc!$G$1:$G$505)</f>
        <v/>
      </c>
      <c r="L59" s="24">
        <f>SUMIF(T12_Calc!$N$1:$N$505,"Management fee",T12_Calc!$H$1:$H$505)</f>
        <v/>
      </c>
      <c r="M59" s="24">
        <f>SUMIF(T12_Calc!$N$1:$N$505,"Management fee",T12_Calc!$I$1:$I$505)</f>
        <v/>
      </c>
      <c r="N59" s="24">
        <f>SUMIF(T12_Calc!$N$1:$N$505,"Management fee",T12_Calc!$J$1:$J$505)</f>
        <v/>
      </c>
      <c r="O59" s="24">
        <f>SUMIF(T12_Calc!$N$1:$N$505,"Management fee",T12_Calc!$K$1:$K$505)</f>
        <v/>
      </c>
      <c r="P59" s="24">
        <f>SUMIF(T12_Calc!$N$1:$N$505,"Management fee",T12_Calc!$L$1:$L$505)</f>
        <v/>
      </c>
      <c r="Q59" s="24">
        <f>SUMIF(T12_Calc!$N$1:$N$505,"Management fee",T12_Calc!$M$1:$M$505)</f>
        <v/>
      </c>
      <c r="R59" s="87">
        <f>SUM(F59:Q59)</f>
        <v/>
      </c>
    </row>
    <row r="60">
      <c r="A60" s="84" t="inlineStr">
        <is>
          <t>Revenue</t>
        </is>
      </c>
      <c r="B60" s="94" t="inlineStr">
        <is>
          <t>Gross Rent Revenue</t>
        </is>
      </c>
      <c r="C60" s="84" t="inlineStr">
        <is>
          <t>-</t>
        </is>
      </c>
      <c r="F60" s="24">
        <f>SUMIF(T12_Calc!$N$1:$N$505,"Gross Rent Revenue",T12_Calc!$B$1:$B$505)</f>
        <v/>
      </c>
      <c r="G60" s="24">
        <f>SUMIF(T12_Calc!$N$1:$N$505,"Gross Rent Revenue",T12_Calc!$C$1:$C$505)</f>
        <v/>
      </c>
      <c r="H60" s="24">
        <f>SUMIF(T12_Calc!$N$1:$N$505,"Gross Rent Revenue",T12_Calc!$D$1:$D$505)</f>
        <v/>
      </c>
      <c r="I60" s="24">
        <f>SUMIF(T12_Calc!$N$1:$N$505,"Gross Rent Revenue",T12_Calc!$E$1:$E$505)</f>
        <v/>
      </c>
      <c r="J60" s="24">
        <f>SUMIF(T12_Calc!$N$1:$N$505,"Gross Rent Revenue",T12_Calc!$F$1:$F$505)</f>
        <v/>
      </c>
      <c r="K60" s="24">
        <f>SUMIF(T12_Calc!$N$1:$N$505,"Gross Rent Revenue",T12_Calc!$G$1:$G$505)</f>
        <v/>
      </c>
      <c r="L60" s="24">
        <f>SUMIF(T12_Calc!$N$1:$N$505,"Gross Rent Revenue",T12_Calc!$H$1:$H$505)</f>
        <v/>
      </c>
      <c r="M60" s="24">
        <f>SUMIF(T12_Calc!$N$1:$N$505,"Gross Rent Revenue",T12_Calc!$I$1:$I$505)</f>
        <v/>
      </c>
      <c r="N60" s="24">
        <f>SUMIF(T12_Calc!$N$1:$N$505,"Gross Rent Revenue",T12_Calc!$J$1:$J$505)</f>
        <v/>
      </c>
      <c r="O60" s="24">
        <f>SUMIF(T12_Calc!$N$1:$N$505,"Gross Rent Revenue",T12_Calc!$K$1:$K$505)</f>
        <v/>
      </c>
      <c r="P60" s="24">
        <f>SUMIF(T12_Calc!$N$1:$N$505,"Gross Rent Revenue",T12_Calc!$L$1:$L$505)</f>
        <v/>
      </c>
      <c r="Q60" s="24">
        <f>SUMIF(T12_Calc!$N$1:$N$505,"Gross Rent Revenue",T12_Calc!$M$1:$M$505)</f>
        <v/>
      </c>
      <c r="R60" s="87">
        <f>SUM(F60:Q60)</f>
        <v/>
      </c>
    </row>
    <row r="61" ht="15" customHeight="1" s="199">
      <c r="A61" s="84" t="inlineStr">
        <is>
          <t>Revenue</t>
        </is>
      </c>
      <c r="B61" s="95" t="inlineStr">
        <is>
          <t>Physical Vacancy</t>
        </is>
      </c>
      <c r="C61" s="84" t="inlineStr">
        <is>
          <t>-</t>
        </is>
      </c>
      <c r="F61" s="24">
        <f>SUMIF(T12_Calc!$N$1:$N$505,"Physical Vacancy",T12_Calc!$B$1:$B$505)</f>
        <v/>
      </c>
      <c r="G61" s="24">
        <f>SUMIF(T12_Calc!$N$1:$N$505,"Physical Vacancy",T12_Calc!$C$1:$C$505)</f>
        <v/>
      </c>
      <c r="H61" s="24">
        <f>SUMIF(T12_Calc!$N$1:$N$505,"Physical Vacancy",T12_Calc!$D$1:$D$505)</f>
        <v/>
      </c>
      <c r="I61" s="24">
        <f>SUMIF(T12_Calc!$N$1:$N$505,"Physical Vacancy",T12_Calc!$E$1:$E$505)</f>
        <v/>
      </c>
      <c r="J61" s="24">
        <f>SUMIF(T12_Calc!$N$1:$N$505,"Physical Vacancy",T12_Calc!$F$1:$F$505)</f>
        <v/>
      </c>
      <c r="K61" s="24">
        <f>SUMIF(T12_Calc!$N$1:$N$505,"Physical Vacancy",T12_Calc!$G$1:$G$505)</f>
        <v/>
      </c>
      <c r="L61" s="24">
        <f>SUMIF(T12_Calc!$N$1:$N$505,"Physical Vacancy",T12_Calc!$H$1:$H$505)</f>
        <v/>
      </c>
      <c r="M61" s="24">
        <f>SUMIF(T12_Calc!$N$1:$N$505,"Physical Vacancy",T12_Calc!$I$1:$I$505)</f>
        <v/>
      </c>
      <c r="N61" s="24">
        <f>SUMIF(T12_Calc!$N$1:$N$505,"Physical Vacancy",T12_Calc!$J$1:$J$505)</f>
        <v/>
      </c>
      <c r="O61" s="24">
        <f>SUMIF(T12_Calc!$N$1:$N$505,"Physical Vacancy",T12_Calc!$K$1:$K$505)</f>
        <v/>
      </c>
      <c r="P61" s="24">
        <f>SUMIF(T12_Calc!$N$1:$N$505,"Physical Vacancy",T12_Calc!$L$1:$L$505)</f>
        <v/>
      </c>
      <c r="Q61" s="24">
        <f>SUMIF(T12_Calc!$N$1:$N$505,"Physical Vacancy",T12_Calc!$M$1:$M$505)</f>
        <v/>
      </c>
      <c r="R61" s="87">
        <f>SUM(F61:Q61)</f>
        <v/>
      </c>
    </row>
    <row r="62" ht="15" customHeight="1" s="199">
      <c r="A62" s="84" t="inlineStr">
        <is>
          <t>Revenue</t>
        </is>
      </c>
      <c r="B62" s="95" t="inlineStr">
        <is>
          <t>Loss to Lease</t>
        </is>
      </c>
      <c r="C62" s="84" t="inlineStr">
        <is>
          <t>-</t>
        </is>
      </c>
      <c r="F62" s="24">
        <f>SUMIF(T12_Calc!$N$1:$N$505,"Loss to Lease",T12_Calc!$B$1:$B$505)</f>
        <v/>
      </c>
      <c r="G62" s="24">
        <f>SUMIF(T12_Calc!$N$1:$N$505,"Loss to Lease",T12_Calc!$C$1:$C$505)</f>
        <v/>
      </c>
      <c r="H62" s="24">
        <f>SUMIF(T12_Calc!$N$1:$N$505,"Loss to Lease",T12_Calc!$D$1:$D$505)</f>
        <v/>
      </c>
      <c r="I62" s="24">
        <f>SUMIF(T12_Calc!$N$1:$N$505,"Loss to Lease",T12_Calc!$E$1:$E$505)</f>
        <v/>
      </c>
      <c r="J62" s="24">
        <f>SUMIF(T12_Calc!$N$1:$N$505,"Loss to Lease",T12_Calc!$F$1:$F$505)</f>
        <v/>
      </c>
      <c r="K62" s="24">
        <f>SUMIF(T12_Calc!$N$1:$N$505,"Loss to Lease",T12_Calc!$G$1:$G$505)</f>
        <v/>
      </c>
      <c r="L62" s="24">
        <f>SUMIF(T12_Calc!$N$1:$N$505,"Loss to Lease",T12_Calc!$H$1:$H$505)</f>
        <v/>
      </c>
      <c r="M62" s="24">
        <f>SUMIF(T12_Calc!$N$1:$N$505,"Loss to Lease",T12_Calc!$I$1:$I$505)</f>
        <v/>
      </c>
      <c r="N62" s="24">
        <f>SUMIF(T12_Calc!$N$1:$N$505,"Loss to Lease",T12_Calc!$J$1:$J$505)</f>
        <v/>
      </c>
      <c r="O62" s="24">
        <f>SUMIF(T12_Calc!$N$1:$N$505,"Loss to Lease",T12_Calc!$K$1:$K$505)</f>
        <v/>
      </c>
      <c r="P62" s="24">
        <f>SUMIF(T12_Calc!$N$1:$N$505,"Loss to Lease",T12_Calc!$L$1:$L$505)</f>
        <v/>
      </c>
      <c r="Q62" s="24">
        <f>SUMIF(T12_Calc!$N$1:$N$505,"Loss to Lease",T12_Calc!$M$1:$M$505)</f>
        <v/>
      </c>
      <c r="R62" s="87">
        <f>SUM(F62:Q62)</f>
        <v/>
      </c>
    </row>
    <row r="63" ht="15" customHeight="1" s="199">
      <c r="A63" s="82" t="inlineStr">
        <is>
          <t>Non-Labor</t>
        </is>
      </c>
      <c r="B63" s="83" t="inlineStr">
        <is>
          <t>Auto Expense</t>
        </is>
      </c>
      <c r="C63" s="84" t="inlineStr">
        <is>
          <t>-</t>
        </is>
      </c>
      <c r="D63" s="85" t="n"/>
      <c r="E63" s="86" t="inlineStr">
        <is>
          <t>Auto Expenses | Auto and Mileage Expense | Bus/Shuttle Service</t>
        </is>
      </c>
      <c r="F63" s="24">
        <f>SUMIF(T12_Calc!$N$1:$N$505,"Auto Expense",T12_Calc!$B$1:$B$505)</f>
        <v/>
      </c>
      <c r="G63" s="24">
        <f>SUMIF(T12_Calc!$N$1:$N$505,"Auto Expense",T12_Calc!$C$1:$C$505)</f>
        <v/>
      </c>
      <c r="H63" s="24">
        <f>SUMIF(T12_Calc!$N$1:$N$505,"Auto Expense",T12_Calc!$D$1:$D$505)</f>
        <v/>
      </c>
      <c r="I63" s="24">
        <f>SUMIF(T12_Calc!$N$1:$N$505,"Auto Expense",T12_Calc!$E$1:$E$505)</f>
        <v/>
      </c>
      <c r="J63" s="24">
        <f>SUMIF(T12_Calc!$N$1:$N$505,"Auto Expense",T12_Calc!$F$1:$F$505)</f>
        <v/>
      </c>
      <c r="K63" s="24">
        <f>SUMIF(T12_Calc!$N$1:$N$505,"Auto Expense",T12_Calc!$G$1:$G$505)</f>
        <v/>
      </c>
      <c r="L63" s="24">
        <f>SUMIF(T12_Calc!$N$1:$N$505,"Auto Expense",T12_Calc!$H$1:$H$505)</f>
        <v/>
      </c>
      <c r="M63" s="24">
        <f>SUMIF(T12_Calc!$N$1:$N$505,"Auto Expense",T12_Calc!$I$1:$I$505)</f>
        <v/>
      </c>
      <c r="N63" s="24">
        <f>SUMIF(T12_Calc!$N$1:$N$505,"Auto Expense",T12_Calc!$J$1:$J$505)</f>
        <v/>
      </c>
      <c r="O63" s="24">
        <f>SUMIF(T12_Calc!$N$1:$N$505,"Auto Expense",T12_Calc!$K$1:$K$505)</f>
        <v/>
      </c>
      <c r="P63" s="24">
        <f>SUMIF(T12_Calc!$N$1:$N$505,"Auto Expense",T12_Calc!$L$1:$L$505)</f>
        <v/>
      </c>
      <c r="Q63" s="24">
        <f>SUMIF(T12_Calc!$N$1:$N$505,"Auto Expense",T12_Calc!$M$1:$M$505)</f>
        <v/>
      </c>
      <c r="R63" s="87">
        <f>SUM(F63:Q63)</f>
        <v/>
      </c>
    </row>
    <row r="64">
      <c r="A64" s="82" t="inlineStr">
        <is>
          <t>Non-Labor</t>
        </is>
      </c>
      <c r="B64" s="83" t="inlineStr">
        <is>
          <t>Lease / ground lease</t>
        </is>
      </c>
      <c r="C64" s="84" t="inlineStr">
        <is>
          <t>-</t>
        </is>
      </c>
      <c r="D64" s="85" t="n"/>
      <c r="E64" s="86" t="inlineStr">
        <is>
          <t>Lease Expense | Ground Lease | Land Lease | Facility Lease | Building Lease | Rent Expense</t>
        </is>
      </c>
      <c r="F64" s="24">
        <f>SUMIF(T12_Calc!$N$1:$N$505,"Lease / ground lease",T12_Calc!$B$1:$B$505)</f>
        <v/>
      </c>
      <c r="G64" s="24">
        <f>SUMIF(T12_Calc!$N$1:$N$505,"Lease / ground lease",T12_Calc!$C$1:$C$505)</f>
        <v/>
      </c>
      <c r="H64" s="24">
        <f>SUMIF(T12_Calc!$N$1:$N$505,"Lease / ground lease",T12_Calc!$D$1:$D$505)</f>
        <v/>
      </c>
      <c r="I64" s="24">
        <f>SUMIF(T12_Calc!$N$1:$N$505,"Lease / ground lease",T12_Calc!$E$1:$E$505)</f>
        <v/>
      </c>
      <c r="J64" s="24">
        <f>SUMIF(T12_Calc!$N$1:$N$505,"Lease / ground lease",T12_Calc!$F$1:$F$505)</f>
        <v/>
      </c>
      <c r="K64" s="24">
        <f>SUMIF(T12_Calc!$N$1:$N$505,"Lease / ground lease",T12_Calc!$G$1:$G$505)</f>
        <v/>
      </c>
      <c r="L64" s="24">
        <f>SUMIF(T12_Calc!$N$1:$N$505,"Lease / ground lease",T12_Calc!$H$1:$H$505)</f>
        <v/>
      </c>
      <c r="M64" s="24">
        <f>SUMIF(T12_Calc!$N$1:$N$505,"Lease / ground lease",T12_Calc!$I$1:$I$505)</f>
        <v/>
      </c>
      <c r="N64" s="24">
        <f>SUMIF(T12_Calc!$N$1:$N$505,"Lease / ground lease",T12_Calc!$J$1:$J$505)</f>
        <v/>
      </c>
      <c r="O64" s="24">
        <f>SUMIF(T12_Calc!$N$1:$N$505,"Lease / ground lease",T12_Calc!$K$1:$K$505)</f>
        <v/>
      </c>
      <c r="P64" s="24">
        <f>SUMIF(T12_Calc!$N$1:$N$505,"Lease / ground lease",T12_Calc!$L$1:$L$505)</f>
        <v/>
      </c>
      <c r="Q64" s="24">
        <f>SUMIF(T12_Calc!$N$1:$N$505,"Lease / ground lease",T12_Calc!$M$1:$M$505)</f>
        <v/>
      </c>
      <c r="R64" s="87">
        <f>SUM(F64:Q64)</f>
        <v/>
      </c>
    </row>
    <row r="67">
      <c r="R67" s="96" t="n"/>
    </row>
    <row r="68">
      <c r="R68" s="97" t="n"/>
    </row>
    <row r="69">
      <c r="R69" s="80" t="n"/>
    </row>
  </sheetData>
  <mergeCells count="2">
    <mergeCell ref="A2:R2"/>
    <mergeCell ref="A1:R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AZ606"/>
  <sheetViews>
    <sheetView zoomScaleNormal="100" workbookViewId="0">
      <pane ySplit="6" topLeftCell="A7" activePane="bottomLeft" state="frozen"/>
      <selection pane="bottomLeft" activeCell="I5" sqref="I5"/>
    </sheetView>
  </sheetViews>
  <sheetFormatPr baseColWidth="8" defaultColWidth="8.7109375" defaultRowHeight="15"/>
  <cols>
    <col width="8" customWidth="1" style="199" min="1" max="4"/>
    <col width="10" customWidth="1" style="199" min="5" max="5"/>
    <col width="12" customWidth="1" style="199" min="6" max="6"/>
    <col width="11" customWidth="1" style="199" min="7" max="9"/>
    <col width="15" customWidth="1" style="199" min="10" max="10"/>
    <col width="13" customWidth="1" style="199" min="11" max="11"/>
    <col width="11" customWidth="1" style="199" min="12" max="12"/>
    <col width="9" customWidth="1" style="199" min="13" max="13"/>
    <col width="10" customWidth="1" style="199" min="14" max="14"/>
    <col width="9" customWidth="1" style="199" min="15" max="15"/>
    <col width="13" customWidth="1" style="199" min="16" max="16"/>
    <col width="12" customWidth="1" style="199" min="17" max="17"/>
    <col width="18" customWidth="1" style="199" min="18" max="18"/>
    <col width="13" customWidth="1" style="199" min="19" max="19"/>
    <col width="11" customWidth="1" style="199" min="20" max="20"/>
    <col width="13" customWidth="1" style="199" min="21" max="21"/>
    <col width="11" customWidth="1" style="199" min="22" max="22"/>
    <col width="12" customWidth="1" style="199" min="23" max="23"/>
    <col width="11" customWidth="1" style="199" min="24" max="24"/>
    <col width="30" customWidth="1" style="199" min="25" max="25"/>
    <col width="10" customWidth="1" style="199" min="26" max="26"/>
    <col width="10" customWidth="1" style="199" min="27" max="27"/>
    <col width="8" customWidth="1" style="199" min="28" max="28"/>
    <col width="11" customWidth="1" style="199" min="29" max="29"/>
    <col width="11" customWidth="1" style="199" min="30" max="30"/>
    <col width="11" customWidth="1" style="199" min="31" max="31"/>
    <col width="11" customWidth="1" style="199" min="32" max="32"/>
    <col width="11" customWidth="1" style="199" min="33" max="33"/>
    <col width="13" customWidth="1" style="199" min="34" max="34"/>
  </cols>
  <sheetData>
    <row r="1" ht="15.75" customHeight="1" s="199">
      <c r="A1" s="98" t="inlineStr">
        <is>
          <t>Rent Roll Input  —  flat table, one row per resident per period</t>
        </is>
      </c>
      <c r="B1" s="98" t="n"/>
      <c r="C1" s="98" t="n"/>
      <c r="D1" s="98" t="n"/>
      <c r="E1" s="98" t="n"/>
      <c r="F1" s="98" t="n"/>
      <c r="G1" s="98" t="n"/>
      <c r="H1" s="98" t="n"/>
      <c r="I1" s="98" t="n"/>
      <c r="J1" s="98" t="n"/>
      <c r="K1" s="98" t="n"/>
      <c r="L1" s="98" t="n"/>
      <c r="M1" s="98" t="n"/>
      <c r="N1" s="98" t="n"/>
      <c r="O1" s="98" t="n"/>
      <c r="P1" s="98" t="n"/>
      <c r="Q1" s="98" t="n"/>
      <c r="R1" s="98" t="n"/>
      <c r="S1" s="98" t="n"/>
      <c r="T1" s="98" t="n"/>
      <c r="U1" s="98" t="n"/>
      <c r="AZ1" t="inlineStr">
        <is>
          <t>RR normalized output paste area</t>
        </is>
      </c>
    </row>
    <row r="2" ht="15" customHeight="1" s="199">
      <c r="A2" s="99" t="inlineStr">
        <is>
          <t>One row per resident per period. Period Date (col S) is the filter key — enter as MM/DD/YYYY for each row. Add as many periods as needed by adding more rows. Cols N and O are auto-calculated. Select period in Rent Roll Recon tab cell B2.</t>
        </is>
      </c>
      <c r="B2" s="100" t="n"/>
      <c r="C2" s="100" t="n"/>
      <c r="D2" s="100" t="n"/>
      <c r="E2" s="100" t="n"/>
      <c r="F2" s="100" t="n"/>
      <c r="G2" s="100" t="n"/>
      <c r="H2" s="100" t="n"/>
      <c r="I2" s="100" t="n"/>
      <c r="J2" s="100" t="n"/>
      <c r="K2" s="100" t="n"/>
      <c r="L2" s="100" t="n"/>
      <c r="M2" s="100" t="n"/>
      <c r="N2" s="100" t="n"/>
      <c r="O2" s="100" t="n"/>
      <c r="P2" s="100" t="n"/>
      <c r="Q2" s="100" t="n"/>
      <c r="R2" s="100" t="n"/>
      <c r="S2" s="100" t="n"/>
      <c r="T2" s="100" t="n"/>
      <c r="U2" s="100" t="n"/>
      <c r="AZ2" t="inlineStr">
        <is>
          <t>input</t>
        </is>
      </c>
    </row>
    <row r="3">
      <c r="A3" s="215" t="n"/>
      <c r="AZ3" t="inlineStr">
        <is>
          <t>visible</t>
        </is>
      </c>
    </row>
    <row r="4" ht="22.5" customHeight="1" s="199">
      <c r="A4" s="101" t="inlineStr">
        <is>
          <t>Unit #</t>
        </is>
      </c>
      <c r="B4" s="101" t="inlineStr">
        <is>
          <t>Room #</t>
        </is>
      </c>
      <c r="C4" s="101" t="inlineStr">
        <is>
          <t>Sq Ft</t>
        </is>
      </c>
      <c r="D4" s="101" t="inlineStr">
        <is>
          <t>Care
Type</t>
        </is>
      </c>
      <c r="E4" s="101" t="inlineStr">
        <is>
          <t>Status</t>
        </is>
      </c>
      <c r="F4" s="101" t="inlineStr">
        <is>
          <t>Apt
Type</t>
        </is>
      </c>
      <c r="G4" s="101" t="inlineStr">
        <is>
          <t>Market
Rate</t>
        </is>
      </c>
      <c r="H4" s="101" t="inlineStr">
        <is>
          <t>Actual
Rate</t>
        </is>
      </c>
      <c r="I4" s="101" t="inlineStr">
        <is>
          <t>Concession
$</t>
        </is>
      </c>
      <c r="J4" s="101" t="inlineStr">
        <is>
          <t>Concession
End Date</t>
        </is>
      </c>
      <c r="K4" s="101" t="inlineStr">
        <is>
          <t>Care
Level</t>
        </is>
      </c>
      <c r="L4" s="101" t="inlineStr">
        <is>
          <t>Care
Level $</t>
        </is>
      </c>
      <c r="M4" s="101" t="inlineStr">
        <is>
          <t>Med
Mgmt $</t>
        </is>
      </c>
      <c r="N4" s="101" t="inlineStr">
        <is>
          <t>Pharmacy
$</t>
        </is>
      </c>
      <c r="O4" s="101" t="inlineStr">
        <is>
          <t>Other
LOC $</t>
        </is>
      </c>
      <c r="P4" s="101" t="inlineStr">
        <is>
          <t>Payer
Type</t>
        </is>
      </c>
      <c r="Q4" s="101" t="inlineStr">
        <is>
          <t>Move-in
Date</t>
        </is>
      </c>
      <c r="R4" s="101" t="inlineStr">
        <is>
          <t>Resident
Name</t>
        </is>
      </c>
      <c r="S4" s="101" t="inlineStr">
        <is>
          <t>Period
Date</t>
        </is>
      </c>
      <c r="T4" s="102" t="inlineStr">
        <is>
          <t>Total
LOC $</t>
        </is>
      </c>
      <c r="U4" s="102" t="inlineStr">
        <is>
          <t>Total
Monthly Rev</t>
        </is>
      </c>
      <c r="V4" s="254" t="inlineStr">
        <is>
          <t>2nd Person
Rent $</t>
        </is>
      </c>
      <c r="W4" s="254" t="inlineStr">
        <is>
          <t>Move-out
Date</t>
        </is>
      </c>
      <c r="X4" s="254" t="inlineStr">
        <is>
          <t>Balance</t>
        </is>
      </c>
      <c r="Y4" s="254" t="inlineStr">
        <is>
          <t>Notes</t>
        </is>
      </c>
      <c r="Z4" s="254" t="inlineStr">
        <is>
          <t>Market
PSF</t>
        </is>
      </c>
      <c r="AA4" s="254" t="inlineStr">
        <is>
          <t>Actual
PSF</t>
        </is>
      </c>
      <c r="AB4" s="254" t="inlineStr">
        <is>
          <t>ACH</t>
        </is>
      </c>
      <c r="AC4" s="254" t="inlineStr">
        <is>
          <t>Meal Plan
$</t>
        </is>
      </c>
      <c r="AD4" s="254" t="inlineStr">
        <is>
          <t>Scooter Fee
$</t>
        </is>
      </c>
      <c r="AE4" s="254" t="inlineStr">
        <is>
          <t>Housekeeping
$</t>
        </is>
      </c>
      <c r="AF4" s="254" t="inlineStr">
        <is>
          <t>Laundry
$</t>
        </is>
      </c>
      <c r="AG4" s="254" t="inlineStr">
        <is>
          <t>Pet
$</t>
        </is>
      </c>
      <c r="AH4" s="343" t="inlineStr">
        <is>
          <t>Total
Ancillary $</t>
        </is>
      </c>
      <c r="AZ4" t="inlineStr">
        <is>
          <t>v0.2.7</t>
        </is>
      </c>
    </row>
    <row r="5" ht="15" customHeight="1" s="199">
      <c r="A5" s="103" t="inlineStr">
        <is>
          <t>Unit=col A, Care Type=AL, Payer='Primary Resident'→Private Pay, AL Care Level=col I (Basic/Level 2…Level 7), Med Mgmt $=col K, Pharmacy $=col L, Concession $=col G (negative), Period Date=01/31/2026</t>
        </is>
      </c>
      <c r="B5" s="103" t="n"/>
      <c r="C5" s="103" t="n"/>
      <c r="D5" s="103" t="n"/>
      <c r="E5" s="103" t="n"/>
      <c r="F5" s="103" t="n"/>
      <c r="G5" s="103" t="n"/>
      <c r="H5" s="103" t="n"/>
      <c r="I5" s="103" t="n"/>
      <c r="J5" s="103" t="n"/>
      <c r="K5" s="103" t="n"/>
      <c r="L5" s="103" t="n"/>
      <c r="M5" s="103" t="n"/>
      <c r="N5" s="103" t="n"/>
      <c r="O5" s="103" t="n"/>
      <c r="P5" s="103" t="n"/>
      <c r="Q5" s="103" t="n"/>
      <c r="R5" s="103" t="n"/>
      <c r="S5" s="103" t="n"/>
      <c r="T5" s="103" t="n"/>
      <c r="U5" s="103" t="n"/>
    </row>
    <row r="6" ht="13.5" customHeight="1" s="199"/>
    <row r="7" ht="15" customHeight="1" s="199">
      <c r="A7" s="104" t="n"/>
      <c r="B7" s="104" t="n"/>
      <c r="C7" s="104" t="n"/>
      <c r="D7" s="105" t="n"/>
      <c r="E7" s="105" t="n"/>
      <c r="F7" s="105" t="n"/>
      <c r="G7" s="106" t="n"/>
      <c r="H7" s="106" t="n"/>
      <c r="I7" s="106" t="n"/>
      <c r="J7" s="107" t="n"/>
      <c r="K7" s="105" t="n"/>
      <c r="L7" s="106" t="n"/>
      <c r="M7" s="106" t="n"/>
      <c r="N7" s="106" t="n"/>
      <c r="O7" s="106" t="n"/>
      <c r="P7" s="105" t="n"/>
      <c r="Q7" s="107" t="n"/>
      <c r="R7" s="105" t="n"/>
      <c r="S7" s="107" t="n"/>
      <c r="T7" s="108">
        <f>IFERROR(L7+M7+N7+O7,0)</f>
        <v/>
      </c>
      <c r="U7" s="108">
        <f>IFERROR(H7+IFERROR(I7,0)+T7+IFERROR(AH7,0),0)</f>
        <v/>
      </c>
      <c r="V7" s="256" t="n"/>
      <c r="W7" s="257" t="n"/>
      <c r="X7" s="256" t="n"/>
      <c r="Y7" s="258" t="n"/>
      <c r="Z7" s="259" t="n"/>
      <c r="AA7" s="259" t="n"/>
      <c r="AB7" s="258" t="n"/>
      <c r="AC7" s="256" t="n"/>
      <c r="AD7" s="256" t="n"/>
      <c r="AE7" s="256" t="n"/>
      <c r="AF7" s="256" t="n"/>
      <c r="AG7" s="256" t="n"/>
      <c r="AH7" s="256">
        <f>IFERROR(IFERROR(V7,0)+IFERROR(AC7,0)+IFERROR(AD7,0)+IFERROR(AE7,0)+IFERROR(AF7,0)+IFERROR(AG7,0),0)</f>
        <v/>
      </c>
    </row>
    <row r="8" ht="15" customHeight="1" s="199">
      <c r="A8" s="104" t="n"/>
      <c r="B8" s="104" t="n"/>
      <c r="C8" s="104" t="n"/>
      <c r="D8" s="105" t="n"/>
      <c r="E8" s="105" t="n"/>
      <c r="F8" s="105" t="n"/>
      <c r="G8" s="106" t="n"/>
      <c r="H8" s="106" t="n"/>
      <c r="I8" s="106" t="n"/>
      <c r="J8" s="107" t="n"/>
      <c r="K8" s="105" t="n"/>
      <c r="L8" s="106" t="n"/>
      <c r="M8" s="106" t="n"/>
      <c r="N8" s="106" t="n"/>
      <c r="O8" s="106" t="n"/>
      <c r="P8" s="105" t="n"/>
      <c r="Q8" s="107" t="n"/>
      <c r="R8" s="105" t="n"/>
      <c r="S8" s="107" t="n"/>
      <c r="T8" s="108">
        <f>IFERROR(L8+M8+N8+O8,0)</f>
        <v/>
      </c>
      <c r="U8" s="108">
        <f>IFERROR(H8+IFERROR(I8,0)+T8+IFERROR(AH8,0),0)</f>
        <v/>
      </c>
      <c r="V8" s="256" t="n"/>
      <c r="W8" s="257" t="n"/>
      <c r="X8" s="256" t="n"/>
      <c r="Y8" s="258" t="n"/>
      <c r="Z8" s="259" t="n"/>
      <c r="AA8" s="259" t="n"/>
      <c r="AB8" s="258" t="n"/>
      <c r="AC8" s="256" t="n"/>
      <c r="AD8" s="256" t="n"/>
      <c r="AE8" s="256" t="n"/>
      <c r="AF8" s="256" t="n"/>
      <c r="AG8" s="256" t="n"/>
      <c r="AH8" s="256">
        <f>IFERROR(IFERROR(V8,0)+IFERROR(AC8,0)+IFERROR(AD8,0)+IFERROR(AE8,0)+IFERROR(AF8,0)+IFERROR(AG8,0),0)</f>
        <v/>
      </c>
    </row>
    <row r="9" ht="15" customHeight="1" s="199">
      <c r="A9" s="104" t="n"/>
      <c r="B9" s="104" t="n"/>
      <c r="C9" s="104" t="n"/>
      <c r="D9" s="105" t="n"/>
      <c r="E9" s="105" t="n"/>
      <c r="F9" s="105" t="n"/>
      <c r="G9" s="106" t="n"/>
      <c r="H9" s="106" t="n"/>
      <c r="I9" s="106" t="n"/>
      <c r="J9" s="107" t="n"/>
      <c r="K9" s="105" t="n"/>
      <c r="L9" s="106" t="n"/>
      <c r="M9" s="106" t="n"/>
      <c r="N9" s="106" t="n"/>
      <c r="O9" s="106" t="n"/>
      <c r="P9" s="105" t="n"/>
      <c r="Q9" s="107" t="n"/>
      <c r="R9" s="105" t="n"/>
      <c r="S9" s="107" t="n"/>
      <c r="T9" s="108">
        <f>IFERROR(L9+M9+N9+O9,0)</f>
        <v/>
      </c>
      <c r="U9" s="108">
        <f>IFERROR(H9+IFERROR(I9,0)+T9+IFERROR(AH9,0),0)</f>
        <v/>
      </c>
      <c r="V9" s="256" t="n"/>
      <c r="W9" s="257" t="n"/>
      <c r="X9" s="256" t="n"/>
      <c r="Y9" s="258" t="n"/>
      <c r="Z9" s="259" t="n"/>
      <c r="AA9" s="259" t="n"/>
      <c r="AB9" s="258" t="n"/>
      <c r="AC9" s="256" t="n"/>
      <c r="AD9" s="256" t="n"/>
      <c r="AE9" s="256" t="n"/>
      <c r="AF9" s="256" t="n"/>
      <c r="AG9" s="256" t="n"/>
      <c r="AH9" s="256">
        <f>IFERROR(IFERROR(V9,0)+IFERROR(AC9,0)+IFERROR(AD9,0)+IFERROR(AE9,0)+IFERROR(AF9,0)+IFERROR(AG9,0),0)</f>
        <v/>
      </c>
    </row>
    <row r="10" ht="15" customHeight="1" s="199">
      <c r="A10" s="104" t="n"/>
      <c r="B10" s="104" t="n"/>
      <c r="C10" s="104" t="n"/>
      <c r="D10" s="105" t="n"/>
      <c r="E10" s="105" t="n"/>
      <c r="F10" s="105" t="n"/>
      <c r="G10" s="106" t="n"/>
      <c r="H10" s="106" t="n"/>
      <c r="I10" s="106" t="n"/>
      <c r="J10" s="107" t="n"/>
      <c r="K10" s="105" t="n"/>
      <c r="L10" s="106" t="n"/>
      <c r="M10" s="106" t="n"/>
      <c r="N10" s="106" t="n"/>
      <c r="O10" s="106" t="n"/>
      <c r="P10" s="105" t="n"/>
      <c r="Q10" s="107" t="n"/>
      <c r="R10" s="105" t="n"/>
      <c r="S10" s="107" t="n"/>
      <c r="T10" s="108">
        <f>IFERROR(L10+M10+N10+O10,0)</f>
        <v/>
      </c>
      <c r="U10" s="108">
        <f>IFERROR(H10+IFERROR(I10,0)+T10+IFERROR(AH10,0),0)</f>
        <v/>
      </c>
      <c r="V10" s="256" t="n"/>
      <c r="W10" s="257" t="n"/>
      <c r="X10" s="256" t="n"/>
      <c r="Y10" s="258" t="n"/>
      <c r="Z10" s="259" t="n"/>
      <c r="AA10" s="259" t="n"/>
      <c r="AB10" s="258" t="n"/>
      <c r="AC10" s="256" t="n"/>
      <c r="AD10" s="256" t="n"/>
      <c r="AE10" s="256" t="n"/>
      <c r="AF10" s="256" t="n"/>
      <c r="AG10" s="256" t="n"/>
      <c r="AH10" s="256">
        <f>IFERROR(IFERROR(V10,0)+IFERROR(AC10,0)+IFERROR(AD10,0)+IFERROR(AE10,0)+IFERROR(AF10,0)+IFERROR(AG10,0),0)</f>
        <v/>
      </c>
    </row>
    <row r="11" ht="15" customHeight="1" s="199">
      <c r="A11" s="104" t="n"/>
      <c r="B11" s="104" t="n"/>
      <c r="C11" s="104" t="n"/>
      <c r="D11" s="105" t="n"/>
      <c r="E11" s="105" t="n"/>
      <c r="F11" s="105" t="n"/>
      <c r="G11" s="106" t="n"/>
      <c r="H11" s="106" t="n"/>
      <c r="I11" s="106" t="n"/>
      <c r="J11" s="107" t="n"/>
      <c r="K11" s="105" t="n"/>
      <c r="L11" s="106" t="n"/>
      <c r="M11" s="106" t="n"/>
      <c r="N11" s="106" t="n"/>
      <c r="O11" s="106" t="n"/>
      <c r="P11" s="105" t="n"/>
      <c r="Q11" s="107" t="n"/>
      <c r="R11" s="105" t="n"/>
      <c r="S11" s="107" t="n"/>
      <c r="T11" s="108">
        <f>IFERROR(L11+M11+N11+O11,0)</f>
        <v/>
      </c>
      <c r="U11" s="108">
        <f>IFERROR(H11+IFERROR(I11,0)+T11+IFERROR(AH11,0),0)</f>
        <v/>
      </c>
      <c r="V11" s="256" t="n"/>
      <c r="W11" s="257" t="n"/>
      <c r="X11" s="256" t="n"/>
      <c r="Y11" s="258" t="n"/>
      <c r="Z11" s="259" t="n"/>
      <c r="AA11" s="259" t="n"/>
      <c r="AB11" s="258" t="n"/>
      <c r="AC11" s="256" t="n"/>
      <c r="AD11" s="256" t="n"/>
      <c r="AE11" s="256" t="n"/>
      <c r="AF11" s="256" t="n"/>
      <c r="AG11" s="256" t="n"/>
      <c r="AH11" s="256">
        <f>IFERROR(IFERROR(V11,0)+IFERROR(AC11,0)+IFERROR(AD11,0)+IFERROR(AE11,0)+IFERROR(AF11,0)+IFERROR(AG11,0),0)</f>
        <v/>
      </c>
    </row>
    <row r="12" ht="15" customHeight="1" s="199">
      <c r="A12" s="104" t="n"/>
      <c r="B12" s="104" t="n"/>
      <c r="C12" s="104" t="n"/>
      <c r="D12" s="105" t="n"/>
      <c r="E12" s="105" t="n"/>
      <c r="F12" s="105" t="n"/>
      <c r="G12" s="106" t="n"/>
      <c r="H12" s="106" t="n"/>
      <c r="I12" s="106" t="n"/>
      <c r="J12" s="107" t="n"/>
      <c r="K12" s="105" t="n"/>
      <c r="L12" s="106" t="n"/>
      <c r="M12" s="106" t="n"/>
      <c r="N12" s="106" t="n"/>
      <c r="O12" s="106" t="n"/>
      <c r="P12" s="105" t="n"/>
      <c r="Q12" s="107" t="n"/>
      <c r="R12" s="105" t="n"/>
      <c r="S12" s="107" t="n"/>
      <c r="T12" s="108">
        <f>IFERROR(L12+M12+N12+O12,0)</f>
        <v/>
      </c>
      <c r="U12" s="108">
        <f>IFERROR(H12+IFERROR(I12,0)+T12+IFERROR(AH12,0),0)</f>
        <v/>
      </c>
      <c r="V12" s="256" t="n"/>
      <c r="W12" s="257" t="n"/>
      <c r="X12" s="256" t="n"/>
      <c r="Y12" s="258" t="n"/>
      <c r="Z12" s="259" t="n"/>
      <c r="AA12" s="259" t="n"/>
      <c r="AB12" s="258" t="n"/>
      <c r="AC12" s="256" t="n"/>
      <c r="AD12" s="256" t="n"/>
      <c r="AE12" s="256" t="n"/>
      <c r="AF12" s="256" t="n"/>
      <c r="AG12" s="256" t="n"/>
      <c r="AH12" s="256">
        <f>IFERROR(IFERROR(V12,0)+IFERROR(AC12,0)+IFERROR(AD12,0)+IFERROR(AE12,0)+IFERROR(AF12,0)+IFERROR(AG12,0),0)</f>
        <v/>
      </c>
    </row>
    <row r="13" ht="15" customHeight="1" s="199">
      <c r="A13" s="104" t="n"/>
      <c r="B13" s="104" t="n"/>
      <c r="C13" s="104" t="n"/>
      <c r="D13" s="105" t="n"/>
      <c r="E13" s="105" t="n"/>
      <c r="F13" s="105" t="n"/>
      <c r="G13" s="106" t="n"/>
      <c r="H13" s="106" t="n"/>
      <c r="I13" s="106" t="n"/>
      <c r="J13" s="107" t="n"/>
      <c r="K13" s="105" t="n"/>
      <c r="L13" s="106" t="n"/>
      <c r="M13" s="106" t="n"/>
      <c r="N13" s="106" t="n"/>
      <c r="O13" s="106" t="n"/>
      <c r="P13" s="105" t="n"/>
      <c r="Q13" s="107" t="n"/>
      <c r="R13" s="105" t="n"/>
      <c r="S13" s="107" t="n"/>
      <c r="T13" s="108">
        <f>IFERROR(L13+M13+N13+O13,0)</f>
        <v/>
      </c>
      <c r="U13" s="108">
        <f>IFERROR(H13+IFERROR(I13,0)+T13+IFERROR(AH13,0),0)</f>
        <v/>
      </c>
      <c r="V13" s="256" t="n"/>
      <c r="W13" s="257" t="n"/>
      <c r="X13" s="256" t="n"/>
      <c r="Y13" s="258" t="n"/>
      <c r="Z13" s="259" t="n"/>
      <c r="AA13" s="259" t="n"/>
      <c r="AB13" s="258" t="n"/>
      <c r="AC13" s="256" t="n"/>
      <c r="AD13" s="256" t="n"/>
      <c r="AE13" s="256" t="n"/>
      <c r="AF13" s="256" t="n"/>
      <c r="AG13" s="256" t="n"/>
      <c r="AH13" s="256">
        <f>IFERROR(IFERROR(V13,0)+IFERROR(AC13,0)+IFERROR(AD13,0)+IFERROR(AE13,0)+IFERROR(AF13,0)+IFERROR(AG13,0),0)</f>
        <v/>
      </c>
    </row>
    <row r="14" ht="15" customHeight="1" s="199">
      <c r="A14" s="104" t="n"/>
      <c r="B14" s="104" t="n"/>
      <c r="C14" s="104" t="n"/>
      <c r="D14" s="105" t="n"/>
      <c r="E14" s="105" t="n"/>
      <c r="F14" s="105" t="n"/>
      <c r="G14" s="106" t="n"/>
      <c r="H14" s="106" t="n"/>
      <c r="I14" s="106" t="n"/>
      <c r="J14" s="107" t="n"/>
      <c r="K14" s="105" t="n"/>
      <c r="L14" s="106" t="n"/>
      <c r="M14" s="106" t="n"/>
      <c r="N14" s="106" t="n"/>
      <c r="O14" s="106" t="n"/>
      <c r="P14" s="105" t="n"/>
      <c r="Q14" s="107" t="n"/>
      <c r="R14" s="105" t="n"/>
      <c r="S14" s="107" t="n"/>
      <c r="T14" s="108">
        <f>IFERROR(L14+M14+N14+O14,0)</f>
        <v/>
      </c>
      <c r="U14" s="108">
        <f>IFERROR(H14+IFERROR(I14,0)+T14+IFERROR(AH14,0),0)</f>
        <v/>
      </c>
      <c r="V14" s="256" t="n"/>
      <c r="W14" s="257" t="n"/>
      <c r="X14" s="256" t="n"/>
      <c r="Y14" s="258" t="n"/>
      <c r="Z14" s="259" t="n"/>
      <c r="AA14" s="259" t="n"/>
      <c r="AB14" s="258" t="n"/>
      <c r="AC14" s="256" t="n"/>
      <c r="AD14" s="256" t="n"/>
      <c r="AE14" s="256" t="n"/>
      <c r="AF14" s="256" t="n"/>
      <c r="AG14" s="256" t="n"/>
      <c r="AH14" s="256">
        <f>IFERROR(IFERROR(V14,0)+IFERROR(AC14,0)+IFERROR(AD14,0)+IFERROR(AE14,0)+IFERROR(AF14,0)+IFERROR(AG14,0),0)</f>
        <v/>
      </c>
    </row>
    <row r="15" ht="15" customHeight="1" s="199">
      <c r="A15" s="104" t="n"/>
      <c r="B15" s="104" t="n"/>
      <c r="C15" s="104" t="n"/>
      <c r="D15" s="105" t="n"/>
      <c r="E15" s="105" t="n"/>
      <c r="F15" s="105" t="n"/>
      <c r="G15" s="106" t="n"/>
      <c r="H15" s="106" t="n"/>
      <c r="I15" s="106" t="n"/>
      <c r="J15" s="107" t="n"/>
      <c r="K15" s="105" t="n"/>
      <c r="L15" s="106" t="n"/>
      <c r="M15" s="106" t="n"/>
      <c r="N15" s="106" t="n"/>
      <c r="O15" s="106" t="n"/>
      <c r="P15" s="105" t="n"/>
      <c r="Q15" s="107" t="n"/>
      <c r="R15" s="105" t="n"/>
      <c r="S15" s="107" t="n"/>
      <c r="T15" s="108">
        <f>IFERROR(L15+M15+N15+O15,0)</f>
        <v/>
      </c>
      <c r="U15" s="108">
        <f>IFERROR(H15+IFERROR(I15,0)+T15+IFERROR(AH15,0),0)</f>
        <v/>
      </c>
      <c r="V15" s="256" t="n"/>
      <c r="W15" s="257" t="n"/>
      <c r="X15" s="256" t="n"/>
      <c r="Y15" s="258" t="n"/>
      <c r="Z15" s="259" t="n"/>
      <c r="AA15" s="259" t="n"/>
      <c r="AB15" s="258" t="n"/>
      <c r="AC15" s="256" t="n"/>
      <c r="AD15" s="256" t="n"/>
      <c r="AE15" s="256" t="n"/>
      <c r="AF15" s="256" t="n"/>
      <c r="AG15" s="256" t="n"/>
      <c r="AH15" s="256">
        <f>IFERROR(IFERROR(V15,0)+IFERROR(AC15,0)+IFERROR(AD15,0)+IFERROR(AE15,0)+IFERROR(AF15,0)+IFERROR(AG15,0),0)</f>
        <v/>
      </c>
    </row>
    <row r="16" ht="15" customHeight="1" s="199">
      <c r="A16" s="104" t="n"/>
      <c r="B16" s="104" t="n"/>
      <c r="C16" s="104" t="n"/>
      <c r="D16" s="105" t="n"/>
      <c r="E16" s="105" t="n"/>
      <c r="F16" s="105" t="n"/>
      <c r="G16" s="106" t="n"/>
      <c r="H16" s="106" t="n"/>
      <c r="I16" s="106" t="n"/>
      <c r="J16" s="107" t="n"/>
      <c r="K16" s="105" t="n"/>
      <c r="L16" s="106" t="n"/>
      <c r="M16" s="106" t="n"/>
      <c r="N16" s="106" t="n"/>
      <c r="O16" s="106" t="n"/>
      <c r="P16" s="105" t="n"/>
      <c r="Q16" s="107" t="n"/>
      <c r="R16" s="105" t="n"/>
      <c r="S16" s="107" t="n"/>
      <c r="T16" s="108">
        <f>IFERROR(L16+M16+N16+O16,0)</f>
        <v/>
      </c>
      <c r="U16" s="108">
        <f>IFERROR(H16+IFERROR(I16,0)+T16+IFERROR(AH16,0),0)</f>
        <v/>
      </c>
      <c r="V16" s="256" t="n"/>
      <c r="W16" s="257" t="n"/>
      <c r="X16" s="256" t="n"/>
      <c r="Y16" s="258" t="n"/>
      <c r="Z16" s="259" t="n"/>
      <c r="AA16" s="259" t="n"/>
      <c r="AB16" s="258" t="n"/>
      <c r="AC16" s="256" t="n"/>
      <c r="AD16" s="256" t="n"/>
      <c r="AE16" s="256" t="n"/>
      <c r="AF16" s="256" t="n"/>
      <c r="AG16" s="256" t="n"/>
      <c r="AH16" s="256">
        <f>IFERROR(IFERROR(V16,0)+IFERROR(AC16,0)+IFERROR(AD16,0)+IFERROR(AE16,0)+IFERROR(AF16,0)+IFERROR(AG16,0),0)</f>
        <v/>
      </c>
    </row>
    <row r="17" ht="15" customHeight="1" s="199">
      <c r="A17" s="104" t="n"/>
      <c r="B17" s="104" t="n"/>
      <c r="C17" s="104" t="n"/>
      <c r="D17" s="105" t="n"/>
      <c r="E17" s="105" t="n"/>
      <c r="F17" s="105" t="n"/>
      <c r="G17" s="106" t="n"/>
      <c r="H17" s="106" t="n"/>
      <c r="I17" s="106" t="n"/>
      <c r="J17" s="107" t="n"/>
      <c r="K17" s="105" t="n"/>
      <c r="L17" s="106" t="n"/>
      <c r="M17" s="106" t="n"/>
      <c r="N17" s="106" t="n"/>
      <c r="O17" s="106" t="n"/>
      <c r="P17" s="105" t="n"/>
      <c r="Q17" s="107" t="n"/>
      <c r="R17" s="105" t="n"/>
      <c r="S17" s="107" t="n"/>
      <c r="T17" s="108">
        <f>IFERROR(L17+M17+N17+O17,0)</f>
        <v/>
      </c>
      <c r="U17" s="108">
        <f>IFERROR(H17+IFERROR(I17,0)+T17+IFERROR(AH17,0),0)</f>
        <v/>
      </c>
      <c r="V17" s="256" t="n"/>
      <c r="W17" s="257" t="n"/>
      <c r="X17" s="256" t="n"/>
      <c r="Y17" s="258" t="n"/>
      <c r="Z17" s="259" t="n"/>
      <c r="AA17" s="259" t="n"/>
      <c r="AB17" s="258" t="n"/>
      <c r="AC17" s="256" t="n"/>
      <c r="AD17" s="256" t="n"/>
      <c r="AE17" s="256" t="n"/>
      <c r="AF17" s="256" t="n"/>
      <c r="AG17" s="256" t="n"/>
      <c r="AH17" s="256">
        <f>IFERROR(IFERROR(V17,0)+IFERROR(AC17,0)+IFERROR(AD17,0)+IFERROR(AE17,0)+IFERROR(AF17,0)+IFERROR(AG17,0),0)</f>
        <v/>
      </c>
    </row>
    <row r="18" ht="15" customHeight="1" s="199">
      <c r="A18" s="104" t="n"/>
      <c r="B18" s="104" t="n"/>
      <c r="C18" s="104" t="n"/>
      <c r="D18" s="105" t="n"/>
      <c r="E18" s="105" t="n"/>
      <c r="F18" s="105" t="n"/>
      <c r="G18" s="106" t="n"/>
      <c r="H18" s="106" t="n"/>
      <c r="I18" s="106" t="n"/>
      <c r="J18" s="107" t="n"/>
      <c r="K18" s="105" t="n"/>
      <c r="L18" s="106" t="n"/>
      <c r="M18" s="106" t="n"/>
      <c r="N18" s="106" t="n"/>
      <c r="O18" s="106" t="n"/>
      <c r="P18" s="105" t="n"/>
      <c r="Q18" s="107" t="n"/>
      <c r="R18" s="105" t="n"/>
      <c r="S18" s="107" t="n"/>
      <c r="T18" s="108">
        <f>IFERROR(L18+M18+N18+O18,0)</f>
        <v/>
      </c>
      <c r="U18" s="108">
        <f>IFERROR(H18+IFERROR(I18,0)+T18+IFERROR(AH18,0),0)</f>
        <v/>
      </c>
      <c r="V18" s="256" t="n"/>
      <c r="W18" s="257" t="n"/>
      <c r="X18" s="256" t="n"/>
      <c r="Y18" s="258" t="n"/>
      <c r="Z18" s="259" t="n"/>
      <c r="AA18" s="259" t="n"/>
      <c r="AB18" s="258" t="n"/>
      <c r="AC18" s="256" t="n"/>
      <c r="AD18" s="256" t="n"/>
      <c r="AE18" s="256" t="n"/>
      <c r="AF18" s="256" t="n"/>
      <c r="AG18" s="256" t="n"/>
      <c r="AH18" s="256">
        <f>IFERROR(IFERROR(V18,0)+IFERROR(AC18,0)+IFERROR(AD18,0)+IFERROR(AE18,0)+IFERROR(AF18,0)+IFERROR(AG18,0),0)</f>
        <v/>
      </c>
    </row>
    <row r="19" ht="15" customHeight="1" s="199">
      <c r="A19" s="104" t="n"/>
      <c r="B19" s="104" t="n"/>
      <c r="C19" s="104" t="n"/>
      <c r="D19" s="105" t="n"/>
      <c r="E19" s="105" t="n"/>
      <c r="F19" s="105" t="n"/>
      <c r="G19" s="106" t="n"/>
      <c r="H19" s="106" t="n"/>
      <c r="I19" s="106" t="n"/>
      <c r="J19" s="107" t="n"/>
      <c r="K19" s="105" t="n"/>
      <c r="L19" s="106" t="n"/>
      <c r="M19" s="106" t="n"/>
      <c r="N19" s="106" t="n"/>
      <c r="O19" s="106" t="n"/>
      <c r="P19" s="105" t="n"/>
      <c r="Q19" s="107" t="n"/>
      <c r="R19" s="105" t="n"/>
      <c r="S19" s="107" t="n"/>
      <c r="T19" s="108">
        <f>IFERROR(L19+M19+N19+O19,0)</f>
        <v/>
      </c>
      <c r="U19" s="108">
        <f>IFERROR(H19+IFERROR(I19,0)+T19+IFERROR(AH19,0),0)</f>
        <v/>
      </c>
      <c r="V19" s="256" t="n"/>
      <c r="W19" s="257" t="n"/>
      <c r="X19" s="256" t="n"/>
      <c r="Y19" s="258" t="n"/>
      <c r="Z19" s="259" t="n"/>
      <c r="AA19" s="259" t="n"/>
      <c r="AB19" s="258" t="n"/>
      <c r="AC19" s="256" t="n"/>
      <c r="AD19" s="256" t="n"/>
      <c r="AE19" s="256" t="n"/>
      <c r="AF19" s="256" t="n"/>
      <c r="AG19" s="256" t="n"/>
      <c r="AH19" s="256">
        <f>IFERROR(IFERROR(V19,0)+IFERROR(AC19,0)+IFERROR(AD19,0)+IFERROR(AE19,0)+IFERROR(AF19,0)+IFERROR(AG19,0),0)</f>
        <v/>
      </c>
    </row>
    <row r="20" ht="15" customHeight="1" s="199">
      <c r="A20" s="104" t="n"/>
      <c r="B20" s="104" t="n"/>
      <c r="C20" s="104" t="n"/>
      <c r="D20" s="105" t="n"/>
      <c r="E20" s="105" t="n"/>
      <c r="F20" s="105" t="n"/>
      <c r="G20" s="106" t="n"/>
      <c r="H20" s="106" t="n"/>
      <c r="I20" s="106" t="n"/>
      <c r="J20" s="107" t="n"/>
      <c r="K20" s="105" t="n"/>
      <c r="L20" s="106" t="n"/>
      <c r="M20" s="106" t="n"/>
      <c r="N20" s="106" t="n"/>
      <c r="O20" s="106" t="n"/>
      <c r="P20" s="105" t="n"/>
      <c r="Q20" s="107" t="n"/>
      <c r="R20" s="105" t="n"/>
      <c r="S20" s="107" t="n"/>
      <c r="T20" s="108">
        <f>IFERROR(L20+M20+N20+O20,0)</f>
        <v/>
      </c>
      <c r="U20" s="108">
        <f>IFERROR(H20+IFERROR(I20,0)+T20+IFERROR(AH20,0),0)</f>
        <v/>
      </c>
      <c r="V20" s="256" t="n"/>
      <c r="W20" s="257" t="n"/>
      <c r="X20" s="256" t="n"/>
      <c r="Y20" s="258" t="n"/>
      <c r="Z20" s="259" t="n"/>
      <c r="AA20" s="259" t="n"/>
      <c r="AB20" s="258" t="n"/>
      <c r="AC20" s="256" t="n"/>
      <c r="AD20" s="256" t="n"/>
      <c r="AE20" s="256" t="n"/>
      <c r="AF20" s="256" t="n"/>
      <c r="AG20" s="256" t="n"/>
      <c r="AH20" s="256">
        <f>IFERROR(IFERROR(V20,0)+IFERROR(AC20,0)+IFERROR(AD20,0)+IFERROR(AE20,0)+IFERROR(AF20,0)+IFERROR(AG20,0),0)</f>
        <v/>
      </c>
    </row>
    <row r="21" ht="15" customHeight="1" s="199">
      <c r="A21" s="104" t="n"/>
      <c r="B21" s="104" t="n"/>
      <c r="C21" s="104" t="n"/>
      <c r="D21" s="105" t="n"/>
      <c r="E21" s="105" t="n"/>
      <c r="F21" s="105" t="n"/>
      <c r="G21" s="106" t="n"/>
      <c r="H21" s="106" t="n"/>
      <c r="I21" s="106" t="n"/>
      <c r="J21" s="107" t="n"/>
      <c r="K21" s="105" t="n"/>
      <c r="L21" s="106" t="n"/>
      <c r="M21" s="106" t="n"/>
      <c r="N21" s="106" t="n"/>
      <c r="O21" s="106" t="n"/>
      <c r="P21" s="105" t="n"/>
      <c r="Q21" s="107" t="n"/>
      <c r="R21" s="105" t="n"/>
      <c r="S21" s="107" t="n"/>
      <c r="T21" s="108">
        <f>IFERROR(L21+M21+N21+O21,0)</f>
        <v/>
      </c>
      <c r="U21" s="108">
        <f>IFERROR(H21+IFERROR(I21,0)+T21+IFERROR(AH21,0),0)</f>
        <v/>
      </c>
      <c r="V21" s="256" t="n"/>
      <c r="W21" s="257" t="n"/>
      <c r="X21" s="256" t="n"/>
      <c r="Y21" s="258" t="n"/>
      <c r="Z21" s="259" t="n"/>
      <c r="AA21" s="259" t="n"/>
      <c r="AB21" s="258" t="n"/>
      <c r="AC21" s="256" t="n"/>
      <c r="AD21" s="256" t="n"/>
      <c r="AE21" s="256" t="n"/>
      <c r="AF21" s="256" t="n"/>
      <c r="AG21" s="256" t="n"/>
      <c r="AH21" s="256">
        <f>IFERROR(IFERROR(V21,0)+IFERROR(AC21,0)+IFERROR(AD21,0)+IFERROR(AE21,0)+IFERROR(AF21,0)+IFERROR(AG21,0),0)</f>
        <v/>
      </c>
    </row>
    <row r="22" ht="15" customHeight="1" s="199">
      <c r="A22" s="104" t="n"/>
      <c r="B22" s="104" t="n"/>
      <c r="C22" s="104" t="n"/>
      <c r="D22" s="105" t="n"/>
      <c r="E22" s="105" t="n"/>
      <c r="F22" s="105" t="n"/>
      <c r="G22" s="106" t="n"/>
      <c r="H22" s="106" t="n"/>
      <c r="I22" s="106" t="n"/>
      <c r="J22" s="107" t="n"/>
      <c r="K22" s="105" t="n"/>
      <c r="L22" s="106" t="n"/>
      <c r="M22" s="106" t="n"/>
      <c r="N22" s="106" t="n"/>
      <c r="O22" s="106" t="n"/>
      <c r="P22" s="105" t="n"/>
      <c r="Q22" s="107" t="n"/>
      <c r="R22" s="105" t="n"/>
      <c r="S22" s="107" t="n"/>
      <c r="T22" s="108">
        <f>IFERROR(L22+M22+N22+O22,0)</f>
        <v/>
      </c>
      <c r="U22" s="108">
        <f>IFERROR(H22+IFERROR(I22,0)+T22+IFERROR(AH22,0),0)</f>
        <v/>
      </c>
      <c r="V22" s="256" t="n"/>
      <c r="W22" s="257" t="n"/>
      <c r="X22" s="256" t="n"/>
      <c r="Y22" s="258" t="n"/>
      <c r="Z22" s="259" t="n"/>
      <c r="AA22" s="259" t="n"/>
      <c r="AB22" s="258" t="n"/>
      <c r="AC22" s="256" t="n"/>
      <c r="AD22" s="256" t="n"/>
      <c r="AE22" s="256" t="n"/>
      <c r="AF22" s="256" t="n"/>
      <c r="AG22" s="256" t="n"/>
      <c r="AH22" s="256">
        <f>IFERROR(IFERROR(V22,0)+IFERROR(AC22,0)+IFERROR(AD22,0)+IFERROR(AE22,0)+IFERROR(AF22,0)+IFERROR(AG22,0),0)</f>
        <v/>
      </c>
    </row>
    <row r="23" ht="15" customHeight="1" s="199">
      <c r="A23" s="104" t="n"/>
      <c r="B23" s="104" t="n"/>
      <c r="C23" s="104" t="n"/>
      <c r="D23" s="105" t="n"/>
      <c r="E23" s="105" t="n"/>
      <c r="F23" s="105" t="n"/>
      <c r="G23" s="106" t="n"/>
      <c r="H23" s="106" t="n"/>
      <c r="I23" s="106" t="n"/>
      <c r="J23" s="107" t="n"/>
      <c r="K23" s="105" t="n"/>
      <c r="L23" s="106" t="n"/>
      <c r="M23" s="106" t="n"/>
      <c r="N23" s="106" t="n"/>
      <c r="O23" s="106" t="n"/>
      <c r="P23" s="105" t="n"/>
      <c r="Q23" s="107" t="n"/>
      <c r="R23" s="105" t="n"/>
      <c r="S23" s="107" t="n"/>
      <c r="T23" s="108">
        <f>IFERROR(L23+M23+N23+O23,0)</f>
        <v/>
      </c>
      <c r="U23" s="108">
        <f>IFERROR(H23+IFERROR(I23,0)+T23+IFERROR(AH23,0),0)</f>
        <v/>
      </c>
      <c r="V23" s="256" t="n"/>
      <c r="W23" s="257" t="n"/>
      <c r="X23" s="256" t="n"/>
      <c r="Y23" s="258" t="n"/>
      <c r="Z23" s="259" t="n"/>
      <c r="AA23" s="259" t="n"/>
      <c r="AB23" s="258" t="n"/>
      <c r="AC23" s="256" t="n"/>
      <c r="AD23" s="256" t="n"/>
      <c r="AE23" s="256" t="n"/>
      <c r="AF23" s="256" t="n"/>
      <c r="AG23" s="256" t="n"/>
      <c r="AH23" s="256">
        <f>IFERROR(IFERROR(V23,0)+IFERROR(AC23,0)+IFERROR(AD23,0)+IFERROR(AE23,0)+IFERROR(AF23,0)+IFERROR(AG23,0),0)</f>
        <v/>
      </c>
    </row>
    <row r="24" ht="15" customHeight="1" s="199">
      <c r="A24" s="104" t="n"/>
      <c r="B24" s="104" t="n"/>
      <c r="C24" s="104" t="n"/>
      <c r="D24" s="105" t="n"/>
      <c r="E24" s="105" t="n"/>
      <c r="F24" s="105" t="n"/>
      <c r="G24" s="106" t="n"/>
      <c r="H24" s="106" t="n"/>
      <c r="I24" s="106" t="n"/>
      <c r="J24" s="107" t="n"/>
      <c r="K24" s="105" t="n"/>
      <c r="L24" s="106" t="n"/>
      <c r="M24" s="106" t="n"/>
      <c r="N24" s="106" t="n"/>
      <c r="O24" s="106" t="n"/>
      <c r="P24" s="105" t="n"/>
      <c r="Q24" s="107" t="n"/>
      <c r="R24" s="105" t="n"/>
      <c r="S24" s="107" t="n"/>
      <c r="T24" s="108">
        <f>IFERROR(L24+M24+N24+O24,0)</f>
        <v/>
      </c>
      <c r="U24" s="108">
        <f>IFERROR(H24+IFERROR(I24,0)+T24+IFERROR(AH24,0),0)</f>
        <v/>
      </c>
      <c r="V24" s="256" t="n"/>
      <c r="W24" s="257" t="n"/>
      <c r="X24" s="256" t="n"/>
      <c r="Y24" s="258" t="n"/>
      <c r="Z24" s="259" t="n"/>
      <c r="AA24" s="259" t="n"/>
      <c r="AB24" s="258" t="n"/>
      <c r="AC24" s="256" t="n"/>
      <c r="AD24" s="256" t="n"/>
      <c r="AE24" s="256" t="n"/>
      <c r="AF24" s="256" t="n"/>
      <c r="AG24" s="256" t="n"/>
      <c r="AH24" s="256">
        <f>IFERROR(IFERROR(V24,0)+IFERROR(AC24,0)+IFERROR(AD24,0)+IFERROR(AE24,0)+IFERROR(AF24,0)+IFERROR(AG24,0),0)</f>
        <v/>
      </c>
    </row>
    <row r="25" ht="15" customHeight="1" s="199">
      <c r="A25" s="104" t="n"/>
      <c r="B25" s="104" t="n"/>
      <c r="C25" s="104" t="n"/>
      <c r="D25" s="105" t="n"/>
      <c r="E25" s="105" t="n"/>
      <c r="F25" s="105" t="n"/>
      <c r="G25" s="106" t="n"/>
      <c r="H25" s="106" t="n"/>
      <c r="I25" s="106" t="n"/>
      <c r="J25" s="107" t="n"/>
      <c r="K25" s="105" t="n"/>
      <c r="L25" s="106" t="n"/>
      <c r="M25" s="106" t="n"/>
      <c r="N25" s="106" t="n"/>
      <c r="O25" s="106" t="n"/>
      <c r="P25" s="105" t="n"/>
      <c r="Q25" s="107" t="n"/>
      <c r="R25" s="105" t="n"/>
      <c r="S25" s="107" t="n"/>
      <c r="T25" s="108">
        <f>IFERROR(L25+M25+N25+O25,0)</f>
        <v/>
      </c>
      <c r="U25" s="108">
        <f>IFERROR(H25+IFERROR(I25,0)+T25+IFERROR(AH25,0),0)</f>
        <v/>
      </c>
      <c r="V25" s="256" t="n"/>
      <c r="W25" s="257" t="n"/>
      <c r="X25" s="256" t="n"/>
      <c r="Y25" s="258" t="n"/>
      <c r="Z25" s="259" t="n"/>
      <c r="AA25" s="259" t="n"/>
      <c r="AB25" s="258" t="n"/>
      <c r="AC25" s="256" t="n"/>
      <c r="AD25" s="256" t="n"/>
      <c r="AE25" s="256" t="n"/>
      <c r="AF25" s="256" t="n"/>
      <c r="AG25" s="256" t="n"/>
      <c r="AH25" s="256">
        <f>IFERROR(IFERROR(V25,0)+IFERROR(AC25,0)+IFERROR(AD25,0)+IFERROR(AE25,0)+IFERROR(AF25,0)+IFERROR(AG25,0),0)</f>
        <v/>
      </c>
    </row>
    <row r="26" ht="15" customHeight="1" s="199">
      <c r="A26" s="104" t="n"/>
      <c r="B26" s="104" t="n"/>
      <c r="C26" s="104" t="n"/>
      <c r="D26" s="105" t="n"/>
      <c r="E26" s="105" t="n"/>
      <c r="F26" s="105" t="n"/>
      <c r="G26" s="106" t="n"/>
      <c r="H26" s="106" t="n"/>
      <c r="I26" s="106" t="n"/>
      <c r="J26" s="107" t="n"/>
      <c r="K26" s="105" t="n"/>
      <c r="L26" s="106" t="n"/>
      <c r="M26" s="106" t="n"/>
      <c r="N26" s="106" t="n"/>
      <c r="O26" s="106" t="n"/>
      <c r="P26" s="105" t="n"/>
      <c r="Q26" s="107" t="n"/>
      <c r="R26" s="105" t="n"/>
      <c r="S26" s="107" t="n"/>
      <c r="T26" s="108">
        <f>IFERROR(L26+M26+N26+O26,0)</f>
        <v/>
      </c>
      <c r="U26" s="108">
        <f>IFERROR(H26+IFERROR(I26,0)+T26+IFERROR(AH26,0),0)</f>
        <v/>
      </c>
      <c r="V26" s="256" t="n"/>
      <c r="W26" s="257" t="n"/>
      <c r="X26" s="256" t="n"/>
      <c r="Y26" s="258" t="n"/>
      <c r="Z26" s="259" t="n"/>
      <c r="AA26" s="259" t="n"/>
      <c r="AB26" s="258" t="n"/>
      <c r="AC26" s="256" t="n"/>
      <c r="AD26" s="256" t="n"/>
      <c r="AE26" s="256" t="n"/>
      <c r="AF26" s="256" t="n"/>
      <c r="AG26" s="256" t="n"/>
      <c r="AH26" s="256">
        <f>IFERROR(IFERROR(V26,0)+IFERROR(AC26,0)+IFERROR(AD26,0)+IFERROR(AE26,0)+IFERROR(AF26,0)+IFERROR(AG26,0),0)</f>
        <v/>
      </c>
    </row>
    <row r="27" ht="15" customHeight="1" s="199">
      <c r="A27" s="104" t="n"/>
      <c r="B27" s="104" t="n"/>
      <c r="C27" s="104" t="n"/>
      <c r="D27" s="105" t="n"/>
      <c r="E27" s="105" t="n"/>
      <c r="F27" s="105" t="n"/>
      <c r="G27" s="106" t="n"/>
      <c r="H27" s="106" t="n"/>
      <c r="I27" s="106" t="n"/>
      <c r="J27" s="107" t="n"/>
      <c r="K27" s="105" t="n"/>
      <c r="L27" s="106" t="n"/>
      <c r="M27" s="106" t="n"/>
      <c r="N27" s="106" t="n"/>
      <c r="O27" s="106" t="n"/>
      <c r="P27" s="105" t="n"/>
      <c r="Q27" s="107" t="n"/>
      <c r="R27" s="105" t="n"/>
      <c r="S27" s="107" t="n"/>
      <c r="T27" s="108">
        <f>IFERROR(L27+M27+N27+O27,0)</f>
        <v/>
      </c>
      <c r="U27" s="108">
        <f>IFERROR(H27+IFERROR(I27,0)+T27+IFERROR(AH27,0),0)</f>
        <v/>
      </c>
      <c r="V27" s="256" t="n"/>
      <c r="W27" s="257" t="n"/>
      <c r="X27" s="256" t="n"/>
      <c r="Y27" s="258" t="n"/>
      <c r="Z27" s="259" t="n"/>
      <c r="AA27" s="259" t="n"/>
      <c r="AB27" s="258" t="n"/>
      <c r="AC27" s="256" t="n"/>
      <c r="AD27" s="256" t="n"/>
      <c r="AE27" s="256" t="n"/>
      <c r="AF27" s="256" t="n"/>
      <c r="AG27" s="256" t="n"/>
      <c r="AH27" s="256">
        <f>IFERROR(IFERROR(V27,0)+IFERROR(AC27,0)+IFERROR(AD27,0)+IFERROR(AE27,0)+IFERROR(AF27,0)+IFERROR(AG27,0),0)</f>
        <v/>
      </c>
    </row>
    <row r="28" ht="15" customHeight="1" s="199">
      <c r="A28" s="104" t="n"/>
      <c r="B28" s="104" t="n"/>
      <c r="C28" s="104" t="n"/>
      <c r="D28" s="105" t="n"/>
      <c r="E28" s="105" t="n"/>
      <c r="F28" s="105" t="n"/>
      <c r="G28" s="106" t="n"/>
      <c r="H28" s="106" t="n"/>
      <c r="I28" s="106" t="n"/>
      <c r="J28" s="107" t="n"/>
      <c r="K28" s="105" t="n"/>
      <c r="L28" s="106" t="n"/>
      <c r="M28" s="106" t="n"/>
      <c r="N28" s="106" t="n"/>
      <c r="O28" s="106" t="n"/>
      <c r="P28" s="105" t="n"/>
      <c r="Q28" s="107" t="n"/>
      <c r="R28" s="105" t="n"/>
      <c r="S28" s="107" t="n"/>
      <c r="T28" s="108">
        <f>IFERROR(L28+M28+N28+O28,0)</f>
        <v/>
      </c>
      <c r="U28" s="108">
        <f>IFERROR(H28+IFERROR(I28,0)+T28+IFERROR(AH28,0),0)</f>
        <v/>
      </c>
      <c r="V28" s="256" t="n"/>
      <c r="W28" s="257" t="n"/>
      <c r="X28" s="256" t="n"/>
      <c r="Y28" s="258" t="n"/>
      <c r="Z28" s="259" t="n"/>
      <c r="AA28" s="259" t="n"/>
      <c r="AB28" s="258" t="n"/>
      <c r="AC28" s="256" t="n"/>
      <c r="AD28" s="256" t="n"/>
      <c r="AE28" s="256" t="n"/>
      <c r="AF28" s="256" t="n"/>
      <c r="AG28" s="256" t="n"/>
      <c r="AH28" s="256">
        <f>IFERROR(IFERROR(V28,0)+IFERROR(AC28,0)+IFERROR(AD28,0)+IFERROR(AE28,0)+IFERROR(AF28,0)+IFERROR(AG28,0),0)</f>
        <v/>
      </c>
    </row>
    <row r="29" ht="15" customHeight="1" s="199">
      <c r="A29" s="104" t="n"/>
      <c r="B29" s="104" t="n"/>
      <c r="C29" s="104" t="n"/>
      <c r="D29" s="105" t="n"/>
      <c r="E29" s="105" t="n"/>
      <c r="F29" s="105" t="n"/>
      <c r="G29" s="106" t="n"/>
      <c r="H29" s="106" t="n"/>
      <c r="I29" s="106" t="n"/>
      <c r="J29" s="107" t="n"/>
      <c r="K29" s="105" t="n"/>
      <c r="L29" s="106" t="n"/>
      <c r="M29" s="106" t="n"/>
      <c r="N29" s="106" t="n"/>
      <c r="O29" s="106" t="n"/>
      <c r="P29" s="105" t="n"/>
      <c r="Q29" s="107" t="n"/>
      <c r="R29" s="105" t="n"/>
      <c r="S29" s="107" t="n"/>
      <c r="T29" s="108">
        <f>IFERROR(L29+M29+N29+O29,0)</f>
        <v/>
      </c>
      <c r="U29" s="108">
        <f>IFERROR(H29+IFERROR(I29,0)+T29+IFERROR(AH29,0),0)</f>
        <v/>
      </c>
      <c r="V29" s="256" t="n"/>
      <c r="W29" s="257" t="n"/>
      <c r="X29" s="256" t="n"/>
      <c r="Y29" s="258" t="n"/>
      <c r="Z29" s="259" t="n"/>
      <c r="AA29" s="259" t="n"/>
      <c r="AB29" s="258" t="n"/>
      <c r="AC29" s="256" t="n"/>
      <c r="AD29" s="256" t="n"/>
      <c r="AE29" s="256" t="n"/>
      <c r="AF29" s="256" t="n"/>
      <c r="AG29" s="256" t="n"/>
      <c r="AH29" s="256">
        <f>IFERROR(IFERROR(V29,0)+IFERROR(AC29,0)+IFERROR(AD29,0)+IFERROR(AE29,0)+IFERROR(AF29,0)+IFERROR(AG29,0),0)</f>
        <v/>
      </c>
    </row>
    <row r="30" ht="15" customHeight="1" s="199">
      <c r="A30" s="104" t="n"/>
      <c r="B30" s="104" t="n"/>
      <c r="C30" s="104" t="n"/>
      <c r="D30" s="105" t="n"/>
      <c r="E30" s="105" t="n"/>
      <c r="F30" s="105" t="n"/>
      <c r="G30" s="106" t="n"/>
      <c r="H30" s="106" t="n"/>
      <c r="I30" s="106" t="n"/>
      <c r="J30" s="107" t="n"/>
      <c r="K30" s="105" t="n"/>
      <c r="L30" s="106" t="n"/>
      <c r="M30" s="106" t="n"/>
      <c r="N30" s="106" t="n"/>
      <c r="O30" s="106" t="n"/>
      <c r="P30" s="105" t="n"/>
      <c r="Q30" s="107" t="n"/>
      <c r="R30" s="105" t="n"/>
      <c r="S30" s="107" t="n"/>
      <c r="T30" s="108">
        <f>IFERROR(L30+M30+N30+O30,0)</f>
        <v/>
      </c>
      <c r="U30" s="108">
        <f>IFERROR(H30+IFERROR(I30,0)+T30+IFERROR(AH30,0),0)</f>
        <v/>
      </c>
      <c r="V30" s="256" t="n"/>
      <c r="W30" s="257" t="n"/>
      <c r="X30" s="256" t="n"/>
      <c r="Y30" s="258" t="n"/>
      <c r="Z30" s="259" t="n"/>
      <c r="AA30" s="259" t="n"/>
      <c r="AB30" s="258" t="n"/>
      <c r="AC30" s="256" t="n"/>
      <c r="AD30" s="256" t="n"/>
      <c r="AE30" s="256" t="n"/>
      <c r="AF30" s="256" t="n"/>
      <c r="AG30" s="256" t="n"/>
      <c r="AH30" s="256">
        <f>IFERROR(IFERROR(V30,0)+IFERROR(AC30,0)+IFERROR(AD30,0)+IFERROR(AE30,0)+IFERROR(AF30,0)+IFERROR(AG30,0),0)</f>
        <v/>
      </c>
    </row>
    <row r="31" ht="15" customHeight="1" s="199">
      <c r="A31" s="104" t="n"/>
      <c r="B31" s="104" t="n"/>
      <c r="C31" s="104" t="n"/>
      <c r="D31" s="105" t="n"/>
      <c r="E31" s="105" t="n"/>
      <c r="F31" s="105" t="n"/>
      <c r="G31" s="106" t="n"/>
      <c r="H31" s="106" t="n"/>
      <c r="I31" s="106" t="n"/>
      <c r="J31" s="107" t="n"/>
      <c r="K31" s="105" t="n"/>
      <c r="L31" s="106" t="n"/>
      <c r="M31" s="106" t="n"/>
      <c r="N31" s="106" t="n"/>
      <c r="O31" s="106" t="n"/>
      <c r="P31" s="105" t="n"/>
      <c r="Q31" s="107" t="n"/>
      <c r="R31" s="105" t="n"/>
      <c r="S31" s="107" t="n"/>
      <c r="T31" s="108">
        <f>IFERROR(L31+M31+N31+O31,0)</f>
        <v/>
      </c>
      <c r="U31" s="108">
        <f>IFERROR(H31+IFERROR(I31,0)+T31+IFERROR(AH31,0),0)</f>
        <v/>
      </c>
      <c r="V31" s="256" t="n"/>
      <c r="W31" s="257" t="n"/>
      <c r="X31" s="256" t="n"/>
      <c r="Y31" s="258" t="n"/>
      <c r="Z31" s="259" t="n"/>
      <c r="AA31" s="259" t="n"/>
      <c r="AB31" s="258" t="n"/>
      <c r="AC31" s="256" t="n"/>
      <c r="AD31" s="256" t="n"/>
      <c r="AE31" s="256" t="n"/>
      <c r="AF31" s="256" t="n"/>
      <c r="AG31" s="256" t="n"/>
      <c r="AH31" s="256">
        <f>IFERROR(IFERROR(V31,0)+IFERROR(AC31,0)+IFERROR(AD31,0)+IFERROR(AE31,0)+IFERROR(AF31,0)+IFERROR(AG31,0),0)</f>
        <v/>
      </c>
    </row>
    <row r="32" ht="15" customHeight="1" s="199">
      <c r="A32" s="104" t="n"/>
      <c r="B32" s="104" t="n"/>
      <c r="C32" s="104" t="n"/>
      <c r="D32" s="105" t="n"/>
      <c r="E32" s="105" t="n"/>
      <c r="F32" s="105" t="n"/>
      <c r="G32" s="106" t="n"/>
      <c r="H32" s="106" t="n"/>
      <c r="I32" s="106" t="n"/>
      <c r="J32" s="107" t="n"/>
      <c r="K32" s="105" t="n"/>
      <c r="L32" s="106" t="n"/>
      <c r="M32" s="106" t="n"/>
      <c r="N32" s="106" t="n"/>
      <c r="O32" s="106" t="n"/>
      <c r="P32" s="105" t="n"/>
      <c r="Q32" s="107" t="n"/>
      <c r="R32" s="105" t="n"/>
      <c r="S32" s="107" t="n"/>
      <c r="T32" s="108">
        <f>IFERROR(L32+M32+N32+O32,0)</f>
        <v/>
      </c>
      <c r="U32" s="108">
        <f>IFERROR(H32+IFERROR(I32,0)+T32+IFERROR(AH32,0),0)</f>
        <v/>
      </c>
      <c r="V32" s="256" t="n"/>
      <c r="W32" s="257" t="n"/>
      <c r="X32" s="256" t="n"/>
      <c r="Y32" s="258" t="n"/>
      <c r="Z32" s="259" t="n"/>
      <c r="AA32" s="259" t="n"/>
      <c r="AB32" s="258" t="n"/>
      <c r="AC32" s="256" t="n"/>
      <c r="AD32" s="256" t="n"/>
      <c r="AE32" s="256" t="n"/>
      <c r="AF32" s="256" t="n"/>
      <c r="AG32" s="256" t="n"/>
      <c r="AH32" s="256">
        <f>IFERROR(IFERROR(V32,0)+IFERROR(AC32,0)+IFERROR(AD32,0)+IFERROR(AE32,0)+IFERROR(AF32,0)+IFERROR(AG32,0),0)</f>
        <v/>
      </c>
    </row>
    <row r="33" ht="15" customHeight="1" s="199">
      <c r="A33" s="104" t="n"/>
      <c r="B33" s="104" t="n"/>
      <c r="C33" s="104" t="n"/>
      <c r="D33" s="105" t="n"/>
      <c r="E33" s="105" t="n"/>
      <c r="F33" s="105" t="n"/>
      <c r="G33" s="106" t="n"/>
      <c r="H33" s="106" t="n"/>
      <c r="I33" s="106" t="n"/>
      <c r="J33" s="107" t="n"/>
      <c r="K33" s="105" t="n"/>
      <c r="L33" s="106" t="n"/>
      <c r="M33" s="106" t="n"/>
      <c r="N33" s="106" t="n"/>
      <c r="O33" s="106" t="n"/>
      <c r="P33" s="105" t="n"/>
      <c r="Q33" s="107" t="n"/>
      <c r="R33" s="105" t="n"/>
      <c r="S33" s="107" t="n"/>
      <c r="T33" s="108">
        <f>IFERROR(L33+M33+N33+O33,0)</f>
        <v/>
      </c>
      <c r="U33" s="108">
        <f>IFERROR(H33+IFERROR(I33,0)+T33+IFERROR(AH33,0),0)</f>
        <v/>
      </c>
      <c r="V33" s="256" t="n"/>
      <c r="W33" s="257" t="n"/>
      <c r="X33" s="256" t="n"/>
      <c r="Y33" s="258" t="n"/>
      <c r="Z33" s="259" t="n"/>
      <c r="AA33" s="259" t="n"/>
      <c r="AB33" s="258" t="n"/>
      <c r="AC33" s="256" t="n"/>
      <c r="AD33" s="256" t="n"/>
      <c r="AE33" s="256" t="n"/>
      <c r="AF33" s="256" t="n"/>
      <c r="AG33" s="256" t="n"/>
      <c r="AH33" s="256">
        <f>IFERROR(IFERROR(V33,0)+IFERROR(AC33,0)+IFERROR(AD33,0)+IFERROR(AE33,0)+IFERROR(AF33,0)+IFERROR(AG33,0),0)</f>
        <v/>
      </c>
    </row>
    <row r="34" ht="15" customHeight="1" s="199">
      <c r="A34" s="104" t="n"/>
      <c r="B34" s="104" t="n"/>
      <c r="C34" s="104" t="n"/>
      <c r="D34" s="105" t="n"/>
      <c r="E34" s="105" t="n"/>
      <c r="F34" s="105" t="n"/>
      <c r="G34" s="106" t="n"/>
      <c r="H34" s="106" t="n"/>
      <c r="I34" s="106" t="n"/>
      <c r="J34" s="107" t="n"/>
      <c r="K34" s="105" t="n"/>
      <c r="L34" s="106" t="n"/>
      <c r="M34" s="106" t="n"/>
      <c r="N34" s="106" t="n"/>
      <c r="O34" s="106" t="n"/>
      <c r="P34" s="105" t="n"/>
      <c r="Q34" s="107" t="n"/>
      <c r="R34" s="105" t="n"/>
      <c r="S34" s="107" t="n"/>
      <c r="T34" s="108">
        <f>IFERROR(L34+M34+N34+O34,0)</f>
        <v/>
      </c>
      <c r="U34" s="108">
        <f>IFERROR(H34+IFERROR(I34,0)+T34+IFERROR(AH34,0),0)</f>
        <v/>
      </c>
      <c r="V34" s="256" t="n"/>
      <c r="W34" s="257" t="n"/>
      <c r="X34" s="256" t="n"/>
      <c r="Y34" s="258" t="n"/>
      <c r="Z34" s="259" t="n"/>
      <c r="AA34" s="259" t="n"/>
      <c r="AB34" s="258" t="n"/>
      <c r="AC34" s="256" t="n"/>
      <c r="AD34" s="256" t="n"/>
      <c r="AE34" s="256" t="n"/>
      <c r="AF34" s="256" t="n"/>
      <c r="AG34" s="256" t="n"/>
      <c r="AH34" s="256">
        <f>IFERROR(IFERROR(V34,0)+IFERROR(AC34,0)+IFERROR(AD34,0)+IFERROR(AE34,0)+IFERROR(AF34,0)+IFERROR(AG34,0),0)</f>
        <v/>
      </c>
    </row>
    <row r="35" ht="15" customHeight="1" s="199">
      <c r="A35" s="104" t="n"/>
      <c r="B35" s="104" t="n"/>
      <c r="C35" s="104" t="n"/>
      <c r="D35" s="105" t="n"/>
      <c r="E35" s="105" t="n"/>
      <c r="F35" s="105" t="n"/>
      <c r="G35" s="106" t="n"/>
      <c r="H35" s="106" t="n"/>
      <c r="I35" s="106" t="n"/>
      <c r="J35" s="107" t="n"/>
      <c r="K35" s="105" t="n"/>
      <c r="L35" s="106" t="n"/>
      <c r="M35" s="106" t="n"/>
      <c r="N35" s="106" t="n"/>
      <c r="O35" s="106" t="n"/>
      <c r="P35" s="105" t="n"/>
      <c r="Q35" s="107" t="n"/>
      <c r="R35" s="105" t="n"/>
      <c r="S35" s="107" t="n"/>
      <c r="T35" s="108">
        <f>IFERROR(L35+M35+N35+O35,0)</f>
        <v/>
      </c>
      <c r="U35" s="108">
        <f>IFERROR(H35+IFERROR(I35,0)+T35+IFERROR(AH35,0),0)</f>
        <v/>
      </c>
      <c r="V35" s="256" t="n"/>
      <c r="W35" s="257" t="n"/>
      <c r="X35" s="256" t="n"/>
      <c r="Y35" s="258" t="n"/>
      <c r="Z35" s="259" t="n"/>
      <c r="AA35" s="259" t="n"/>
      <c r="AB35" s="258" t="n"/>
      <c r="AC35" s="256" t="n"/>
      <c r="AD35" s="256" t="n"/>
      <c r="AE35" s="256" t="n"/>
      <c r="AF35" s="256" t="n"/>
      <c r="AG35" s="256" t="n"/>
      <c r="AH35" s="256">
        <f>IFERROR(IFERROR(V35,0)+IFERROR(AC35,0)+IFERROR(AD35,0)+IFERROR(AE35,0)+IFERROR(AF35,0)+IFERROR(AG35,0),0)</f>
        <v/>
      </c>
    </row>
    <row r="36" ht="15" customHeight="1" s="199">
      <c r="A36" s="104" t="n"/>
      <c r="B36" s="104" t="n"/>
      <c r="C36" s="104" t="n"/>
      <c r="D36" s="105" t="n"/>
      <c r="E36" s="105" t="n"/>
      <c r="F36" s="105" t="n"/>
      <c r="G36" s="106" t="n"/>
      <c r="H36" s="106" t="n"/>
      <c r="I36" s="106" t="n"/>
      <c r="J36" s="107" t="n"/>
      <c r="K36" s="105" t="n"/>
      <c r="L36" s="106" t="n"/>
      <c r="M36" s="106" t="n"/>
      <c r="N36" s="106" t="n"/>
      <c r="O36" s="106" t="n"/>
      <c r="P36" s="105" t="n"/>
      <c r="Q36" s="107" t="n"/>
      <c r="R36" s="105" t="n"/>
      <c r="S36" s="107" t="n"/>
      <c r="T36" s="108">
        <f>IFERROR(L36+M36+N36+O36,0)</f>
        <v/>
      </c>
      <c r="U36" s="108">
        <f>IFERROR(H36+IFERROR(I36,0)+T36+IFERROR(AH36,0),0)</f>
        <v/>
      </c>
      <c r="V36" s="256" t="n"/>
      <c r="W36" s="257" t="n"/>
      <c r="X36" s="256" t="n"/>
      <c r="Y36" s="258" t="n"/>
      <c r="Z36" s="259" t="n"/>
      <c r="AA36" s="259" t="n"/>
      <c r="AB36" s="258" t="n"/>
      <c r="AC36" s="256" t="n"/>
      <c r="AD36" s="256" t="n"/>
      <c r="AE36" s="256" t="n"/>
      <c r="AF36" s="256" t="n"/>
      <c r="AG36" s="256" t="n"/>
      <c r="AH36" s="256">
        <f>IFERROR(IFERROR(V36,0)+IFERROR(AC36,0)+IFERROR(AD36,0)+IFERROR(AE36,0)+IFERROR(AF36,0)+IFERROR(AG36,0),0)</f>
        <v/>
      </c>
    </row>
    <row r="37" ht="15" customHeight="1" s="199">
      <c r="A37" s="104" t="n"/>
      <c r="B37" s="104" t="n"/>
      <c r="C37" s="104" t="n"/>
      <c r="D37" s="105" t="n"/>
      <c r="E37" s="105" t="n"/>
      <c r="F37" s="105" t="n"/>
      <c r="G37" s="106" t="n"/>
      <c r="H37" s="106" t="n"/>
      <c r="I37" s="106" t="n"/>
      <c r="J37" s="107" t="n"/>
      <c r="K37" s="105" t="n"/>
      <c r="L37" s="106" t="n"/>
      <c r="M37" s="106" t="n"/>
      <c r="N37" s="106" t="n"/>
      <c r="O37" s="106" t="n"/>
      <c r="P37" s="105" t="n"/>
      <c r="Q37" s="107" t="n"/>
      <c r="R37" s="105" t="n"/>
      <c r="S37" s="107" t="n"/>
      <c r="T37" s="108">
        <f>IFERROR(L37+M37+N37+O37,0)</f>
        <v/>
      </c>
      <c r="U37" s="108">
        <f>IFERROR(H37+IFERROR(I37,0)+T37+IFERROR(AH37,0),0)</f>
        <v/>
      </c>
      <c r="V37" s="256" t="n"/>
      <c r="W37" s="257" t="n"/>
      <c r="X37" s="256" t="n"/>
      <c r="Y37" s="258" t="n"/>
      <c r="Z37" s="259" t="n"/>
      <c r="AA37" s="259" t="n"/>
      <c r="AB37" s="258" t="n"/>
      <c r="AC37" s="256" t="n"/>
      <c r="AD37" s="256" t="n"/>
      <c r="AE37" s="256" t="n"/>
      <c r="AF37" s="256" t="n"/>
      <c r="AG37" s="256" t="n"/>
      <c r="AH37" s="256">
        <f>IFERROR(IFERROR(V37,0)+IFERROR(AC37,0)+IFERROR(AD37,0)+IFERROR(AE37,0)+IFERROR(AF37,0)+IFERROR(AG37,0),0)</f>
        <v/>
      </c>
    </row>
    <row r="38" ht="15" customHeight="1" s="199">
      <c r="A38" s="104" t="n"/>
      <c r="B38" s="104" t="n"/>
      <c r="C38" s="104" t="n"/>
      <c r="D38" s="105" t="n"/>
      <c r="E38" s="105" t="n"/>
      <c r="F38" s="105" t="n"/>
      <c r="G38" s="106" t="n"/>
      <c r="H38" s="106" t="n"/>
      <c r="I38" s="106" t="n"/>
      <c r="J38" s="107" t="n"/>
      <c r="K38" s="105" t="n"/>
      <c r="L38" s="106" t="n"/>
      <c r="M38" s="106" t="n"/>
      <c r="N38" s="106" t="n"/>
      <c r="O38" s="106" t="n"/>
      <c r="P38" s="105" t="n"/>
      <c r="Q38" s="107" t="n"/>
      <c r="R38" s="105" t="n"/>
      <c r="S38" s="107" t="n"/>
      <c r="T38" s="108">
        <f>IFERROR(L38+M38+N38+O38,0)</f>
        <v/>
      </c>
      <c r="U38" s="108">
        <f>IFERROR(H38+IFERROR(I38,0)+T38+IFERROR(AH38,0),0)</f>
        <v/>
      </c>
      <c r="V38" s="256" t="n"/>
      <c r="W38" s="257" t="n"/>
      <c r="X38" s="256" t="n"/>
      <c r="Y38" s="258" t="n"/>
      <c r="Z38" s="259" t="n"/>
      <c r="AA38" s="259" t="n"/>
      <c r="AB38" s="258" t="n"/>
      <c r="AC38" s="256" t="n"/>
      <c r="AD38" s="256" t="n"/>
      <c r="AE38" s="256" t="n"/>
      <c r="AF38" s="256" t="n"/>
      <c r="AG38" s="256" t="n"/>
      <c r="AH38" s="256">
        <f>IFERROR(IFERROR(V38,0)+IFERROR(AC38,0)+IFERROR(AD38,0)+IFERROR(AE38,0)+IFERROR(AF38,0)+IFERROR(AG38,0),0)</f>
        <v/>
      </c>
    </row>
    <row r="39" ht="15" customHeight="1" s="199">
      <c r="A39" s="104" t="n"/>
      <c r="B39" s="104" t="n"/>
      <c r="C39" s="104" t="n"/>
      <c r="D39" s="105" t="n"/>
      <c r="E39" s="105" t="n"/>
      <c r="F39" s="105" t="n"/>
      <c r="G39" s="106" t="n"/>
      <c r="H39" s="106" t="n"/>
      <c r="I39" s="106" t="n"/>
      <c r="J39" s="107" t="n"/>
      <c r="K39" s="105" t="n"/>
      <c r="L39" s="106" t="n"/>
      <c r="M39" s="106" t="n"/>
      <c r="N39" s="106" t="n"/>
      <c r="O39" s="106" t="n"/>
      <c r="P39" s="105" t="n"/>
      <c r="Q39" s="107" t="n"/>
      <c r="R39" s="105" t="n"/>
      <c r="S39" s="107" t="n"/>
      <c r="T39" s="108">
        <f>IFERROR(L39+M39+N39+O39,0)</f>
        <v/>
      </c>
      <c r="U39" s="108">
        <f>IFERROR(H39+IFERROR(I39,0)+T39+IFERROR(AH39,0),0)</f>
        <v/>
      </c>
      <c r="V39" s="256" t="n"/>
      <c r="W39" s="257" t="n"/>
      <c r="X39" s="256" t="n"/>
      <c r="Y39" s="258" t="n"/>
      <c r="Z39" s="259" t="n"/>
      <c r="AA39" s="259" t="n"/>
      <c r="AB39" s="258" t="n"/>
      <c r="AC39" s="256" t="n"/>
      <c r="AD39" s="256" t="n"/>
      <c r="AE39" s="256" t="n"/>
      <c r="AF39" s="256" t="n"/>
      <c r="AG39" s="256" t="n"/>
      <c r="AH39" s="256">
        <f>IFERROR(IFERROR(V39,0)+IFERROR(AC39,0)+IFERROR(AD39,0)+IFERROR(AE39,0)+IFERROR(AF39,0)+IFERROR(AG39,0),0)</f>
        <v/>
      </c>
    </row>
    <row r="40" ht="15" customHeight="1" s="199">
      <c r="A40" s="104" t="n"/>
      <c r="B40" s="104" t="n"/>
      <c r="C40" s="104" t="n"/>
      <c r="D40" s="105" t="n"/>
      <c r="E40" s="105" t="n"/>
      <c r="F40" s="105" t="n"/>
      <c r="G40" s="106" t="n"/>
      <c r="H40" s="106" t="n"/>
      <c r="I40" s="106" t="n"/>
      <c r="J40" s="107" t="n"/>
      <c r="K40" s="105" t="n"/>
      <c r="L40" s="106" t="n"/>
      <c r="M40" s="106" t="n"/>
      <c r="N40" s="106" t="n"/>
      <c r="O40" s="106" t="n"/>
      <c r="P40" s="105" t="n"/>
      <c r="Q40" s="107" t="n"/>
      <c r="R40" s="105" t="n"/>
      <c r="S40" s="107" t="n"/>
      <c r="T40" s="108">
        <f>IFERROR(L40+M40+N40+O40,0)</f>
        <v/>
      </c>
      <c r="U40" s="108">
        <f>IFERROR(H40+IFERROR(I40,0)+T40+IFERROR(AH40,0),0)</f>
        <v/>
      </c>
      <c r="V40" s="256" t="n"/>
      <c r="W40" s="257" t="n"/>
      <c r="X40" s="256" t="n"/>
      <c r="Y40" s="258" t="n"/>
      <c r="Z40" s="259" t="n"/>
      <c r="AA40" s="259" t="n"/>
      <c r="AB40" s="258" t="n"/>
      <c r="AC40" s="256" t="n"/>
      <c r="AD40" s="256" t="n"/>
      <c r="AE40" s="256" t="n"/>
      <c r="AF40" s="256" t="n"/>
      <c r="AG40" s="256" t="n"/>
      <c r="AH40" s="256">
        <f>IFERROR(IFERROR(V40,0)+IFERROR(AC40,0)+IFERROR(AD40,0)+IFERROR(AE40,0)+IFERROR(AF40,0)+IFERROR(AG40,0),0)</f>
        <v/>
      </c>
    </row>
    <row r="41" ht="15" customHeight="1" s="199">
      <c r="A41" s="104" t="n"/>
      <c r="B41" s="104" t="n"/>
      <c r="C41" s="104" t="n"/>
      <c r="D41" s="105" t="n"/>
      <c r="E41" s="105" t="n"/>
      <c r="F41" s="105" t="n"/>
      <c r="G41" s="106" t="n"/>
      <c r="H41" s="106" t="n"/>
      <c r="I41" s="106" t="n"/>
      <c r="J41" s="107" t="n"/>
      <c r="K41" s="105" t="n"/>
      <c r="L41" s="106" t="n"/>
      <c r="M41" s="106" t="n"/>
      <c r="N41" s="106" t="n"/>
      <c r="O41" s="106" t="n"/>
      <c r="P41" s="105" t="n"/>
      <c r="Q41" s="107" t="n"/>
      <c r="R41" s="105" t="n"/>
      <c r="S41" s="107" t="n"/>
      <c r="T41" s="108">
        <f>IFERROR(L41+M41+N41+O41,0)</f>
        <v/>
      </c>
      <c r="U41" s="108">
        <f>IFERROR(H41+IFERROR(I41,0)+T41+IFERROR(AH41,0),0)</f>
        <v/>
      </c>
      <c r="V41" s="256" t="n"/>
      <c r="W41" s="257" t="n"/>
      <c r="X41" s="256" t="n"/>
      <c r="Y41" s="258" t="n"/>
      <c r="Z41" s="259" t="n"/>
      <c r="AA41" s="259" t="n"/>
      <c r="AB41" s="258" t="n"/>
      <c r="AC41" s="256" t="n"/>
      <c r="AD41" s="256" t="n"/>
      <c r="AE41" s="256" t="n"/>
      <c r="AF41" s="256" t="n"/>
      <c r="AG41" s="256" t="n"/>
      <c r="AH41" s="256">
        <f>IFERROR(IFERROR(V41,0)+IFERROR(AC41,0)+IFERROR(AD41,0)+IFERROR(AE41,0)+IFERROR(AF41,0)+IFERROR(AG41,0),0)</f>
        <v/>
      </c>
    </row>
    <row r="42" ht="15" customHeight="1" s="199">
      <c r="A42" s="104" t="n"/>
      <c r="B42" s="104" t="n"/>
      <c r="C42" s="104" t="n"/>
      <c r="D42" s="105" t="n"/>
      <c r="E42" s="105" t="n"/>
      <c r="F42" s="105" t="n"/>
      <c r="G42" s="106" t="n"/>
      <c r="H42" s="106" t="n"/>
      <c r="I42" s="106" t="n"/>
      <c r="J42" s="107" t="n"/>
      <c r="K42" s="105" t="n"/>
      <c r="L42" s="106" t="n"/>
      <c r="M42" s="106" t="n"/>
      <c r="N42" s="106" t="n"/>
      <c r="O42" s="106" t="n"/>
      <c r="P42" s="105" t="n"/>
      <c r="Q42" s="107" t="n"/>
      <c r="R42" s="105" t="n"/>
      <c r="S42" s="107" t="n"/>
      <c r="T42" s="108">
        <f>IFERROR(L42+M42+N42+O42,0)</f>
        <v/>
      </c>
      <c r="U42" s="108">
        <f>IFERROR(H42+IFERROR(I42,0)+T42+IFERROR(AH42,0),0)</f>
        <v/>
      </c>
      <c r="V42" s="256" t="n"/>
      <c r="W42" s="257" t="n"/>
      <c r="X42" s="256" t="n"/>
      <c r="Y42" s="258" t="n"/>
      <c r="Z42" s="259" t="n"/>
      <c r="AA42" s="259" t="n"/>
      <c r="AB42" s="258" t="n"/>
      <c r="AC42" s="256" t="n"/>
      <c r="AD42" s="256" t="n"/>
      <c r="AE42" s="256" t="n"/>
      <c r="AF42" s="256" t="n"/>
      <c r="AG42" s="256" t="n"/>
      <c r="AH42" s="256">
        <f>IFERROR(IFERROR(V42,0)+IFERROR(AC42,0)+IFERROR(AD42,0)+IFERROR(AE42,0)+IFERROR(AF42,0)+IFERROR(AG42,0),0)</f>
        <v/>
      </c>
    </row>
    <row r="43" ht="15" customHeight="1" s="199">
      <c r="A43" s="104" t="n"/>
      <c r="B43" s="104" t="n"/>
      <c r="C43" s="104" t="n"/>
      <c r="D43" s="105" t="n"/>
      <c r="E43" s="105" t="n"/>
      <c r="F43" s="105" t="n"/>
      <c r="G43" s="106" t="n"/>
      <c r="H43" s="106" t="n"/>
      <c r="I43" s="106" t="n"/>
      <c r="J43" s="107" t="n"/>
      <c r="K43" s="105" t="n"/>
      <c r="L43" s="106" t="n"/>
      <c r="M43" s="106" t="n"/>
      <c r="N43" s="106" t="n"/>
      <c r="O43" s="106" t="n"/>
      <c r="P43" s="105" t="n"/>
      <c r="Q43" s="107" t="n"/>
      <c r="R43" s="105" t="n"/>
      <c r="S43" s="107" t="n"/>
      <c r="T43" s="108">
        <f>IFERROR(L43+M43+N43+O43,0)</f>
        <v/>
      </c>
      <c r="U43" s="108">
        <f>IFERROR(H43+IFERROR(I43,0)+T43+IFERROR(AH43,0),0)</f>
        <v/>
      </c>
      <c r="V43" s="256" t="n"/>
      <c r="W43" s="257" t="n"/>
      <c r="X43" s="256" t="n"/>
      <c r="Y43" s="258" t="n"/>
      <c r="Z43" s="259" t="n"/>
      <c r="AA43" s="259" t="n"/>
      <c r="AB43" s="258" t="n"/>
      <c r="AC43" s="256" t="n"/>
      <c r="AD43" s="256" t="n"/>
      <c r="AE43" s="256" t="n"/>
      <c r="AF43" s="256" t="n"/>
      <c r="AG43" s="256" t="n"/>
      <c r="AH43" s="256">
        <f>IFERROR(IFERROR(V43,0)+IFERROR(AC43,0)+IFERROR(AD43,0)+IFERROR(AE43,0)+IFERROR(AF43,0)+IFERROR(AG43,0),0)</f>
        <v/>
      </c>
    </row>
    <row r="44" ht="15" customHeight="1" s="199">
      <c r="A44" s="104" t="n"/>
      <c r="B44" s="104" t="n"/>
      <c r="C44" s="104" t="n"/>
      <c r="D44" s="105" t="n"/>
      <c r="E44" s="105" t="n"/>
      <c r="F44" s="105" t="n"/>
      <c r="G44" s="106" t="n"/>
      <c r="H44" s="106" t="n"/>
      <c r="I44" s="106" t="n"/>
      <c r="J44" s="107" t="n"/>
      <c r="K44" s="105" t="n"/>
      <c r="L44" s="106" t="n"/>
      <c r="M44" s="106" t="n"/>
      <c r="N44" s="106" t="n"/>
      <c r="O44" s="106" t="n"/>
      <c r="P44" s="105" t="n"/>
      <c r="Q44" s="107" t="n"/>
      <c r="R44" s="105" t="n"/>
      <c r="S44" s="107" t="n"/>
      <c r="T44" s="108">
        <f>IFERROR(L44+M44+N44+O44,0)</f>
        <v/>
      </c>
      <c r="U44" s="108">
        <f>IFERROR(H44+IFERROR(I44,0)+T44+IFERROR(AH44,0),0)</f>
        <v/>
      </c>
      <c r="V44" s="256" t="n"/>
      <c r="W44" s="257" t="n"/>
      <c r="X44" s="256" t="n"/>
      <c r="Y44" s="258" t="n"/>
      <c r="Z44" s="259" t="n"/>
      <c r="AA44" s="259" t="n"/>
      <c r="AB44" s="258" t="n"/>
      <c r="AC44" s="256" t="n"/>
      <c r="AD44" s="256" t="n"/>
      <c r="AE44" s="256" t="n"/>
      <c r="AF44" s="256" t="n"/>
      <c r="AG44" s="256" t="n"/>
      <c r="AH44" s="256">
        <f>IFERROR(IFERROR(V44,0)+IFERROR(AC44,0)+IFERROR(AD44,0)+IFERROR(AE44,0)+IFERROR(AF44,0)+IFERROR(AG44,0),0)</f>
        <v/>
      </c>
    </row>
    <row r="45" ht="15" customHeight="1" s="199">
      <c r="A45" s="104" t="n"/>
      <c r="B45" s="104" t="n"/>
      <c r="C45" s="104" t="n"/>
      <c r="D45" s="105" t="n"/>
      <c r="E45" s="105" t="n"/>
      <c r="F45" s="105" t="n"/>
      <c r="G45" s="106" t="n"/>
      <c r="H45" s="106" t="n"/>
      <c r="I45" s="106" t="n"/>
      <c r="J45" s="107" t="n"/>
      <c r="K45" s="105" t="n"/>
      <c r="L45" s="106" t="n"/>
      <c r="M45" s="106" t="n"/>
      <c r="N45" s="106" t="n"/>
      <c r="O45" s="106" t="n"/>
      <c r="P45" s="105" t="n"/>
      <c r="Q45" s="107" t="n"/>
      <c r="R45" s="105" t="n"/>
      <c r="S45" s="107" t="n"/>
      <c r="T45" s="108">
        <f>IFERROR(L45+M45+N45+O45,0)</f>
        <v/>
      </c>
      <c r="U45" s="108">
        <f>IFERROR(H45+IFERROR(I45,0)+T45+IFERROR(AH45,0),0)</f>
        <v/>
      </c>
      <c r="V45" s="256" t="n"/>
      <c r="W45" s="257" t="n"/>
      <c r="X45" s="256" t="n"/>
      <c r="Y45" s="258" t="n"/>
      <c r="Z45" s="259" t="n"/>
      <c r="AA45" s="259" t="n"/>
      <c r="AB45" s="258" t="n"/>
      <c r="AC45" s="256" t="n"/>
      <c r="AD45" s="256" t="n"/>
      <c r="AE45" s="256" t="n"/>
      <c r="AF45" s="256" t="n"/>
      <c r="AG45" s="256" t="n"/>
      <c r="AH45" s="256">
        <f>IFERROR(IFERROR(V45,0)+IFERROR(AC45,0)+IFERROR(AD45,0)+IFERROR(AE45,0)+IFERROR(AF45,0)+IFERROR(AG45,0),0)</f>
        <v/>
      </c>
    </row>
    <row r="46" ht="15" customHeight="1" s="199">
      <c r="A46" s="104" t="n"/>
      <c r="B46" s="104" t="n"/>
      <c r="C46" s="104" t="n"/>
      <c r="D46" s="105" t="n"/>
      <c r="E46" s="105" t="n"/>
      <c r="F46" s="105" t="n"/>
      <c r="G46" s="106" t="n"/>
      <c r="H46" s="106" t="n"/>
      <c r="I46" s="106" t="n"/>
      <c r="J46" s="107" t="n"/>
      <c r="K46" s="105" t="n"/>
      <c r="L46" s="106" t="n"/>
      <c r="M46" s="106" t="n"/>
      <c r="N46" s="106" t="n"/>
      <c r="O46" s="106" t="n"/>
      <c r="P46" s="105" t="n"/>
      <c r="Q46" s="107" t="n"/>
      <c r="R46" s="105" t="n"/>
      <c r="S46" s="107" t="n"/>
      <c r="T46" s="108">
        <f>IFERROR(L46+M46+N46+O46,0)</f>
        <v/>
      </c>
      <c r="U46" s="108">
        <f>IFERROR(H46+IFERROR(I46,0)+T46+IFERROR(AH46,0),0)</f>
        <v/>
      </c>
      <c r="V46" s="256" t="n"/>
      <c r="W46" s="257" t="n"/>
      <c r="X46" s="256" t="n"/>
      <c r="Y46" s="258" t="n"/>
      <c r="Z46" s="259" t="n"/>
      <c r="AA46" s="259" t="n"/>
      <c r="AB46" s="258" t="n"/>
      <c r="AC46" s="256" t="n"/>
      <c r="AD46" s="256" t="n"/>
      <c r="AE46" s="256" t="n"/>
      <c r="AF46" s="256" t="n"/>
      <c r="AG46" s="256" t="n"/>
      <c r="AH46" s="256">
        <f>IFERROR(IFERROR(V46,0)+IFERROR(AC46,0)+IFERROR(AD46,0)+IFERROR(AE46,0)+IFERROR(AF46,0)+IFERROR(AG46,0),0)</f>
        <v/>
      </c>
    </row>
    <row r="47" ht="15" customHeight="1" s="199">
      <c r="A47" s="104" t="n"/>
      <c r="B47" s="104" t="n"/>
      <c r="C47" s="104" t="n"/>
      <c r="D47" s="105" t="n"/>
      <c r="E47" s="105" t="n"/>
      <c r="F47" s="105" t="n"/>
      <c r="G47" s="106" t="n"/>
      <c r="H47" s="106" t="n"/>
      <c r="I47" s="106" t="n"/>
      <c r="J47" s="107" t="n"/>
      <c r="K47" s="105" t="n"/>
      <c r="L47" s="106" t="n"/>
      <c r="M47" s="106" t="n"/>
      <c r="N47" s="106" t="n"/>
      <c r="O47" s="106" t="n"/>
      <c r="P47" s="105" t="n"/>
      <c r="Q47" s="107" t="n"/>
      <c r="R47" s="105" t="n"/>
      <c r="S47" s="107" t="n"/>
      <c r="T47" s="108">
        <f>IFERROR(L47+M47+N47+O47,0)</f>
        <v/>
      </c>
      <c r="U47" s="108">
        <f>IFERROR(H47+IFERROR(I47,0)+T47+IFERROR(AH47,0),0)</f>
        <v/>
      </c>
      <c r="V47" s="256" t="n"/>
      <c r="W47" s="257" t="n"/>
      <c r="X47" s="256" t="n"/>
      <c r="Y47" s="258" t="n"/>
      <c r="Z47" s="259" t="n"/>
      <c r="AA47" s="259" t="n"/>
      <c r="AB47" s="258" t="n"/>
      <c r="AC47" s="256" t="n"/>
      <c r="AD47" s="256" t="n"/>
      <c r="AE47" s="256" t="n"/>
      <c r="AF47" s="256" t="n"/>
      <c r="AG47" s="256" t="n"/>
      <c r="AH47" s="256">
        <f>IFERROR(IFERROR(V47,0)+IFERROR(AC47,0)+IFERROR(AD47,0)+IFERROR(AE47,0)+IFERROR(AF47,0)+IFERROR(AG47,0),0)</f>
        <v/>
      </c>
    </row>
    <row r="48" ht="15" customHeight="1" s="199">
      <c r="A48" s="104" t="n"/>
      <c r="B48" s="104" t="n"/>
      <c r="C48" s="104" t="n"/>
      <c r="D48" s="105" t="n"/>
      <c r="E48" s="105" t="n"/>
      <c r="F48" s="105" t="n"/>
      <c r="G48" s="106" t="n"/>
      <c r="H48" s="106" t="n"/>
      <c r="I48" s="106" t="n"/>
      <c r="J48" s="107" t="n"/>
      <c r="K48" s="105" t="n"/>
      <c r="L48" s="106" t="n"/>
      <c r="M48" s="106" t="n"/>
      <c r="N48" s="106" t="n"/>
      <c r="O48" s="106" t="n"/>
      <c r="P48" s="105" t="n"/>
      <c r="Q48" s="107" t="n"/>
      <c r="R48" s="105" t="n"/>
      <c r="S48" s="107" t="n"/>
      <c r="T48" s="108">
        <f>IFERROR(L48+M48+N48+O48,0)</f>
        <v/>
      </c>
      <c r="U48" s="108">
        <f>IFERROR(H48+IFERROR(I48,0)+T48+IFERROR(AH48,0),0)</f>
        <v/>
      </c>
      <c r="V48" s="256" t="n"/>
      <c r="W48" s="257" t="n"/>
      <c r="X48" s="256" t="n"/>
      <c r="Y48" s="258" t="n"/>
      <c r="Z48" s="259" t="n"/>
      <c r="AA48" s="259" t="n"/>
      <c r="AB48" s="258" t="n"/>
      <c r="AC48" s="256" t="n"/>
      <c r="AD48" s="256" t="n"/>
      <c r="AE48" s="256" t="n"/>
      <c r="AF48" s="256" t="n"/>
      <c r="AG48" s="256" t="n"/>
      <c r="AH48" s="256">
        <f>IFERROR(IFERROR(V48,0)+IFERROR(AC48,0)+IFERROR(AD48,0)+IFERROR(AE48,0)+IFERROR(AF48,0)+IFERROR(AG48,0),0)</f>
        <v/>
      </c>
    </row>
    <row r="49" ht="15" customHeight="1" s="199">
      <c r="A49" s="104" t="n"/>
      <c r="B49" s="104" t="n"/>
      <c r="C49" s="104" t="n"/>
      <c r="D49" s="105" t="n"/>
      <c r="E49" s="105" t="n"/>
      <c r="F49" s="105" t="n"/>
      <c r="G49" s="106" t="n"/>
      <c r="H49" s="106" t="n"/>
      <c r="I49" s="106" t="n"/>
      <c r="J49" s="107" t="n"/>
      <c r="K49" s="105" t="n"/>
      <c r="L49" s="106" t="n"/>
      <c r="M49" s="106" t="n"/>
      <c r="N49" s="106" t="n"/>
      <c r="O49" s="106" t="n"/>
      <c r="P49" s="105" t="n"/>
      <c r="Q49" s="107" t="n"/>
      <c r="R49" s="105" t="n"/>
      <c r="S49" s="107" t="n"/>
      <c r="T49" s="108">
        <f>IFERROR(L49+M49+N49+O49,0)</f>
        <v/>
      </c>
      <c r="U49" s="108">
        <f>IFERROR(H49+IFERROR(I49,0)+T49+IFERROR(AH49,0),0)</f>
        <v/>
      </c>
      <c r="V49" s="256" t="n"/>
      <c r="W49" s="257" t="n"/>
      <c r="X49" s="256" t="n"/>
      <c r="Y49" s="258" t="n"/>
      <c r="Z49" s="259" t="n"/>
      <c r="AA49" s="259" t="n"/>
      <c r="AB49" s="258" t="n"/>
      <c r="AC49" s="256" t="n"/>
      <c r="AD49" s="256" t="n"/>
      <c r="AE49" s="256" t="n"/>
      <c r="AF49" s="256" t="n"/>
      <c r="AG49" s="256" t="n"/>
      <c r="AH49" s="256">
        <f>IFERROR(IFERROR(V49,0)+IFERROR(AC49,0)+IFERROR(AD49,0)+IFERROR(AE49,0)+IFERROR(AF49,0)+IFERROR(AG49,0),0)</f>
        <v/>
      </c>
    </row>
    <row r="50" ht="15" customHeight="1" s="199">
      <c r="A50" s="104" t="n"/>
      <c r="B50" s="104" t="n"/>
      <c r="C50" s="104" t="n"/>
      <c r="D50" s="105" t="n"/>
      <c r="E50" s="105" t="n"/>
      <c r="F50" s="105" t="n"/>
      <c r="G50" s="106" t="n"/>
      <c r="H50" s="106" t="n"/>
      <c r="I50" s="106" t="n"/>
      <c r="J50" s="107" t="n"/>
      <c r="K50" s="105" t="n"/>
      <c r="L50" s="106" t="n"/>
      <c r="M50" s="106" t="n"/>
      <c r="N50" s="106" t="n"/>
      <c r="O50" s="106" t="n"/>
      <c r="P50" s="105" t="n"/>
      <c r="Q50" s="107" t="n"/>
      <c r="R50" s="105" t="n"/>
      <c r="S50" s="107" t="n"/>
      <c r="T50" s="108">
        <f>IFERROR(L50+M50+N50+O50,0)</f>
        <v/>
      </c>
      <c r="U50" s="108">
        <f>IFERROR(H50+IFERROR(I50,0)+T50+IFERROR(AH50,0),0)</f>
        <v/>
      </c>
      <c r="V50" s="256" t="n"/>
      <c r="W50" s="257" t="n"/>
      <c r="X50" s="256" t="n"/>
      <c r="Y50" s="258" t="n"/>
      <c r="Z50" s="259" t="n"/>
      <c r="AA50" s="259" t="n"/>
      <c r="AB50" s="258" t="n"/>
      <c r="AC50" s="256" t="n"/>
      <c r="AD50" s="256" t="n"/>
      <c r="AE50" s="256" t="n"/>
      <c r="AF50" s="256" t="n"/>
      <c r="AG50" s="256" t="n"/>
      <c r="AH50" s="256">
        <f>IFERROR(IFERROR(V50,0)+IFERROR(AC50,0)+IFERROR(AD50,0)+IFERROR(AE50,0)+IFERROR(AF50,0)+IFERROR(AG50,0),0)</f>
        <v/>
      </c>
    </row>
    <row r="51" ht="15" customHeight="1" s="199">
      <c r="A51" s="104" t="n"/>
      <c r="B51" s="104" t="n"/>
      <c r="C51" s="104" t="n"/>
      <c r="D51" s="105" t="n"/>
      <c r="E51" s="105" t="n"/>
      <c r="F51" s="105" t="n"/>
      <c r="G51" s="106" t="n"/>
      <c r="H51" s="106" t="n"/>
      <c r="I51" s="106" t="n"/>
      <c r="J51" s="107" t="n"/>
      <c r="K51" s="105" t="n"/>
      <c r="L51" s="106" t="n"/>
      <c r="M51" s="106" t="n"/>
      <c r="N51" s="106" t="n"/>
      <c r="O51" s="106" t="n"/>
      <c r="P51" s="105" t="n"/>
      <c r="Q51" s="107" t="n"/>
      <c r="R51" s="105" t="n"/>
      <c r="S51" s="107" t="n"/>
      <c r="T51" s="108">
        <f>IFERROR(L51+M51+N51+O51,0)</f>
        <v/>
      </c>
      <c r="U51" s="108">
        <f>IFERROR(H51+IFERROR(I51,0)+T51+IFERROR(AH51,0),0)</f>
        <v/>
      </c>
      <c r="V51" s="256" t="n"/>
      <c r="W51" s="257" t="n"/>
      <c r="X51" s="256" t="n"/>
      <c r="Y51" s="258" t="n"/>
      <c r="Z51" s="259" t="n"/>
      <c r="AA51" s="259" t="n"/>
      <c r="AB51" s="258" t="n"/>
      <c r="AC51" s="256" t="n"/>
      <c r="AD51" s="256" t="n"/>
      <c r="AE51" s="256" t="n"/>
      <c r="AF51" s="256" t="n"/>
      <c r="AG51" s="256" t="n"/>
      <c r="AH51" s="256">
        <f>IFERROR(IFERROR(V51,0)+IFERROR(AC51,0)+IFERROR(AD51,0)+IFERROR(AE51,0)+IFERROR(AF51,0)+IFERROR(AG51,0),0)</f>
        <v/>
      </c>
    </row>
    <row r="52" ht="15" customHeight="1" s="199">
      <c r="A52" s="104" t="n"/>
      <c r="B52" s="104" t="n"/>
      <c r="C52" s="104" t="n"/>
      <c r="D52" s="105" t="n"/>
      <c r="E52" s="105" t="n"/>
      <c r="F52" s="105" t="n"/>
      <c r="G52" s="106" t="n"/>
      <c r="H52" s="106" t="n"/>
      <c r="I52" s="106" t="n"/>
      <c r="J52" s="107" t="n"/>
      <c r="K52" s="105" t="n"/>
      <c r="L52" s="106" t="n"/>
      <c r="M52" s="106" t="n"/>
      <c r="N52" s="106" t="n"/>
      <c r="O52" s="106" t="n"/>
      <c r="P52" s="105" t="n"/>
      <c r="Q52" s="107" t="n"/>
      <c r="R52" s="105" t="n"/>
      <c r="S52" s="107" t="n"/>
      <c r="T52" s="108">
        <f>IFERROR(L52+M52+N52+O52,0)</f>
        <v/>
      </c>
      <c r="U52" s="108">
        <f>IFERROR(H52+IFERROR(I52,0)+T52+IFERROR(AH52,0),0)</f>
        <v/>
      </c>
      <c r="V52" s="256" t="n"/>
      <c r="W52" s="257" t="n"/>
      <c r="X52" s="256" t="n"/>
      <c r="Y52" s="258" t="n"/>
      <c r="Z52" s="259" t="n"/>
      <c r="AA52" s="259" t="n"/>
      <c r="AB52" s="258" t="n"/>
      <c r="AC52" s="256" t="n"/>
      <c r="AD52" s="256" t="n"/>
      <c r="AE52" s="256" t="n"/>
      <c r="AF52" s="256" t="n"/>
      <c r="AG52" s="256" t="n"/>
      <c r="AH52" s="256">
        <f>IFERROR(IFERROR(V52,0)+IFERROR(AC52,0)+IFERROR(AD52,0)+IFERROR(AE52,0)+IFERROR(AF52,0)+IFERROR(AG52,0),0)</f>
        <v/>
      </c>
    </row>
    <row r="53" ht="15" customHeight="1" s="199">
      <c r="A53" s="104" t="n"/>
      <c r="B53" s="104" t="n"/>
      <c r="C53" s="104" t="n"/>
      <c r="D53" s="105" t="n"/>
      <c r="E53" s="105" t="n"/>
      <c r="F53" s="105" t="n"/>
      <c r="G53" s="106" t="n"/>
      <c r="H53" s="106" t="n"/>
      <c r="I53" s="106" t="n"/>
      <c r="J53" s="107" t="n"/>
      <c r="K53" s="105" t="n"/>
      <c r="L53" s="106" t="n"/>
      <c r="M53" s="106" t="n"/>
      <c r="N53" s="106" t="n"/>
      <c r="O53" s="106" t="n"/>
      <c r="P53" s="105" t="n"/>
      <c r="Q53" s="107" t="n"/>
      <c r="R53" s="105" t="n"/>
      <c r="S53" s="107" t="n"/>
      <c r="T53" s="108">
        <f>IFERROR(L53+M53+N53+O53,0)</f>
        <v/>
      </c>
      <c r="U53" s="108">
        <f>IFERROR(H53+IFERROR(I53,0)+T53+IFERROR(AH53,0),0)</f>
        <v/>
      </c>
      <c r="V53" s="256" t="n"/>
      <c r="W53" s="257" t="n"/>
      <c r="X53" s="256" t="n"/>
      <c r="Y53" s="258" t="n"/>
      <c r="Z53" s="259" t="n"/>
      <c r="AA53" s="259" t="n"/>
      <c r="AB53" s="258" t="n"/>
      <c r="AC53" s="256" t="n"/>
      <c r="AD53" s="256" t="n"/>
      <c r="AE53" s="256" t="n"/>
      <c r="AF53" s="256" t="n"/>
      <c r="AG53" s="256" t="n"/>
      <c r="AH53" s="256">
        <f>IFERROR(IFERROR(V53,0)+IFERROR(AC53,0)+IFERROR(AD53,0)+IFERROR(AE53,0)+IFERROR(AF53,0)+IFERROR(AG53,0),0)</f>
        <v/>
      </c>
    </row>
    <row r="54" ht="15" customHeight="1" s="199">
      <c r="A54" s="104" t="n"/>
      <c r="B54" s="104" t="n"/>
      <c r="C54" s="104" t="n"/>
      <c r="D54" s="105" t="n"/>
      <c r="E54" s="105" t="n"/>
      <c r="F54" s="105" t="n"/>
      <c r="G54" s="106" t="n"/>
      <c r="H54" s="106" t="n"/>
      <c r="I54" s="106" t="n"/>
      <c r="J54" s="107" t="n"/>
      <c r="K54" s="105" t="n"/>
      <c r="L54" s="106" t="n"/>
      <c r="M54" s="106" t="n"/>
      <c r="N54" s="106" t="n"/>
      <c r="O54" s="106" t="n"/>
      <c r="P54" s="105" t="n"/>
      <c r="Q54" s="107" t="n"/>
      <c r="R54" s="105" t="n"/>
      <c r="S54" s="107" t="n"/>
      <c r="T54" s="108">
        <f>IFERROR(L54+M54+N54+O54,0)</f>
        <v/>
      </c>
      <c r="U54" s="108">
        <f>IFERROR(H54+IFERROR(I54,0)+T54+IFERROR(AH54,0),0)</f>
        <v/>
      </c>
      <c r="V54" s="256" t="n"/>
      <c r="W54" s="257" t="n"/>
      <c r="X54" s="256" t="n"/>
      <c r="Y54" s="258" t="n"/>
      <c r="Z54" s="259" t="n"/>
      <c r="AA54" s="259" t="n"/>
      <c r="AB54" s="258" t="n"/>
      <c r="AC54" s="256" t="n"/>
      <c r="AD54" s="256" t="n"/>
      <c r="AE54" s="256" t="n"/>
      <c r="AF54" s="256" t="n"/>
      <c r="AG54" s="256" t="n"/>
      <c r="AH54" s="256">
        <f>IFERROR(IFERROR(V54,0)+IFERROR(AC54,0)+IFERROR(AD54,0)+IFERROR(AE54,0)+IFERROR(AF54,0)+IFERROR(AG54,0),0)</f>
        <v/>
      </c>
    </row>
    <row r="55" ht="15" customHeight="1" s="199">
      <c r="A55" s="104" t="n"/>
      <c r="B55" s="104" t="n"/>
      <c r="C55" s="104" t="n"/>
      <c r="D55" s="105" t="n"/>
      <c r="E55" s="105" t="n"/>
      <c r="F55" s="105" t="n"/>
      <c r="G55" s="106" t="n"/>
      <c r="H55" s="106" t="n"/>
      <c r="I55" s="106" t="n"/>
      <c r="J55" s="107" t="n"/>
      <c r="K55" s="105" t="n"/>
      <c r="L55" s="106" t="n"/>
      <c r="M55" s="106" t="n"/>
      <c r="N55" s="106" t="n"/>
      <c r="O55" s="106" t="n"/>
      <c r="P55" s="105" t="n"/>
      <c r="Q55" s="107" t="n"/>
      <c r="R55" s="105" t="n"/>
      <c r="S55" s="107" t="n"/>
      <c r="T55" s="108">
        <f>IFERROR(L55+M55+N55+O55,0)</f>
        <v/>
      </c>
      <c r="U55" s="108">
        <f>IFERROR(H55+IFERROR(I55,0)+T55+IFERROR(AH55,0),0)</f>
        <v/>
      </c>
      <c r="V55" s="256" t="n"/>
      <c r="W55" s="257" t="n"/>
      <c r="X55" s="256" t="n"/>
      <c r="Y55" s="258" t="n"/>
      <c r="Z55" s="259" t="n"/>
      <c r="AA55" s="259" t="n"/>
      <c r="AB55" s="258" t="n"/>
      <c r="AC55" s="256" t="n"/>
      <c r="AD55" s="256" t="n"/>
      <c r="AE55" s="256" t="n"/>
      <c r="AF55" s="256" t="n"/>
      <c r="AG55" s="256" t="n"/>
      <c r="AH55" s="256">
        <f>IFERROR(IFERROR(V55,0)+IFERROR(AC55,0)+IFERROR(AD55,0)+IFERROR(AE55,0)+IFERROR(AF55,0)+IFERROR(AG55,0),0)</f>
        <v/>
      </c>
    </row>
    <row r="56" ht="15" customHeight="1" s="199">
      <c r="A56" s="104" t="n"/>
      <c r="B56" s="104" t="n"/>
      <c r="C56" s="104" t="n"/>
      <c r="D56" s="105" t="n"/>
      <c r="E56" s="105" t="n"/>
      <c r="F56" s="105" t="n"/>
      <c r="G56" s="106" t="n"/>
      <c r="H56" s="106" t="n"/>
      <c r="I56" s="106" t="n"/>
      <c r="J56" s="107" t="n"/>
      <c r="K56" s="105" t="n"/>
      <c r="L56" s="106" t="n"/>
      <c r="M56" s="106" t="n"/>
      <c r="N56" s="106" t="n"/>
      <c r="O56" s="106" t="n"/>
      <c r="P56" s="105" t="n"/>
      <c r="Q56" s="107" t="n"/>
      <c r="R56" s="105" t="n"/>
      <c r="S56" s="107" t="n"/>
      <c r="T56" s="108">
        <f>IFERROR(L56+M56+N56+O56,0)</f>
        <v/>
      </c>
      <c r="U56" s="108">
        <f>IFERROR(H56+IFERROR(I56,0)+T56+IFERROR(AH56,0),0)</f>
        <v/>
      </c>
      <c r="V56" s="256" t="n"/>
      <c r="W56" s="257" t="n"/>
      <c r="X56" s="256" t="n"/>
      <c r="Y56" s="258" t="n"/>
      <c r="Z56" s="259" t="n"/>
      <c r="AA56" s="259" t="n"/>
      <c r="AB56" s="258" t="n"/>
      <c r="AC56" s="256" t="n"/>
      <c r="AD56" s="256" t="n"/>
      <c r="AE56" s="256" t="n"/>
      <c r="AF56" s="256" t="n"/>
      <c r="AG56" s="256" t="n"/>
      <c r="AH56" s="256">
        <f>IFERROR(IFERROR(V56,0)+IFERROR(AC56,0)+IFERROR(AD56,0)+IFERROR(AE56,0)+IFERROR(AF56,0)+IFERROR(AG56,0),0)</f>
        <v/>
      </c>
    </row>
    <row r="57" ht="15" customHeight="1" s="199">
      <c r="A57" s="104" t="n"/>
      <c r="B57" s="104" t="n"/>
      <c r="C57" s="104" t="n"/>
      <c r="D57" s="105" t="n"/>
      <c r="E57" s="105" t="n"/>
      <c r="F57" s="105" t="n"/>
      <c r="G57" s="106" t="n"/>
      <c r="H57" s="106" t="n"/>
      <c r="I57" s="106" t="n"/>
      <c r="J57" s="107" t="n"/>
      <c r="K57" s="105" t="n"/>
      <c r="L57" s="106" t="n"/>
      <c r="M57" s="106" t="n"/>
      <c r="N57" s="106" t="n"/>
      <c r="O57" s="106" t="n"/>
      <c r="P57" s="105" t="n"/>
      <c r="Q57" s="107" t="n"/>
      <c r="R57" s="105" t="n"/>
      <c r="S57" s="107" t="n"/>
      <c r="T57" s="108">
        <f>IFERROR(L57+M57+N57+O57,0)</f>
        <v/>
      </c>
      <c r="U57" s="108">
        <f>IFERROR(H57+IFERROR(I57,0)+T57+IFERROR(AH57,0),0)</f>
        <v/>
      </c>
      <c r="V57" s="256" t="n"/>
      <c r="W57" s="257" t="n"/>
      <c r="X57" s="256" t="n"/>
      <c r="Y57" s="258" t="n"/>
      <c r="Z57" s="259" t="n"/>
      <c r="AA57" s="259" t="n"/>
      <c r="AB57" s="258" t="n"/>
      <c r="AC57" s="256" t="n"/>
      <c r="AD57" s="256" t="n"/>
      <c r="AE57" s="256" t="n"/>
      <c r="AF57" s="256" t="n"/>
      <c r="AG57" s="256" t="n"/>
      <c r="AH57" s="256">
        <f>IFERROR(IFERROR(V57,0)+IFERROR(AC57,0)+IFERROR(AD57,0)+IFERROR(AE57,0)+IFERROR(AF57,0)+IFERROR(AG57,0),0)</f>
        <v/>
      </c>
    </row>
    <row r="58" ht="15" customHeight="1" s="199">
      <c r="A58" s="104" t="n"/>
      <c r="B58" s="104" t="n"/>
      <c r="C58" s="104" t="n"/>
      <c r="D58" s="105" t="n"/>
      <c r="E58" s="105" t="n"/>
      <c r="F58" s="105" t="n"/>
      <c r="G58" s="106" t="n"/>
      <c r="H58" s="106" t="n"/>
      <c r="I58" s="106" t="n"/>
      <c r="J58" s="107" t="n"/>
      <c r="K58" s="105" t="n"/>
      <c r="L58" s="106" t="n"/>
      <c r="M58" s="106" t="n"/>
      <c r="N58" s="106" t="n"/>
      <c r="O58" s="106" t="n"/>
      <c r="P58" s="105" t="n"/>
      <c r="Q58" s="107" t="n"/>
      <c r="R58" s="105" t="n"/>
      <c r="S58" s="107" t="n"/>
      <c r="T58" s="108">
        <f>IFERROR(L58+M58+N58+O58,0)</f>
        <v/>
      </c>
      <c r="U58" s="108">
        <f>IFERROR(H58+IFERROR(I58,0)+T58+IFERROR(AH58,0),0)</f>
        <v/>
      </c>
      <c r="V58" s="256" t="n"/>
      <c r="W58" s="257" t="n"/>
      <c r="X58" s="256" t="n"/>
      <c r="Y58" s="258" t="n"/>
      <c r="Z58" s="259" t="n"/>
      <c r="AA58" s="259" t="n"/>
      <c r="AB58" s="258" t="n"/>
      <c r="AC58" s="256" t="n"/>
      <c r="AD58" s="256" t="n"/>
      <c r="AE58" s="256" t="n"/>
      <c r="AF58" s="256" t="n"/>
      <c r="AG58" s="256" t="n"/>
      <c r="AH58" s="256">
        <f>IFERROR(IFERROR(V58,0)+IFERROR(AC58,0)+IFERROR(AD58,0)+IFERROR(AE58,0)+IFERROR(AF58,0)+IFERROR(AG58,0),0)</f>
        <v/>
      </c>
    </row>
    <row r="59" ht="15" customHeight="1" s="199">
      <c r="A59" s="104" t="n"/>
      <c r="B59" s="104" t="n"/>
      <c r="C59" s="104" t="n"/>
      <c r="D59" s="105" t="n"/>
      <c r="E59" s="105" t="n"/>
      <c r="F59" s="105" t="n"/>
      <c r="G59" s="106" t="n"/>
      <c r="H59" s="106" t="n"/>
      <c r="I59" s="106" t="n"/>
      <c r="J59" s="107" t="n"/>
      <c r="K59" s="105" t="n"/>
      <c r="L59" s="106" t="n"/>
      <c r="M59" s="106" t="n"/>
      <c r="N59" s="106" t="n"/>
      <c r="O59" s="106" t="n"/>
      <c r="P59" s="105" t="n"/>
      <c r="Q59" s="107" t="n"/>
      <c r="R59" s="105" t="n"/>
      <c r="S59" s="107" t="n"/>
      <c r="T59" s="108">
        <f>IFERROR(L59+M59+N59+O59,0)</f>
        <v/>
      </c>
      <c r="U59" s="108">
        <f>IFERROR(H59+IFERROR(I59,0)+T59+IFERROR(AH59,0),0)</f>
        <v/>
      </c>
      <c r="V59" s="256" t="n"/>
      <c r="W59" s="257" t="n"/>
      <c r="X59" s="256" t="n"/>
      <c r="Y59" s="258" t="n"/>
      <c r="Z59" s="259" t="n"/>
      <c r="AA59" s="259" t="n"/>
      <c r="AB59" s="258" t="n"/>
      <c r="AC59" s="256" t="n"/>
      <c r="AD59" s="256" t="n"/>
      <c r="AE59" s="256" t="n"/>
      <c r="AF59" s="256" t="n"/>
      <c r="AG59" s="256" t="n"/>
      <c r="AH59" s="256">
        <f>IFERROR(IFERROR(V59,0)+IFERROR(AC59,0)+IFERROR(AD59,0)+IFERROR(AE59,0)+IFERROR(AF59,0)+IFERROR(AG59,0),0)</f>
        <v/>
      </c>
    </row>
    <row r="60" ht="15" customHeight="1" s="199">
      <c r="A60" s="104" t="n"/>
      <c r="B60" s="104" t="n"/>
      <c r="C60" s="104" t="n"/>
      <c r="D60" s="105" t="n"/>
      <c r="E60" s="105" t="n"/>
      <c r="F60" s="105" t="n"/>
      <c r="G60" s="106" t="n"/>
      <c r="H60" s="106" t="n"/>
      <c r="I60" s="106" t="n"/>
      <c r="J60" s="107" t="n"/>
      <c r="K60" s="105" t="n"/>
      <c r="L60" s="106" t="n"/>
      <c r="M60" s="106" t="n"/>
      <c r="N60" s="106" t="n"/>
      <c r="O60" s="106" t="n"/>
      <c r="P60" s="105" t="n"/>
      <c r="Q60" s="107" t="n"/>
      <c r="R60" s="105" t="n"/>
      <c r="S60" s="107" t="n"/>
      <c r="T60" s="108">
        <f>IFERROR(L60+M60+N60+O60,0)</f>
        <v/>
      </c>
      <c r="U60" s="108">
        <f>IFERROR(H60+IFERROR(I60,0)+T60+IFERROR(AH60,0),0)</f>
        <v/>
      </c>
      <c r="V60" s="256" t="n"/>
      <c r="W60" s="257" t="n"/>
      <c r="X60" s="256" t="n"/>
      <c r="Y60" s="258" t="n"/>
      <c r="Z60" s="259" t="n"/>
      <c r="AA60" s="259" t="n"/>
      <c r="AB60" s="258" t="n"/>
      <c r="AC60" s="256" t="n"/>
      <c r="AD60" s="256" t="n"/>
      <c r="AE60" s="256" t="n"/>
      <c r="AF60" s="256" t="n"/>
      <c r="AG60" s="256" t="n"/>
      <c r="AH60" s="256">
        <f>IFERROR(IFERROR(V60,0)+IFERROR(AC60,0)+IFERROR(AD60,0)+IFERROR(AE60,0)+IFERROR(AF60,0)+IFERROR(AG60,0),0)</f>
        <v/>
      </c>
    </row>
    <row r="61" ht="15" customHeight="1" s="199">
      <c r="A61" s="104" t="n"/>
      <c r="B61" s="104" t="n"/>
      <c r="C61" s="104" t="n"/>
      <c r="D61" s="105" t="n"/>
      <c r="E61" s="105" t="n"/>
      <c r="F61" s="105" t="n"/>
      <c r="G61" s="106" t="n"/>
      <c r="H61" s="106" t="n"/>
      <c r="I61" s="106" t="n"/>
      <c r="J61" s="107" t="n"/>
      <c r="K61" s="105" t="n"/>
      <c r="L61" s="106" t="n"/>
      <c r="M61" s="106" t="n"/>
      <c r="N61" s="106" t="n"/>
      <c r="O61" s="106" t="n"/>
      <c r="P61" s="105" t="n"/>
      <c r="Q61" s="107" t="n"/>
      <c r="R61" s="105" t="n"/>
      <c r="S61" s="107" t="n"/>
      <c r="T61" s="108">
        <f>IFERROR(L61+M61+N61+O61,0)</f>
        <v/>
      </c>
      <c r="U61" s="108">
        <f>IFERROR(H61+IFERROR(I61,0)+T61+IFERROR(AH61,0),0)</f>
        <v/>
      </c>
      <c r="V61" s="256" t="n"/>
      <c r="W61" s="257" t="n"/>
      <c r="X61" s="256" t="n"/>
      <c r="Y61" s="258" t="n"/>
      <c r="Z61" s="259" t="n"/>
      <c r="AA61" s="259" t="n"/>
      <c r="AB61" s="258" t="n"/>
      <c r="AC61" s="256" t="n"/>
      <c r="AD61" s="256" t="n"/>
      <c r="AE61" s="256" t="n"/>
      <c r="AF61" s="256" t="n"/>
      <c r="AG61" s="256" t="n"/>
      <c r="AH61" s="256">
        <f>IFERROR(IFERROR(V61,0)+IFERROR(AC61,0)+IFERROR(AD61,0)+IFERROR(AE61,0)+IFERROR(AF61,0)+IFERROR(AG61,0),0)</f>
        <v/>
      </c>
    </row>
    <row r="62" ht="15" customHeight="1" s="199">
      <c r="A62" s="104" t="n"/>
      <c r="B62" s="104" t="n"/>
      <c r="C62" s="104" t="n"/>
      <c r="D62" s="105" t="n"/>
      <c r="E62" s="105" t="n"/>
      <c r="F62" s="105" t="n"/>
      <c r="G62" s="106" t="n"/>
      <c r="H62" s="106" t="n"/>
      <c r="I62" s="106" t="n"/>
      <c r="J62" s="107" t="n"/>
      <c r="K62" s="105" t="n"/>
      <c r="L62" s="106" t="n"/>
      <c r="M62" s="106" t="n"/>
      <c r="N62" s="106" t="n"/>
      <c r="O62" s="106" t="n"/>
      <c r="P62" s="105" t="n"/>
      <c r="Q62" s="107" t="n"/>
      <c r="R62" s="105" t="n"/>
      <c r="S62" s="107" t="n"/>
      <c r="T62" s="108">
        <f>IFERROR(L62+M62+N62+O62,0)</f>
        <v/>
      </c>
      <c r="U62" s="108">
        <f>IFERROR(H62+IFERROR(I62,0)+T62+IFERROR(AH62,0),0)</f>
        <v/>
      </c>
      <c r="V62" s="256" t="n"/>
      <c r="W62" s="257" t="n"/>
      <c r="X62" s="256" t="n"/>
      <c r="Y62" s="258" t="n"/>
      <c r="Z62" s="259" t="n"/>
      <c r="AA62" s="259" t="n"/>
      <c r="AB62" s="258" t="n"/>
      <c r="AC62" s="256" t="n"/>
      <c r="AD62" s="256" t="n"/>
      <c r="AE62" s="256" t="n"/>
      <c r="AF62" s="256" t="n"/>
      <c r="AG62" s="256" t="n"/>
      <c r="AH62" s="256">
        <f>IFERROR(IFERROR(V62,0)+IFERROR(AC62,0)+IFERROR(AD62,0)+IFERROR(AE62,0)+IFERROR(AF62,0)+IFERROR(AG62,0),0)</f>
        <v/>
      </c>
    </row>
    <row r="63" ht="15" customHeight="1" s="199">
      <c r="A63" s="104" t="n"/>
      <c r="B63" s="104" t="n"/>
      <c r="C63" s="104" t="n"/>
      <c r="D63" s="105" t="n"/>
      <c r="E63" s="105" t="n"/>
      <c r="F63" s="105" t="n"/>
      <c r="G63" s="106" t="n"/>
      <c r="H63" s="106" t="n"/>
      <c r="I63" s="106" t="n"/>
      <c r="J63" s="107" t="n"/>
      <c r="K63" s="105" t="n"/>
      <c r="L63" s="106" t="n"/>
      <c r="M63" s="106" t="n"/>
      <c r="N63" s="106" t="n"/>
      <c r="O63" s="106" t="n"/>
      <c r="P63" s="105" t="n"/>
      <c r="Q63" s="107" t="n"/>
      <c r="R63" s="105" t="n"/>
      <c r="S63" s="107" t="n"/>
      <c r="T63" s="108">
        <f>IFERROR(L63+M63+N63+O63,0)</f>
        <v/>
      </c>
      <c r="U63" s="108">
        <f>IFERROR(H63+IFERROR(I63,0)+T63+IFERROR(AH63,0),0)</f>
        <v/>
      </c>
      <c r="V63" s="256" t="n"/>
      <c r="W63" s="257" t="n"/>
      <c r="X63" s="256" t="n"/>
      <c r="Y63" s="258" t="n"/>
      <c r="Z63" s="259" t="n"/>
      <c r="AA63" s="259" t="n"/>
      <c r="AB63" s="258" t="n"/>
      <c r="AC63" s="256" t="n"/>
      <c r="AD63" s="256" t="n"/>
      <c r="AE63" s="256" t="n"/>
      <c r="AF63" s="256" t="n"/>
      <c r="AG63" s="256" t="n"/>
      <c r="AH63" s="256">
        <f>IFERROR(IFERROR(V63,0)+IFERROR(AC63,0)+IFERROR(AD63,0)+IFERROR(AE63,0)+IFERROR(AF63,0)+IFERROR(AG63,0),0)</f>
        <v/>
      </c>
    </row>
    <row r="64" ht="15" customHeight="1" s="199">
      <c r="A64" s="104" t="n"/>
      <c r="B64" s="104" t="n"/>
      <c r="C64" s="104" t="n"/>
      <c r="D64" s="105" t="n"/>
      <c r="E64" s="105" t="n"/>
      <c r="F64" s="105" t="n"/>
      <c r="G64" s="106" t="n"/>
      <c r="H64" s="106" t="n"/>
      <c r="I64" s="106" t="n"/>
      <c r="J64" s="107" t="n"/>
      <c r="K64" s="105" t="n"/>
      <c r="L64" s="106" t="n"/>
      <c r="M64" s="106" t="n"/>
      <c r="N64" s="106" t="n"/>
      <c r="O64" s="106" t="n"/>
      <c r="P64" s="105" t="n"/>
      <c r="Q64" s="107" t="n"/>
      <c r="R64" s="105" t="n"/>
      <c r="S64" s="107" t="n"/>
      <c r="T64" s="108">
        <f>IFERROR(L64+M64+N64+O64,0)</f>
        <v/>
      </c>
      <c r="U64" s="108">
        <f>IFERROR(H64+IFERROR(I64,0)+T64+IFERROR(AH64,0),0)</f>
        <v/>
      </c>
      <c r="V64" s="256" t="n"/>
      <c r="W64" s="257" t="n"/>
      <c r="X64" s="256" t="n"/>
      <c r="Y64" s="258" t="n"/>
      <c r="Z64" s="259" t="n"/>
      <c r="AA64" s="259" t="n"/>
      <c r="AB64" s="258" t="n"/>
      <c r="AC64" s="256" t="n"/>
      <c r="AD64" s="256" t="n"/>
      <c r="AE64" s="256" t="n"/>
      <c r="AF64" s="256" t="n"/>
      <c r="AG64" s="256" t="n"/>
      <c r="AH64" s="256">
        <f>IFERROR(IFERROR(V64,0)+IFERROR(AC64,0)+IFERROR(AD64,0)+IFERROR(AE64,0)+IFERROR(AF64,0)+IFERROR(AG64,0),0)</f>
        <v/>
      </c>
    </row>
    <row r="65" ht="15" customHeight="1" s="199">
      <c r="A65" s="104" t="n"/>
      <c r="B65" s="104" t="n"/>
      <c r="C65" s="104" t="n"/>
      <c r="D65" s="105" t="n"/>
      <c r="E65" s="105" t="n"/>
      <c r="F65" s="105" t="n"/>
      <c r="G65" s="106" t="n"/>
      <c r="H65" s="106" t="n"/>
      <c r="I65" s="106" t="n"/>
      <c r="J65" s="107" t="n"/>
      <c r="K65" s="105" t="n"/>
      <c r="L65" s="106" t="n"/>
      <c r="M65" s="106" t="n"/>
      <c r="N65" s="106" t="n"/>
      <c r="O65" s="106" t="n"/>
      <c r="P65" s="105" t="n"/>
      <c r="Q65" s="107" t="n"/>
      <c r="R65" s="105" t="n"/>
      <c r="S65" s="107" t="n"/>
      <c r="T65" s="108">
        <f>IFERROR(L65+M65+N65+O65,0)</f>
        <v/>
      </c>
      <c r="U65" s="108">
        <f>IFERROR(H65+IFERROR(I65,0)+T65+IFERROR(AH65,0),0)</f>
        <v/>
      </c>
      <c r="V65" s="256" t="n"/>
      <c r="W65" s="257" t="n"/>
      <c r="X65" s="256" t="n"/>
      <c r="Y65" s="258" t="n"/>
      <c r="Z65" s="259" t="n"/>
      <c r="AA65" s="259" t="n"/>
      <c r="AB65" s="258" t="n"/>
      <c r="AC65" s="256" t="n"/>
      <c r="AD65" s="256" t="n"/>
      <c r="AE65" s="256" t="n"/>
      <c r="AF65" s="256" t="n"/>
      <c r="AG65" s="256" t="n"/>
      <c r="AH65" s="256">
        <f>IFERROR(IFERROR(V65,0)+IFERROR(AC65,0)+IFERROR(AD65,0)+IFERROR(AE65,0)+IFERROR(AF65,0)+IFERROR(AG65,0),0)</f>
        <v/>
      </c>
    </row>
    <row r="66" ht="15" customHeight="1" s="199">
      <c r="A66" s="104" t="n"/>
      <c r="B66" s="104" t="n"/>
      <c r="C66" s="104" t="n"/>
      <c r="D66" s="105" t="n"/>
      <c r="E66" s="105" t="n"/>
      <c r="F66" s="105" t="n"/>
      <c r="G66" s="106" t="n"/>
      <c r="H66" s="106" t="n"/>
      <c r="I66" s="106" t="n"/>
      <c r="J66" s="107" t="n"/>
      <c r="K66" s="105" t="n"/>
      <c r="L66" s="106" t="n"/>
      <c r="M66" s="106" t="n"/>
      <c r="N66" s="106" t="n"/>
      <c r="O66" s="106" t="n"/>
      <c r="P66" s="105" t="n"/>
      <c r="Q66" s="107" t="n"/>
      <c r="R66" s="105" t="n"/>
      <c r="S66" s="107" t="n"/>
      <c r="T66" s="108">
        <f>IFERROR(L66+M66+N66+O66,0)</f>
        <v/>
      </c>
      <c r="U66" s="108">
        <f>IFERROR(H66+IFERROR(I66,0)+T66+IFERROR(AH66,0),0)</f>
        <v/>
      </c>
      <c r="V66" s="256" t="n"/>
      <c r="W66" s="257" t="n"/>
      <c r="X66" s="256" t="n"/>
      <c r="Y66" s="258" t="n"/>
      <c r="Z66" s="259" t="n"/>
      <c r="AA66" s="259" t="n"/>
      <c r="AB66" s="258" t="n"/>
      <c r="AC66" s="256" t="n"/>
      <c r="AD66" s="256" t="n"/>
      <c r="AE66" s="256" t="n"/>
      <c r="AF66" s="256" t="n"/>
      <c r="AG66" s="256" t="n"/>
      <c r="AH66" s="256">
        <f>IFERROR(IFERROR(V66,0)+IFERROR(AC66,0)+IFERROR(AD66,0)+IFERROR(AE66,0)+IFERROR(AF66,0)+IFERROR(AG66,0),0)</f>
        <v/>
      </c>
    </row>
    <row r="67" ht="15" customHeight="1" s="199">
      <c r="A67" s="104" t="n"/>
      <c r="B67" s="104" t="n"/>
      <c r="C67" s="104" t="n"/>
      <c r="D67" s="105" t="n"/>
      <c r="E67" s="105" t="n"/>
      <c r="F67" s="105" t="n"/>
      <c r="G67" s="106" t="n"/>
      <c r="H67" s="106" t="n"/>
      <c r="I67" s="106" t="n"/>
      <c r="J67" s="107" t="n"/>
      <c r="K67" s="105" t="n"/>
      <c r="L67" s="106" t="n"/>
      <c r="M67" s="106" t="n"/>
      <c r="N67" s="106" t="n"/>
      <c r="O67" s="106" t="n"/>
      <c r="P67" s="105" t="n"/>
      <c r="Q67" s="107" t="n"/>
      <c r="R67" s="105" t="n"/>
      <c r="S67" s="107" t="n"/>
      <c r="T67" s="108">
        <f>IFERROR(L67+M67+N67+O67,0)</f>
        <v/>
      </c>
      <c r="U67" s="108">
        <f>IFERROR(H67+IFERROR(I67,0)+T67+IFERROR(AH67,0),0)</f>
        <v/>
      </c>
      <c r="V67" s="256" t="n"/>
      <c r="W67" s="257" t="n"/>
      <c r="X67" s="256" t="n"/>
      <c r="Y67" s="258" t="n"/>
      <c r="Z67" s="259" t="n"/>
      <c r="AA67" s="259" t="n"/>
      <c r="AB67" s="258" t="n"/>
      <c r="AC67" s="256" t="n"/>
      <c r="AD67" s="256" t="n"/>
      <c r="AE67" s="256" t="n"/>
      <c r="AF67" s="256" t="n"/>
      <c r="AG67" s="256" t="n"/>
      <c r="AH67" s="256">
        <f>IFERROR(IFERROR(V67,0)+IFERROR(AC67,0)+IFERROR(AD67,0)+IFERROR(AE67,0)+IFERROR(AF67,0)+IFERROR(AG67,0),0)</f>
        <v/>
      </c>
    </row>
    <row r="68" ht="15" customHeight="1" s="199">
      <c r="A68" s="104" t="n"/>
      <c r="B68" s="104" t="n"/>
      <c r="C68" s="104" t="n"/>
      <c r="D68" s="105" t="n"/>
      <c r="E68" s="105" t="n"/>
      <c r="F68" s="105" t="n"/>
      <c r="G68" s="106" t="n"/>
      <c r="H68" s="106" t="n"/>
      <c r="I68" s="106" t="n"/>
      <c r="J68" s="107" t="n"/>
      <c r="K68" s="105" t="n"/>
      <c r="L68" s="106" t="n"/>
      <c r="M68" s="106" t="n"/>
      <c r="N68" s="106" t="n"/>
      <c r="O68" s="106" t="n"/>
      <c r="P68" s="105" t="n"/>
      <c r="Q68" s="107" t="n"/>
      <c r="R68" s="105" t="n"/>
      <c r="S68" s="107" t="n"/>
      <c r="T68" s="108">
        <f>IFERROR(L68+M68+N68+O68,0)</f>
        <v/>
      </c>
      <c r="U68" s="108">
        <f>IFERROR(H68+IFERROR(I68,0)+T68+IFERROR(AH68,0),0)</f>
        <v/>
      </c>
      <c r="V68" s="256" t="n"/>
      <c r="W68" s="257" t="n"/>
      <c r="X68" s="256" t="n"/>
      <c r="Y68" s="258" t="n"/>
      <c r="Z68" s="259" t="n"/>
      <c r="AA68" s="259" t="n"/>
      <c r="AB68" s="258" t="n"/>
      <c r="AC68" s="256" t="n"/>
      <c r="AD68" s="256" t="n"/>
      <c r="AE68" s="256" t="n"/>
      <c r="AF68" s="256" t="n"/>
      <c r="AG68" s="256" t="n"/>
      <c r="AH68" s="256">
        <f>IFERROR(IFERROR(V68,0)+IFERROR(AC68,0)+IFERROR(AD68,0)+IFERROR(AE68,0)+IFERROR(AF68,0)+IFERROR(AG68,0),0)</f>
        <v/>
      </c>
    </row>
    <row r="69" ht="15" customHeight="1" s="199">
      <c r="A69" s="104" t="n"/>
      <c r="B69" s="104" t="n"/>
      <c r="C69" s="104" t="n"/>
      <c r="D69" s="105" t="n"/>
      <c r="E69" s="105" t="n"/>
      <c r="F69" s="105" t="n"/>
      <c r="G69" s="106" t="n"/>
      <c r="H69" s="106" t="n"/>
      <c r="I69" s="106" t="n"/>
      <c r="J69" s="107" t="n"/>
      <c r="K69" s="105" t="n"/>
      <c r="L69" s="106" t="n"/>
      <c r="M69" s="106" t="n"/>
      <c r="N69" s="106" t="n"/>
      <c r="O69" s="106" t="n"/>
      <c r="P69" s="105" t="n"/>
      <c r="Q69" s="107" t="n"/>
      <c r="R69" s="105" t="n"/>
      <c r="S69" s="107" t="n"/>
      <c r="T69" s="108">
        <f>IFERROR(L69+M69+N69+O69,0)</f>
        <v/>
      </c>
      <c r="U69" s="108">
        <f>IFERROR(H69+IFERROR(I69,0)+T69+IFERROR(AH69,0),0)</f>
        <v/>
      </c>
      <c r="V69" s="256" t="n"/>
      <c r="W69" s="257" t="n"/>
      <c r="X69" s="256" t="n"/>
      <c r="Y69" s="258" t="n"/>
      <c r="Z69" s="259" t="n"/>
      <c r="AA69" s="259" t="n"/>
      <c r="AB69" s="258" t="n"/>
      <c r="AC69" s="256" t="n"/>
      <c r="AD69" s="256" t="n"/>
      <c r="AE69" s="256" t="n"/>
      <c r="AF69" s="256" t="n"/>
      <c r="AG69" s="256" t="n"/>
      <c r="AH69" s="256">
        <f>IFERROR(IFERROR(V69,0)+IFERROR(AC69,0)+IFERROR(AD69,0)+IFERROR(AE69,0)+IFERROR(AF69,0)+IFERROR(AG69,0),0)</f>
        <v/>
      </c>
    </row>
    <row r="70" ht="15" customHeight="1" s="199">
      <c r="A70" s="104" t="n"/>
      <c r="B70" s="104" t="n"/>
      <c r="C70" s="104" t="n"/>
      <c r="D70" s="105" t="n"/>
      <c r="E70" s="105" t="n"/>
      <c r="F70" s="105" t="n"/>
      <c r="G70" s="106" t="n"/>
      <c r="H70" s="106" t="n"/>
      <c r="I70" s="106" t="n"/>
      <c r="J70" s="107" t="n"/>
      <c r="K70" s="105" t="n"/>
      <c r="L70" s="106" t="n"/>
      <c r="M70" s="106" t="n"/>
      <c r="N70" s="106" t="n"/>
      <c r="O70" s="106" t="n"/>
      <c r="P70" s="105" t="n"/>
      <c r="Q70" s="107" t="n"/>
      <c r="R70" s="105" t="n"/>
      <c r="S70" s="107" t="n"/>
      <c r="T70" s="108">
        <f>IFERROR(L70+M70+N70+O70,0)</f>
        <v/>
      </c>
      <c r="U70" s="108">
        <f>IFERROR(H70+IFERROR(I70,0)+T70+IFERROR(AH70,0),0)</f>
        <v/>
      </c>
      <c r="V70" s="256" t="n"/>
      <c r="W70" s="257" t="n"/>
      <c r="X70" s="256" t="n"/>
      <c r="Y70" s="258" t="n"/>
      <c r="Z70" s="259" t="n"/>
      <c r="AA70" s="259" t="n"/>
      <c r="AB70" s="258" t="n"/>
      <c r="AC70" s="256" t="n"/>
      <c r="AD70" s="256" t="n"/>
      <c r="AE70" s="256" t="n"/>
      <c r="AF70" s="256" t="n"/>
      <c r="AG70" s="256" t="n"/>
      <c r="AH70" s="256">
        <f>IFERROR(IFERROR(V70,0)+IFERROR(AC70,0)+IFERROR(AD70,0)+IFERROR(AE70,0)+IFERROR(AF70,0)+IFERROR(AG70,0),0)</f>
        <v/>
      </c>
    </row>
    <row r="71" ht="15" customHeight="1" s="199">
      <c r="A71" s="104" t="n"/>
      <c r="B71" s="104" t="n"/>
      <c r="C71" s="104" t="n"/>
      <c r="D71" s="105" t="n"/>
      <c r="E71" s="105" t="n"/>
      <c r="F71" s="105" t="n"/>
      <c r="G71" s="106" t="n"/>
      <c r="H71" s="106" t="n"/>
      <c r="I71" s="106" t="n"/>
      <c r="J71" s="107" t="n"/>
      <c r="K71" s="105" t="n"/>
      <c r="L71" s="106" t="n"/>
      <c r="M71" s="106" t="n"/>
      <c r="N71" s="106" t="n"/>
      <c r="O71" s="106" t="n"/>
      <c r="P71" s="105" t="n"/>
      <c r="Q71" s="107" t="n"/>
      <c r="R71" s="105" t="n"/>
      <c r="S71" s="107" t="n"/>
      <c r="T71" s="108">
        <f>IFERROR(L71+M71+N71+O71,0)</f>
        <v/>
      </c>
      <c r="U71" s="108">
        <f>IFERROR(H71+IFERROR(I71,0)+T71+IFERROR(AH71,0),0)</f>
        <v/>
      </c>
      <c r="V71" s="256" t="n"/>
      <c r="W71" s="257" t="n"/>
      <c r="X71" s="256" t="n"/>
      <c r="Y71" s="258" t="n"/>
      <c r="Z71" s="259" t="n"/>
      <c r="AA71" s="259" t="n"/>
      <c r="AB71" s="258" t="n"/>
      <c r="AC71" s="256" t="n"/>
      <c r="AD71" s="256" t="n"/>
      <c r="AE71" s="256" t="n"/>
      <c r="AF71" s="256" t="n"/>
      <c r="AG71" s="256" t="n"/>
      <c r="AH71" s="256">
        <f>IFERROR(IFERROR(V71,0)+IFERROR(AC71,0)+IFERROR(AD71,0)+IFERROR(AE71,0)+IFERROR(AF71,0)+IFERROR(AG71,0),0)</f>
        <v/>
      </c>
    </row>
    <row r="72" ht="15" customHeight="1" s="199">
      <c r="A72" s="104" t="n"/>
      <c r="B72" s="104" t="n"/>
      <c r="C72" s="104" t="n"/>
      <c r="D72" s="105" t="n"/>
      <c r="E72" s="105" t="n"/>
      <c r="F72" s="105" t="n"/>
      <c r="G72" s="106" t="n"/>
      <c r="H72" s="106" t="n"/>
      <c r="I72" s="106" t="n"/>
      <c r="J72" s="107" t="n"/>
      <c r="K72" s="105" t="n"/>
      <c r="L72" s="106" t="n"/>
      <c r="M72" s="106" t="n"/>
      <c r="N72" s="106" t="n"/>
      <c r="O72" s="106" t="n"/>
      <c r="P72" s="105" t="n"/>
      <c r="Q72" s="107" t="n"/>
      <c r="R72" s="105" t="n"/>
      <c r="S72" s="107" t="n"/>
      <c r="T72" s="108">
        <f>IFERROR(L72+M72+N72+O72,0)</f>
        <v/>
      </c>
      <c r="U72" s="108">
        <f>IFERROR(H72+IFERROR(I72,0)+T72+IFERROR(AH72,0),0)</f>
        <v/>
      </c>
      <c r="V72" s="256" t="n"/>
      <c r="W72" s="257" t="n"/>
      <c r="X72" s="256" t="n"/>
      <c r="Y72" s="258" t="n"/>
      <c r="Z72" s="259" t="n"/>
      <c r="AA72" s="259" t="n"/>
      <c r="AB72" s="258" t="n"/>
      <c r="AC72" s="256" t="n"/>
      <c r="AD72" s="256" t="n"/>
      <c r="AE72" s="256" t="n"/>
      <c r="AF72" s="256" t="n"/>
      <c r="AG72" s="256" t="n"/>
      <c r="AH72" s="256">
        <f>IFERROR(IFERROR(V72,0)+IFERROR(AC72,0)+IFERROR(AD72,0)+IFERROR(AE72,0)+IFERROR(AF72,0)+IFERROR(AG72,0),0)</f>
        <v/>
      </c>
    </row>
    <row r="73" ht="15" customHeight="1" s="199">
      <c r="A73" s="104" t="n"/>
      <c r="B73" s="104" t="n"/>
      <c r="C73" s="104" t="n"/>
      <c r="D73" s="105" t="n"/>
      <c r="E73" s="105" t="n"/>
      <c r="F73" s="105" t="n"/>
      <c r="G73" s="106" t="n"/>
      <c r="H73" s="106" t="n"/>
      <c r="I73" s="106" t="n"/>
      <c r="J73" s="107" t="n"/>
      <c r="K73" s="105" t="n"/>
      <c r="L73" s="106" t="n"/>
      <c r="M73" s="106" t="n"/>
      <c r="N73" s="106" t="n"/>
      <c r="O73" s="106" t="n"/>
      <c r="P73" s="105" t="n"/>
      <c r="Q73" s="107" t="n"/>
      <c r="R73" s="105" t="n"/>
      <c r="S73" s="107" t="n"/>
      <c r="T73" s="108">
        <f>IFERROR(L73+M73+N73+O73,0)</f>
        <v/>
      </c>
      <c r="U73" s="108">
        <f>IFERROR(H73+IFERROR(I73,0)+T73+IFERROR(AH73,0),0)</f>
        <v/>
      </c>
      <c r="V73" s="256" t="n"/>
      <c r="W73" s="257" t="n"/>
      <c r="X73" s="256" t="n"/>
      <c r="Y73" s="258" t="n"/>
      <c r="Z73" s="259" t="n"/>
      <c r="AA73" s="259" t="n"/>
      <c r="AB73" s="258" t="n"/>
      <c r="AC73" s="256" t="n"/>
      <c r="AD73" s="256" t="n"/>
      <c r="AE73" s="256" t="n"/>
      <c r="AF73" s="256" t="n"/>
      <c r="AG73" s="256" t="n"/>
      <c r="AH73" s="256">
        <f>IFERROR(IFERROR(V73,0)+IFERROR(AC73,0)+IFERROR(AD73,0)+IFERROR(AE73,0)+IFERROR(AF73,0)+IFERROR(AG73,0),0)</f>
        <v/>
      </c>
    </row>
    <row r="74" ht="15" customHeight="1" s="199">
      <c r="A74" s="104" t="n"/>
      <c r="B74" s="104" t="n"/>
      <c r="C74" s="104" t="n"/>
      <c r="D74" s="105" t="n"/>
      <c r="E74" s="105" t="n"/>
      <c r="F74" s="105" t="n"/>
      <c r="G74" s="106" t="n"/>
      <c r="H74" s="106" t="n"/>
      <c r="I74" s="106" t="n"/>
      <c r="J74" s="107" t="n"/>
      <c r="K74" s="105" t="n"/>
      <c r="L74" s="106" t="n"/>
      <c r="M74" s="106" t="n"/>
      <c r="N74" s="106" t="n"/>
      <c r="O74" s="106" t="n"/>
      <c r="P74" s="105" t="n"/>
      <c r="Q74" s="107" t="n"/>
      <c r="R74" s="105" t="n"/>
      <c r="S74" s="107" t="n"/>
      <c r="T74" s="108">
        <f>IFERROR(L74+M74+N74+O74,0)</f>
        <v/>
      </c>
      <c r="U74" s="108">
        <f>IFERROR(H74+IFERROR(I74,0)+T74+IFERROR(AH74,0),0)</f>
        <v/>
      </c>
      <c r="V74" s="256" t="n"/>
      <c r="W74" s="257" t="n"/>
      <c r="X74" s="256" t="n"/>
      <c r="Y74" s="258" t="n"/>
      <c r="Z74" s="259" t="n"/>
      <c r="AA74" s="259" t="n"/>
      <c r="AB74" s="258" t="n"/>
      <c r="AC74" s="256" t="n"/>
      <c r="AD74" s="256" t="n"/>
      <c r="AE74" s="256" t="n"/>
      <c r="AF74" s="256" t="n"/>
      <c r="AG74" s="256" t="n"/>
      <c r="AH74" s="256">
        <f>IFERROR(IFERROR(V74,0)+IFERROR(AC74,0)+IFERROR(AD74,0)+IFERROR(AE74,0)+IFERROR(AF74,0)+IFERROR(AG74,0),0)</f>
        <v/>
      </c>
    </row>
    <row r="75" ht="15" customHeight="1" s="199">
      <c r="A75" s="104" t="n"/>
      <c r="B75" s="104" t="n"/>
      <c r="C75" s="104" t="n"/>
      <c r="D75" s="105" t="n"/>
      <c r="E75" s="105" t="n"/>
      <c r="F75" s="105" t="n"/>
      <c r="G75" s="106" t="n"/>
      <c r="H75" s="106" t="n"/>
      <c r="I75" s="106" t="n"/>
      <c r="J75" s="107" t="n"/>
      <c r="K75" s="105" t="n"/>
      <c r="L75" s="106" t="n"/>
      <c r="M75" s="106" t="n"/>
      <c r="N75" s="106" t="n"/>
      <c r="O75" s="106" t="n"/>
      <c r="P75" s="105" t="n"/>
      <c r="Q75" s="107" t="n"/>
      <c r="R75" s="105" t="n"/>
      <c r="S75" s="107" t="n"/>
      <c r="T75" s="108">
        <f>IFERROR(L75+M75+N75+O75,0)</f>
        <v/>
      </c>
      <c r="U75" s="108">
        <f>IFERROR(H75+IFERROR(I75,0)+T75+IFERROR(AH75,0),0)</f>
        <v/>
      </c>
      <c r="V75" s="256" t="n"/>
      <c r="W75" s="257" t="n"/>
      <c r="X75" s="256" t="n"/>
      <c r="Y75" s="258" t="n"/>
      <c r="Z75" s="259" t="n"/>
      <c r="AA75" s="259" t="n"/>
      <c r="AB75" s="258" t="n"/>
      <c r="AC75" s="256" t="n"/>
      <c r="AD75" s="256" t="n"/>
      <c r="AE75" s="256" t="n"/>
      <c r="AF75" s="256" t="n"/>
      <c r="AG75" s="256" t="n"/>
      <c r="AH75" s="256">
        <f>IFERROR(IFERROR(V75,0)+IFERROR(AC75,0)+IFERROR(AD75,0)+IFERROR(AE75,0)+IFERROR(AF75,0)+IFERROR(AG75,0),0)</f>
        <v/>
      </c>
    </row>
    <row r="76" ht="15" customHeight="1" s="199">
      <c r="A76" s="104" t="n"/>
      <c r="B76" s="104" t="n"/>
      <c r="C76" s="104" t="n"/>
      <c r="D76" s="105" t="n"/>
      <c r="E76" s="105" t="n"/>
      <c r="F76" s="105" t="n"/>
      <c r="G76" s="106" t="n"/>
      <c r="H76" s="106" t="n"/>
      <c r="I76" s="106" t="n"/>
      <c r="J76" s="107" t="n"/>
      <c r="K76" s="105" t="n"/>
      <c r="L76" s="106" t="n"/>
      <c r="M76" s="106" t="n"/>
      <c r="N76" s="106" t="n"/>
      <c r="O76" s="106" t="n"/>
      <c r="P76" s="105" t="n"/>
      <c r="Q76" s="107" t="n"/>
      <c r="R76" s="105" t="n"/>
      <c r="S76" s="107" t="n"/>
      <c r="T76" s="108">
        <f>IFERROR(L76+M76+N76+O76,0)</f>
        <v/>
      </c>
      <c r="U76" s="108">
        <f>IFERROR(H76+IFERROR(I76,0)+T76+IFERROR(AH76,0),0)</f>
        <v/>
      </c>
      <c r="V76" s="256" t="n"/>
      <c r="W76" s="257" t="n"/>
      <c r="X76" s="256" t="n"/>
      <c r="Y76" s="258" t="n"/>
      <c r="Z76" s="259" t="n"/>
      <c r="AA76" s="259" t="n"/>
      <c r="AB76" s="258" t="n"/>
      <c r="AC76" s="256" t="n"/>
      <c r="AD76" s="256" t="n"/>
      <c r="AE76" s="256" t="n"/>
      <c r="AF76" s="256" t="n"/>
      <c r="AG76" s="256" t="n"/>
      <c r="AH76" s="256">
        <f>IFERROR(IFERROR(V76,0)+IFERROR(AC76,0)+IFERROR(AD76,0)+IFERROR(AE76,0)+IFERROR(AF76,0)+IFERROR(AG76,0),0)</f>
        <v/>
      </c>
    </row>
    <row r="77" ht="15" customHeight="1" s="199">
      <c r="A77" s="104" t="n"/>
      <c r="B77" s="104" t="n"/>
      <c r="C77" s="104" t="n"/>
      <c r="D77" s="105" t="n"/>
      <c r="E77" s="105" t="n"/>
      <c r="F77" s="105" t="n"/>
      <c r="G77" s="106" t="n"/>
      <c r="H77" s="106" t="n"/>
      <c r="I77" s="106" t="n"/>
      <c r="J77" s="107" t="n"/>
      <c r="K77" s="105" t="n"/>
      <c r="L77" s="106" t="n"/>
      <c r="M77" s="106" t="n"/>
      <c r="N77" s="106" t="n"/>
      <c r="O77" s="106" t="n"/>
      <c r="P77" s="105" t="n"/>
      <c r="Q77" s="107" t="n"/>
      <c r="R77" s="105" t="n"/>
      <c r="S77" s="107" t="n"/>
      <c r="T77" s="108">
        <f>IFERROR(L77+M77+N77+O77,0)</f>
        <v/>
      </c>
      <c r="U77" s="108">
        <f>IFERROR(H77+IFERROR(I77,0)+T77+IFERROR(AH77,0),0)</f>
        <v/>
      </c>
      <c r="V77" s="256" t="n"/>
      <c r="W77" s="257" t="n"/>
      <c r="X77" s="256" t="n"/>
      <c r="Y77" s="258" t="n"/>
      <c r="Z77" s="259" t="n"/>
      <c r="AA77" s="259" t="n"/>
      <c r="AB77" s="258" t="n"/>
      <c r="AC77" s="256" t="n"/>
      <c r="AD77" s="256" t="n"/>
      <c r="AE77" s="256" t="n"/>
      <c r="AF77" s="256" t="n"/>
      <c r="AG77" s="256" t="n"/>
      <c r="AH77" s="256">
        <f>IFERROR(IFERROR(V77,0)+IFERROR(AC77,0)+IFERROR(AD77,0)+IFERROR(AE77,0)+IFERROR(AF77,0)+IFERROR(AG77,0),0)</f>
        <v/>
      </c>
    </row>
    <row r="78" ht="15" customHeight="1" s="199">
      <c r="A78" s="104" t="n"/>
      <c r="B78" s="104" t="n"/>
      <c r="C78" s="104" t="n"/>
      <c r="D78" s="105" t="n"/>
      <c r="E78" s="105" t="n"/>
      <c r="F78" s="105" t="n"/>
      <c r="G78" s="106" t="n"/>
      <c r="H78" s="106" t="n"/>
      <c r="I78" s="106" t="n"/>
      <c r="J78" s="107" t="n"/>
      <c r="K78" s="105" t="n"/>
      <c r="L78" s="106" t="n"/>
      <c r="M78" s="106" t="n"/>
      <c r="N78" s="106" t="n"/>
      <c r="O78" s="106" t="n"/>
      <c r="P78" s="105" t="n"/>
      <c r="Q78" s="107" t="n"/>
      <c r="R78" s="105" t="n"/>
      <c r="S78" s="107" t="n"/>
      <c r="T78" s="108">
        <f>IFERROR(L78+M78+N78+O78,0)</f>
        <v/>
      </c>
      <c r="U78" s="108">
        <f>IFERROR(H78+IFERROR(I78,0)+T78+IFERROR(AH78,0),0)</f>
        <v/>
      </c>
      <c r="V78" s="256" t="n"/>
      <c r="W78" s="257" t="n"/>
      <c r="X78" s="256" t="n"/>
      <c r="Y78" s="258" t="n"/>
      <c r="Z78" s="259" t="n"/>
      <c r="AA78" s="259" t="n"/>
      <c r="AB78" s="258" t="n"/>
      <c r="AC78" s="256" t="n"/>
      <c r="AD78" s="256" t="n"/>
      <c r="AE78" s="256" t="n"/>
      <c r="AF78" s="256" t="n"/>
      <c r="AG78" s="256" t="n"/>
      <c r="AH78" s="256">
        <f>IFERROR(IFERROR(V78,0)+IFERROR(AC78,0)+IFERROR(AD78,0)+IFERROR(AE78,0)+IFERROR(AF78,0)+IFERROR(AG78,0),0)</f>
        <v/>
      </c>
    </row>
    <row r="79" ht="15" customHeight="1" s="199">
      <c r="A79" s="104" t="n"/>
      <c r="B79" s="104" t="n"/>
      <c r="C79" s="104" t="n"/>
      <c r="D79" s="105" t="n"/>
      <c r="E79" s="105" t="n"/>
      <c r="F79" s="105" t="n"/>
      <c r="G79" s="106" t="n"/>
      <c r="H79" s="106" t="n"/>
      <c r="I79" s="106" t="n"/>
      <c r="J79" s="107" t="n"/>
      <c r="K79" s="105" t="n"/>
      <c r="L79" s="106" t="n"/>
      <c r="M79" s="106" t="n"/>
      <c r="N79" s="106" t="n"/>
      <c r="O79" s="106" t="n"/>
      <c r="P79" s="105" t="n"/>
      <c r="Q79" s="107" t="n"/>
      <c r="R79" s="105" t="n"/>
      <c r="S79" s="107" t="n"/>
      <c r="T79" s="108">
        <f>IFERROR(L79+M79+N79+O79,0)</f>
        <v/>
      </c>
      <c r="U79" s="108">
        <f>IFERROR(H79+IFERROR(I79,0)+T79+IFERROR(AH79,0),0)</f>
        <v/>
      </c>
      <c r="V79" s="256" t="n"/>
      <c r="W79" s="257" t="n"/>
      <c r="X79" s="256" t="n"/>
      <c r="Y79" s="258" t="n"/>
      <c r="Z79" s="259" t="n"/>
      <c r="AA79" s="259" t="n"/>
      <c r="AB79" s="258" t="n"/>
      <c r="AC79" s="256" t="n"/>
      <c r="AD79" s="256" t="n"/>
      <c r="AE79" s="256" t="n"/>
      <c r="AF79" s="256" t="n"/>
      <c r="AG79" s="256" t="n"/>
      <c r="AH79" s="256">
        <f>IFERROR(IFERROR(V79,0)+IFERROR(AC79,0)+IFERROR(AD79,0)+IFERROR(AE79,0)+IFERROR(AF79,0)+IFERROR(AG79,0),0)</f>
        <v/>
      </c>
    </row>
    <row r="80" ht="15" customHeight="1" s="199">
      <c r="A80" s="104" t="n"/>
      <c r="B80" s="104" t="n"/>
      <c r="C80" s="104" t="n"/>
      <c r="D80" s="105" t="n"/>
      <c r="E80" s="105" t="n"/>
      <c r="F80" s="105" t="n"/>
      <c r="G80" s="106" t="n"/>
      <c r="H80" s="106" t="n"/>
      <c r="I80" s="106" t="n"/>
      <c r="J80" s="107" t="n"/>
      <c r="K80" s="105" t="n"/>
      <c r="L80" s="106" t="n"/>
      <c r="M80" s="106" t="n"/>
      <c r="N80" s="106" t="n"/>
      <c r="O80" s="106" t="n"/>
      <c r="P80" s="105" t="n"/>
      <c r="Q80" s="107" t="n"/>
      <c r="R80" s="105" t="n"/>
      <c r="S80" s="107" t="n"/>
      <c r="T80" s="108">
        <f>IFERROR(L80+M80+N80+O80,0)</f>
        <v/>
      </c>
      <c r="U80" s="108">
        <f>IFERROR(H80+IFERROR(I80,0)+T80+IFERROR(AH80,0),0)</f>
        <v/>
      </c>
      <c r="V80" s="256" t="n"/>
      <c r="W80" s="257" t="n"/>
      <c r="X80" s="256" t="n"/>
      <c r="Y80" s="258" t="n"/>
      <c r="Z80" s="259" t="n"/>
      <c r="AA80" s="259" t="n"/>
      <c r="AB80" s="258" t="n"/>
      <c r="AC80" s="256" t="n"/>
      <c r="AD80" s="256" t="n"/>
      <c r="AE80" s="256" t="n"/>
      <c r="AF80" s="256" t="n"/>
      <c r="AG80" s="256" t="n"/>
      <c r="AH80" s="256">
        <f>IFERROR(IFERROR(V80,0)+IFERROR(AC80,0)+IFERROR(AD80,0)+IFERROR(AE80,0)+IFERROR(AF80,0)+IFERROR(AG80,0),0)</f>
        <v/>
      </c>
    </row>
    <row r="81" ht="15" customHeight="1" s="199">
      <c r="A81" s="104" t="n"/>
      <c r="B81" s="104" t="n"/>
      <c r="C81" s="104" t="n"/>
      <c r="D81" s="105" t="n"/>
      <c r="E81" s="105" t="n"/>
      <c r="F81" s="105" t="n"/>
      <c r="G81" s="106" t="n"/>
      <c r="H81" s="106" t="n"/>
      <c r="I81" s="106" t="n"/>
      <c r="J81" s="107" t="n"/>
      <c r="K81" s="105" t="n"/>
      <c r="L81" s="106" t="n"/>
      <c r="M81" s="106" t="n"/>
      <c r="N81" s="106" t="n"/>
      <c r="O81" s="106" t="n"/>
      <c r="P81" s="105" t="n"/>
      <c r="Q81" s="107" t="n"/>
      <c r="R81" s="105" t="n"/>
      <c r="S81" s="107" t="n"/>
      <c r="T81" s="108">
        <f>IFERROR(L81+M81+N81+O81,0)</f>
        <v/>
      </c>
      <c r="U81" s="108">
        <f>IFERROR(H81+IFERROR(I81,0)+T81+IFERROR(AH81,0),0)</f>
        <v/>
      </c>
      <c r="V81" s="256" t="n"/>
      <c r="W81" s="257" t="n"/>
      <c r="X81" s="256" t="n"/>
      <c r="Y81" s="258" t="n"/>
      <c r="Z81" s="259" t="n"/>
      <c r="AA81" s="259" t="n"/>
      <c r="AB81" s="258" t="n"/>
      <c r="AC81" s="256" t="n"/>
      <c r="AD81" s="256" t="n"/>
      <c r="AE81" s="256" t="n"/>
      <c r="AF81" s="256" t="n"/>
      <c r="AG81" s="256" t="n"/>
      <c r="AH81" s="256">
        <f>IFERROR(IFERROR(V81,0)+IFERROR(AC81,0)+IFERROR(AD81,0)+IFERROR(AE81,0)+IFERROR(AF81,0)+IFERROR(AG81,0),0)</f>
        <v/>
      </c>
    </row>
    <row r="82" ht="15" customHeight="1" s="199">
      <c r="A82" s="104" t="n"/>
      <c r="B82" s="104" t="n"/>
      <c r="C82" s="104" t="n"/>
      <c r="D82" s="105" t="n"/>
      <c r="E82" s="105" t="n"/>
      <c r="F82" s="105" t="n"/>
      <c r="G82" s="106" t="n"/>
      <c r="H82" s="106" t="n"/>
      <c r="I82" s="106" t="n"/>
      <c r="J82" s="107" t="n"/>
      <c r="K82" s="105" t="n"/>
      <c r="L82" s="106" t="n"/>
      <c r="M82" s="106" t="n"/>
      <c r="N82" s="106" t="n"/>
      <c r="O82" s="106" t="n"/>
      <c r="P82" s="105" t="n"/>
      <c r="Q82" s="107" t="n"/>
      <c r="R82" s="105" t="n"/>
      <c r="S82" s="107" t="n"/>
      <c r="T82" s="108">
        <f>IFERROR(L82+M82+N82+O82,0)</f>
        <v/>
      </c>
      <c r="U82" s="108">
        <f>IFERROR(H82+IFERROR(I82,0)+T82+IFERROR(AH82,0),0)</f>
        <v/>
      </c>
      <c r="V82" s="256" t="n"/>
      <c r="W82" s="257" t="n"/>
      <c r="X82" s="256" t="n"/>
      <c r="Y82" s="258" t="n"/>
      <c r="Z82" s="259" t="n"/>
      <c r="AA82" s="259" t="n"/>
      <c r="AB82" s="258" t="n"/>
      <c r="AC82" s="256" t="n"/>
      <c r="AD82" s="256" t="n"/>
      <c r="AE82" s="256" t="n"/>
      <c r="AF82" s="256" t="n"/>
      <c r="AG82" s="256" t="n"/>
      <c r="AH82" s="256">
        <f>IFERROR(IFERROR(V82,0)+IFERROR(AC82,0)+IFERROR(AD82,0)+IFERROR(AE82,0)+IFERROR(AF82,0)+IFERROR(AG82,0),0)</f>
        <v/>
      </c>
    </row>
    <row r="83" ht="15" customHeight="1" s="199">
      <c r="A83" s="104" t="n"/>
      <c r="B83" s="104" t="n"/>
      <c r="C83" s="104" t="n"/>
      <c r="D83" s="105" t="n"/>
      <c r="E83" s="105" t="n"/>
      <c r="F83" s="105" t="n"/>
      <c r="G83" s="106" t="n"/>
      <c r="H83" s="106" t="n"/>
      <c r="I83" s="106" t="n"/>
      <c r="J83" s="107" t="n"/>
      <c r="K83" s="105" t="n"/>
      <c r="L83" s="106" t="n"/>
      <c r="M83" s="106" t="n"/>
      <c r="N83" s="106" t="n"/>
      <c r="O83" s="106" t="n"/>
      <c r="P83" s="105" t="n"/>
      <c r="Q83" s="107" t="n"/>
      <c r="R83" s="105" t="n"/>
      <c r="S83" s="107" t="n"/>
      <c r="T83" s="108">
        <f>IFERROR(L83+M83+N83+O83,0)</f>
        <v/>
      </c>
      <c r="U83" s="108">
        <f>IFERROR(H83+IFERROR(I83,0)+T83+IFERROR(AH83,0),0)</f>
        <v/>
      </c>
      <c r="V83" s="256" t="n"/>
      <c r="W83" s="257" t="n"/>
      <c r="X83" s="256" t="n"/>
      <c r="Y83" s="258" t="n"/>
      <c r="Z83" s="259" t="n"/>
      <c r="AA83" s="259" t="n"/>
      <c r="AB83" s="258" t="n"/>
      <c r="AC83" s="256" t="n"/>
      <c r="AD83" s="256" t="n"/>
      <c r="AE83" s="256" t="n"/>
      <c r="AF83" s="256" t="n"/>
      <c r="AG83" s="256" t="n"/>
      <c r="AH83" s="256">
        <f>IFERROR(IFERROR(V83,0)+IFERROR(AC83,0)+IFERROR(AD83,0)+IFERROR(AE83,0)+IFERROR(AF83,0)+IFERROR(AG83,0),0)</f>
        <v/>
      </c>
    </row>
    <row r="84" ht="15" customHeight="1" s="199">
      <c r="A84" s="104" t="n"/>
      <c r="B84" s="104" t="n"/>
      <c r="C84" s="104" t="n"/>
      <c r="D84" s="105" t="n"/>
      <c r="E84" s="105" t="n"/>
      <c r="F84" s="105" t="n"/>
      <c r="G84" s="106" t="n"/>
      <c r="H84" s="106" t="n"/>
      <c r="I84" s="106" t="n"/>
      <c r="J84" s="107" t="n"/>
      <c r="K84" s="105" t="n"/>
      <c r="L84" s="106" t="n"/>
      <c r="M84" s="106" t="n"/>
      <c r="N84" s="106" t="n"/>
      <c r="O84" s="106" t="n"/>
      <c r="P84" s="105" t="n"/>
      <c r="Q84" s="107" t="n"/>
      <c r="R84" s="105" t="n"/>
      <c r="S84" s="107" t="n"/>
      <c r="T84" s="108">
        <f>IFERROR(L84+M84+N84+O84,0)</f>
        <v/>
      </c>
      <c r="U84" s="108">
        <f>IFERROR(H84+IFERROR(I84,0)+T84+IFERROR(AH84,0),0)</f>
        <v/>
      </c>
      <c r="V84" s="256" t="n"/>
      <c r="W84" s="257" t="n"/>
      <c r="X84" s="256" t="n"/>
      <c r="Y84" s="258" t="n"/>
      <c r="Z84" s="259" t="n"/>
      <c r="AA84" s="259" t="n"/>
      <c r="AB84" s="258" t="n"/>
      <c r="AC84" s="256" t="n"/>
      <c r="AD84" s="256" t="n"/>
      <c r="AE84" s="256" t="n"/>
      <c r="AF84" s="256" t="n"/>
      <c r="AG84" s="256" t="n"/>
      <c r="AH84" s="256">
        <f>IFERROR(IFERROR(V84,0)+IFERROR(AC84,0)+IFERROR(AD84,0)+IFERROR(AE84,0)+IFERROR(AF84,0)+IFERROR(AG84,0),0)</f>
        <v/>
      </c>
    </row>
    <row r="85" ht="15" customHeight="1" s="199">
      <c r="A85" s="104" t="n"/>
      <c r="B85" s="104" t="n"/>
      <c r="C85" s="104" t="n"/>
      <c r="D85" s="105" t="n"/>
      <c r="E85" s="105" t="n"/>
      <c r="F85" s="105" t="n"/>
      <c r="G85" s="106" t="n"/>
      <c r="H85" s="106" t="n"/>
      <c r="I85" s="106" t="n"/>
      <c r="J85" s="107" t="n"/>
      <c r="K85" s="105" t="n"/>
      <c r="L85" s="106" t="n"/>
      <c r="M85" s="106" t="n"/>
      <c r="N85" s="106" t="n"/>
      <c r="O85" s="106" t="n"/>
      <c r="P85" s="105" t="n"/>
      <c r="Q85" s="107" t="n"/>
      <c r="R85" s="105" t="n"/>
      <c r="S85" s="107" t="n"/>
      <c r="T85" s="108">
        <f>IFERROR(L85+M85+N85+O85,0)</f>
        <v/>
      </c>
      <c r="U85" s="108">
        <f>IFERROR(H85+IFERROR(I85,0)+T85+IFERROR(AH85,0),0)</f>
        <v/>
      </c>
      <c r="V85" s="256" t="n"/>
      <c r="W85" s="257" t="n"/>
      <c r="X85" s="256" t="n"/>
      <c r="Y85" s="258" t="n"/>
      <c r="Z85" s="259" t="n"/>
      <c r="AA85" s="259" t="n"/>
      <c r="AB85" s="258" t="n"/>
      <c r="AC85" s="256" t="n"/>
      <c r="AD85" s="256" t="n"/>
      <c r="AE85" s="256" t="n"/>
      <c r="AF85" s="256" t="n"/>
      <c r="AG85" s="256" t="n"/>
      <c r="AH85" s="256">
        <f>IFERROR(IFERROR(V85,0)+IFERROR(AC85,0)+IFERROR(AD85,0)+IFERROR(AE85,0)+IFERROR(AF85,0)+IFERROR(AG85,0),0)</f>
        <v/>
      </c>
    </row>
    <row r="86" ht="15" customHeight="1" s="199">
      <c r="A86" s="104" t="n"/>
      <c r="B86" s="104" t="n"/>
      <c r="C86" s="104" t="n"/>
      <c r="D86" s="105" t="n"/>
      <c r="E86" s="105" t="n"/>
      <c r="F86" s="105" t="n"/>
      <c r="G86" s="106" t="n"/>
      <c r="H86" s="106" t="n"/>
      <c r="I86" s="106" t="n"/>
      <c r="J86" s="107" t="n"/>
      <c r="K86" s="105" t="n"/>
      <c r="L86" s="106" t="n"/>
      <c r="M86" s="106" t="n"/>
      <c r="N86" s="106" t="n"/>
      <c r="O86" s="106" t="n"/>
      <c r="P86" s="105" t="n"/>
      <c r="Q86" s="107" t="n"/>
      <c r="R86" s="105" t="n"/>
      <c r="S86" s="107" t="n"/>
      <c r="T86" s="108">
        <f>IFERROR(L86+M86+N86+O86,0)</f>
        <v/>
      </c>
      <c r="U86" s="108">
        <f>IFERROR(H86+IFERROR(I86,0)+T86+IFERROR(AH86,0),0)</f>
        <v/>
      </c>
      <c r="V86" s="256" t="n"/>
      <c r="W86" s="257" t="n"/>
      <c r="X86" s="256" t="n"/>
      <c r="Y86" s="258" t="n"/>
      <c r="Z86" s="259" t="n"/>
      <c r="AA86" s="259" t="n"/>
      <c r="AB86" s="258" t="n"/>
      <c r="AC86" s="256" t="n"/>
      <c r="AD86" s="256" t="n"/>
      <c r="AE86" s="256" t="n"/>
      <c r="AF86" s="256" t="n"/>
      <c r="AG86" s="256" t="n"/>
      <c r="AH86" s="256">
        <f>IFERROR(IFERROR(V86,0)+IFERROR(AC86,0)+IFERROR(AD86,0)+IFERROR(AE86,0)+IFERROR(AF86,0)+IFERROR(AG86,0),0)</f>
        <v/>
      </c>
    </row>
    <row r="87" ht="15" customHeight="1" s="199">
      <c r="A87" s="104" t="n"/>
      <c r="B87" s="104" t="n"/>
      <c r="C87" s="104" t="n"/>
      <c r="D87" s="105" t="n"/>
      <c r="E87" s="105" t="n"/>
      <c r="F87" s="105" t="n"/>
      <c r="G87" s="106" t="n"/>
      <c r="H87" s="106" t="n"/>
      <c r="I87" s="106" t="n"/>
      <c r="J87" s="107" t="n"/>
      <c r="K87" s="105" t="n"/>
      <c r="L87" s="106" t="n"/>
      <c r="M87" s="106" t="n"/>
      <c r="N87" s="106" t="n"/>
      <c r="O87" s="106" t="n"/>
      <c r="P87" s="105" t="n"/>
      <c r="Q87" s="107" t="n"/>
      <c r="R87" s="105" t="n"/>
      <c r="S87" s="107" t="n"/>
      <c r="T87" s="108">
        <f>IFERROR(L87+M87+N87+O87,0)</f>
        <v/>
      </c>
      <c r="U87" s="108">
        <f>IFERROR(H87+IFERROR(I87,0)+T87+IFERROR(AH87,0),0)</f>
        <v/>
      </c>
      <c r="V87" s="256" t="n"/>
      <c r="W87" s="257" t="n"/>
      <c r="X87" s="256" t="n"/>
      <c r="Y87" s="258" t="n"/>
      <c r="Z87" s="259" t="n"/>
      <c r="AA87" s="259" t="n"/>
      <c r="AB87" s="258" t="n"/>
      <c r="AC87" s="256" t="n"/>
      <c r="AD87" s="256" t="n"/>
      <c r="AE87" s="256" t="n"/>
      <c r="AF87" s="256" t="n"/>
      <c r="AG87" s="256" t="n"/>
      <c r="AH87" s="256">
        <f>IFERROR(IFERROR(V87,0)+IFERROR(AC87,0)+IFERROR(AD87,0)+IFERROR(AE87,0)+IFERROR(AF87,0)+IFERROR(AG87,0),0)</f>
        <v/>
      </c>
    </row>
    <row r="88" ht="15" customHeight="1" s="199">
      <c r="A88" s="104" t="n"/>
      <c r="B88" s="104" t="n"/>
      <c r="C88" s="104" t="n"/>
      <c r="D88" s="105" t="n"/>
      <c r="E88" s="105" t="n"/>
      <c r="F88" s="105" t="n"/>
      <c r="G88" s="106" t="n"/>
      <c r="H88" s="106" t="n"/>
      <c r="I88" s="106" t="n"/>
      <c r="J88" s="107" t="n"/>
      <c r="K88" s="105" t="n"/>
      <c r="L88" s="106" t="n"/>
      <c r="M88" s="106" t="n"/>
      <c r="N88" s="106" t="n"/>
      <c r="O88" s="106" t="n"/>
      <c r="P88" s="105" t="n"/>
      <c r="Q88" s="107" t="n"/>
      <c r="R88" s="105" t="n"/>
      <c r="S88" s="107" t="n"/>
      <c r="T88" s="108">
        <f>IFERROR(L88+M88+N88+O88,0)</f>
        <v/>
      </c>
      <c r="U88" s="108">
        <f>IFERROR(H88+IFERROR(I88,0)+T88+IFERROR(AH88,0),0)</f>
        <v/>
      </c>
      <c r="V88" s="256" t="n"/>
      <c r="W88" s="257" t="n"/>
      <c r="X88" s="256" t="n"/>
      <c r="Y88" s="258" t="n"/>
      <c r="Z88" s="259" t="n"/>
      <c r="AA88" s="259" t="n"/>
      <c r="AB88" s="258" t="n"/>
      <c r="AC88" s="256" t="n"/>
      <c r="AD88" s="256" t="n"/>
      <c r="AE88" s="256" t="n"/>
      <c r="AF88" s="256" t="n"/>
      <c r="AG88" s="256" t="n"/>
      <c r="AH88" s="256">
        <f>IFERROR(IFERROR(V88,0)+IFERROR(AC88,0)+IFERROR(AD88,0)+IFERROR(AE88,0)+IFERROR(AF88,0)+IFERROR(AG88,0),0)</f>
        <v/>
      </c>
    </row>
    <row r="89" ht="15" customHeight="1" s="199">
      <c r="A89" s="104" t="n"/>
      <c r="B89" s="104" t="n"/>
      <c r="C89" s="104" t="n"/>
      <c r="D89" s="105" t="n"/>
      <c r="E89" s="105" t="n"/>
      <c r="F89" s="105" t="n"/>
      <c r="G89" s="106" t="n"/>
      <c r="H89" s="106" t="n"/>
      <c r="I89" s="106" t="n"/>
      <c r="J89" s="107" t="n"/>
      <c r="K89" s="105" t="n"/>
      <c r="L89" s="106" t="n"/>
      <c r="M89" s="106" t="n"/>
      <c r="N89" s="106" t="n"/>
      <c r="O89" s="106" t="n"/>
      <c r="P89" s="105" t="n"/>
      <c r="Q89" s="107" t="n"/>
      <c r="R89" s="105" t="n"/>
      <c r="S89" s="107" t="n"/>
      <c r="T89" s="108">
        <f>IFERROR(L89+M89+N89+O89,0)</f>
        <v/>
      </c>
      <c r="U89" s="108">
        <f>IFERROR(H89+IFERROR(I89,0)+T89+IFERROR(AH89,0),0)</f>
        <v/>
      </c>
      <c r="V89" s="256" t="n"/>
      <c r="W89" s="257" t="n"/>
      <c r="X89" s="256" t="n"/>
      <c r="Y89" s="258" t="n"/>
      <c r="Z89" s="259" t="n"/>
      <c r="AA89" s="259" t="n"/>
      <c r="AB89" s="258" t="n"/>
      <c r="AC89" s="256" t="n"/>
      <c r="AD89" s="256" t="n"/>
      <c r="AE89" s="256" t="n"/>
      <c r="AF89" s="256" t="n"/>
      <c r="AG89" s="256" t="n"/>
      <c r="AH89" s="256">
        <f>IFERROR(IFERROR(V89,0)+IFERROR(AC89,0)+IFERROR(AD89,0)+IFERROR(AE89,0)+IFERROR(AF89,0)+IFERROR(AG89,0),0)</f>
        <v/>
      </c>
    </row>
    <row r="90" ht="15" customHeight="1" s="199">
      <c r="A90" s="104" t="n"/>
      <c r="B90" s="104" t="n"/>
      <c r="C90" s="104" t="n"/>
      <c r="D90" s="105" t="n"/>
      <c r="E90" s="105" t="n"/>
      <c r="F90" s="105" t="n"/>
      <c r="G90" s="106" t="n"/>
      <c r="H90" s="106" t="n"/>
      <c r="I90" s="106" t="n"/>
      <c r="J90" s="107" t="n"/>
      <c r="K90" s="105" t="n"/>
      <c r="L90" s="106" t="n"/>
      <c r="M90" s="106" t="n"/>
      <c r="N90" s="106" t="n"/>
      <c r="O90" s="106" t="n"/>
      <c r="P90" s="105" t="n"/>
      <c r="Q90" s="107" t="n"/>
      <c r="R90" s="105" t="n"/>
      <c r="S90" s="107" t="n"/>
      <c r="T90" s="108">
        <f>IFERROR(L90+M90+N90+O90,0)</f>
        <v/>
      </c>
      <c r="U90" s="108">
        <f>IFERROR(H90+IFERROR(I90,0)+T90+IFERROR(AH90,0),0)</f>
        <v/>
      </c>
      <c r="V90" s="256" t="n"/>
      <c r="W90" s="257" t="n"/>
      <c r="X90" s="256" t="n"/>
      <c r="Y90" s="258" t="n"/>
      <c r="Z90" s="259" t="n"/>
      <c r="AA90" s="259" t="n"/>
      <c r="AB90" s="258" t="n"/>
      <c r="AC90" s="256" t="n"/>
      <c r="AD90" s="256" t="n"/>
      <c r="AE90" s="256" t="n"/>
      <c r="AF90" s="256" t="n"/>
      <c r="AG90" s="256" t="n"/>
      <c r="AH90" s="256">
        <f>IFERROR(IFERROR(V90,0)+IFERROR(AC90,0)+IFERROR(AD90,0)+IFERROR(AE90,0)+IFERROR(AF90,0)+IFERROR(AG90,0),0)</f>
        <v/>
      </c>
    </row>
    <row r="91" ht="15" customHeight="1" s="199">
      <c r="A91" s="104" t="n"/>
      <c r="B91" s="104" t="n"/>
      <c r="C91" s="104" t="n"/>
      <c r="D91" s="105" t="n"/>
      <c r="E91" s="105" t="n"/>
      <c r="F91" s="105" t="n"/>
      <c r="G91" s="106" t="n"/>
      <c r="H91" s="106" t="n"/>
      <c r="I91" s="106" t="n"/>
      <c r="J91" s="107" t="n"/>
      <c r="K91" s="105" t="n"/>
      <c r="L91" s="106" t="n"/>
      <c r="M91" s="106" t="n"/>
      <c r="N91" s="106" t="n"/>
      <c r="O91" s="106" t="n"/>
      <c r="P91" s="105" t="n"/>
      <c r="Q91" s="107" t="n"/>
      <c r="R91" s="105" t="n"/>
      <c r="S91" s="107" t="n"/>
      <c r="T91" s="108">
        <f>IFERROR(L91+M91+N91+O91,0)</f>
        <v/>
      </c>
      <c r="U91" s="108">
        <f>IFERROR(H91+IFERROR(I91,0)+T91+IFERROR(AH91,0),0)</f>
        <v/>
      </c>
      <c r="V91" s="256" t="n"/>
      <c r="W91" s="257" t="n"/>
      <c r="X91" s="256" t="n"/>
      <c r="Y91" s="258" t="n"/>
      <c r="Z91" s="259" t="n"/>
      <c r="AA91" s="259" t="n"/>
      <c r="AB91" s="258" t="n"/>
      <c r="AC91" s="256" t="n"/>
      <c r="AD91" s="256" t="n"/>
      <c r="AE91" s="256" t="n"/>
      <c r="AF91" s="256" t="n"/>
      <c r="AG91" s="256" t="n"/>
      <c r="AH91" s="256">
        <f>IFERROR(IFERROR(V91,0)+IFERROR(AC91,0)+IFERROR(AD91,0)+IFERROR(AE91,0)+IFERROR(AF91,0)+IFERROR(AG91,0),0)</f>
        <v/>
      </c>
    </row>
    <row r="92" ht="15" customHeight="1" s="199">
      <c r="A92" s="104" t="n"/>
      <c r="B92" s="104" t="n"/>
      <c r="C92" s="104" t="n"/>
      <c r="D92" s="105" t="n"/>
      <c r="E92" s="105" t="n"/>
      <c r="F92" s="105" t="n"/>
      <c r="G92" s="106" t="n"/>
      <c r="H92" s="106" t="n"/>
      <c r="I92" s="106" t="n"/>
      <c r="J92" s="107" t="n"/>
      <c r="K92" s="105" t="n"/>
      <c r="L92" s="106" t="n"/>
      <c r="M92" s="106" t="n"/>
      <c r="N92" s="106" t="n"/>
      <c r="O92" s="106" t="n"/>
      <c r="P92" s="105" t="n"/>
      <c r="Q92" s="107" t="n"/>
      <c r="R92" s="105" t="n"/>
      <c r="S92" s="107" t="n"/>
      <c r="T92" s="108">
        <f>IFERROR(L92+M92+N92+O92,0)</f>
        <v/>
      </c>
      <c r="U92" s="108">
        <f>IFERROR(H92+IFERROR(I92,0)+T92+IFERROR(AH92,0),0)</f>
        <v/>
      </c>
      <c r="V92" s="256" t="n"/>
      <c r="W92" s="257" t="n"/>
      <c r="X92" s="256" t="n"/>
      <c r="Y92" s="258" t="n"/>
      <c r="Z92" s="259" t="n"/>
      <c r="AA92" s="259" t="n"/>
      <c r="AB92" s="258" t="n"/>
      <c r="AC92" s="256" t="n"/>
      <c r="AD92" s="256" t="n"/>
      <c r="AE92" s="256" t="n"/>
      <c r="AF92" s="256" t="n"/>
      <c r="AG92" s="256" t="n"/>
      <c r="AH92" s="256">
        <f>IFERROR(IFERROR(V92,0)+IFERROR(AC92,0)+IFERROR(AD92,0)+IFERROR(AE92,0)+IFERROR(AF92,0)+IFERROR(AG92,0),0)</f>
        <v/>
      </c>
    </row>
    <row r="93" ht="15" customHeight="1" s="199">
      <c r="A93" s="104" t="n"/>
      <c r="B93" s="104" t="n"/>
      <c r="C93" s="104" t="n"/>
      <c r="D93" s="105" t="n"/>
      <c r="E93" s="105" t="n"/>
      <c r="F93" s="105" t="n"/>
      <c r="G93" s="106" t="n"/>
      <c r="H93" s="106" t="n"/>
      <c r="I93" s="106" t="n"/>
      <c r="J93" s="107" t="n"/>
      <c r="K93" s="105" t="n"/>
      <c r="L93" s="106" t="n"/>
      <c r="M93" s="106" t="n"/>
      <c r="N93" s="106" t="n"/>
      <c r="O93" s="106" t="n"/>
      <c r="P93" s="105" t="n"/>
      <c r="Q93" s="107" t="n"/>
      <c r="R93" s="105" t="n"/>
      <c r="S93" s="107" t="n"/>
      <c r="T93" s="108">
        <f>IFERROR(L93+M93+N93+O93,0)</f>
        <v/>
      </c>
      <c r="U93" s="108">
        <f>IFERROR(H93+IFERROR(I93,0)+T93+IFERROR(AH93,0),0)</f>
        <v/>
      </c>
      <c r="V93" s="256" t="n"/>
      <c r="W93" s="257" t="n"/>
      <c r="X93" s="256" t="n"/>
      <c r="Y93" s="258" t="n"/>
      <c r="Z93" s="259" t="n"/>
      <c r="AA93" s="259" t="n"/>
      <c r="AB93" s="258" t="n"/>
      <c r="AC93" s="256" t="n"/>
      <c r="AD93" s="256" t="n"/>
      <c r="AE93" s="256" t="n"/>
      <c r="AF93" s="256" t="n"/>
      <c r="AG93" s="256" t="n"/>
      <c r="AH93" s="256">
        <f>IFERROR(IFERROR(V93,0)+IFERROR(AC93,0)+IFERROR(AD93,0)+IFERROR(AE93,0)+IFERROR(AF93,0)+IFERROR(AG93,0),0)</f>
        <v/>
      </c>
    </row>
    <row r="94" ht="15" customHeight="1" s="199">
      <c r="A94" s="104" t="n"/>
      <c r="B94" s="104" t="n"/>
      <c r="C94" s="104" t="n"/>
      <c r="D94" s="105" t="n"/>
      <c r="E94" s="105" t="n"/>
      <c r="F94" s="105" t="n"/>
      <c r="G94" s="106" t="n"/>
      <c r="H94" s="106" t="n"/>
      <c r="I94" s="106" t="n"/>
      <c r="J94" s="107" t="n"/>
      <c r="K94" s="105" t="n"/>
      <c r="L94" s="106" t="n"/>
      <c r="M94" s="106" t="n"/>
      <c r="N94" s="106" t="n"/>
      <c r="O94" s="106" t="n"/>
      <c r="P94" s="105" t="n"/>
      <c r="Q94" s="107" t="n"/>
      <c r="R94" s="105" t="n"/>
      <c r="S94" s="107" t="n"/>
      <c r="T94" s="108">
        <f>IFERROR(L94+M94+N94+O94,0)</f>
        <v/>
      </c>
      <c r="U94" s="108">
        <f>IFERROR(H94+IFERROR(I94,0)+T94+IFERROR(AH94,0),0)</f>
        <v/>
      </c>
      <c r="V94" s="256" t="n"/>
      <c r="W94" s="257" t="n"/>
      <c r="X94" s="256" t="n"/>
      <c r="Y94" s="258" t="n"/>
      <c r="Z94" s="259" t="n"/>
      <c r="AA94" s="259" t="n"/>
      <c r="AB94" s="258" t="n"/>
      <c r="AC94" s="256" t="n"/>
      <c r="AD94" s="256" t="n"/>
      <c r="AE94" s="256" t="n"/>
      <c r="AF94" s="256" t="n"/>
      <c r="AG94" s="256" t="n"/>
      <c r="AH94" s="256">
        <f>IFERROR(IFERROR(V94,0)+IFERROR(AC94,0)+IFERROR(AD94,0)+IFERROR(AE94,0)+IFERROR(AF94,0)+IFERROR(AG94,0),0)</f>
        <v/>
      </c>
    </row>
    <row r="95" ht="15" customHeight="1" s="199">
      <c r="A95" s="104" t="n"/>
      <c r="B95" s="104" t="n"/>
      <c r="C95" s="104" t="n"/>
      <c r="D95" s="105" t="n"/>
      <c r="E95" s="105" t="n"/>
      <c r="F95" s="105" t="n"/>
      <c r="G95" s="106" t="n"/>
      <c r="H95" s="106" t="n"/>
      <c r="I95" s="106" t="n"/>
      <c r="J95" s="107" t="n"/>
      <c r="K95" s="105" t="n"/>
      <c r="L95" s="106" t="n"/>
      <c r="M95" s="106" t="n"/>
      <c r="N95" s="106" t="n"/>
      <c r="O95" s="106" t="n"/>
      <c r="P95" s="105" t="n"/>
      <c r="Q95" s="107" t="n"/>
      <c r="R95" s="105" t="n"/>
      <c r="S95" s="107" t="n"/>
      <c r="T95" s="108">
        <f>IFERROR(L95+M95+N95+O95,0)</f>
        <v/>
      </c>
      <c r="U95" s="108">
        <f>IFERROR(H95+IFERROR(I95,0)+T95+IFERROR(AH95,0),0)</f>
        <v/>
      </c>
      <c r="V95" s="256" t="n"/>
      <c r="W95" s="257" t="n"/>
      <c r="X95" s="256" t="n"/>
      <c r="Y95" s="258" t="n"/>
      <c r="Z95" s="259" t="n"/>
      <c r="AA95" s="259" t="n"/>
      <c r="AB95" s="258" t="n"/>
      <c r="AC95" s="256" t="n"/>
      <c r="AD95" s="256" t="n"/>
      <c r="AE95" s="256" t="n"/>
      <c r="AF95" s="256" t="n"/>
      <c r="AG95" s="256" t="n"/>
      <c r="AH95" s="256">
        <f>IFERROR(IFERROR(V95,0)+IFERROR(AC95,0)+IFERROR(AD95,0)+IFERROR(AE95,0)+IFERROR(AF95,0)+IFERROR(AG95,0),0)</f>
        <v/>
      </c>
    </row>
    <row r="96" ht="15" customHeight="1" s="199">
      <c r="A96" s="104" t="n"/>
      <c r="B96" s="104" t="n"/>
      <c r="C96" s="104" t="n"/>
      <c r="D96" s="105" t="n"/>
      <c r="E96" s="105" t="n"/>
      <c r="F96" s="105" t="n"/>
      <c r="G96" s="106" t="n"/>
      <c r="H96" s="106" t="n"/>
      <c r="I96" s="106" t="n"/>
      <c r="J96" s="107" t="n"/>
      <c r="K96" s="105" t="n"/>
      <c r="L96" s="106" t="n"/>
      <c r="M96" s="106" t="n"/>
      <c r="N96" s="106" t="n"/>
      <c r="O96" s="106" t="n"/>
      <c r="P96" s="105" t="n"/>
      <c r="Q96" s="107" t="n"/>
      <c r="R96" s="105" t="n"/>
      <c r="S96" s="107" t="n"/>
      <c r="T96" s="108">
        <f>IFERROR(L96+M96+N96+O96,0)</f>
        <v/>
      </c>
      <c r="U96" s="108">
        <f>IFERROR(H96+IFERROR(I96,0)+T96+IFERROR(AH96,0),0)</f>
        <v/>
      </c>
      <c r="V96" s="256" t="n"/>
      <c r="W96" s="257" t="n"/>
      <c r="X96" s="256" t="n"/>
      <c r="Y96" s="258" t="n"/>
      <c r="Z96" s="259" t="n"/>
      <c r="AA96" s="259" t="n"/>
      <c r="AB96" s="258" t="n"/>
      <c r="AC96" s="256" t="n"/>
      <c r="AD96" s="256" t="n"/>
      <c r="AE96" s="256" t="n"/>
      <c r="AF96" s="256" t="n"/>
      <c r="AG96" s="256" t="n"/>
      <c r="AH96" s="256">
        <f>IFERROR(IFERROR(V96,0)+IFERROR(AC96,0)+IFERROR(AD96,0)+IFERROR(AE96,0)+IFERROR(AF96,0)+IFERROR(AG96,0),0)</f>
        <v/>
      </c>
    </row>
    <row r="97" ht="15" customHeight="1" s="199">
      <c r="A97" s="104" t="n"/>
      <c r="B97" s="104" t="n"/>
      <c r="C97" s="104" t="n"/>
      <c r="D97" s="105" t="n"/>
      <c r="E97" s="105" t="n"/>
      <c r="F97" s="105" t="n"/>
      <c r="G97" s="106" t="n"/>
      <c r="H97" s="106" t="n"/>
      <c r="I97" s="106" t="n"/>
      <c r="J97" s="107" t="n"/>
      <c r="K97" s="105" t="n"/>
      <c r="L97" s="106" t="n"/>
      <c r="M97" s="106" t="n"/>
      <c r="N97" s="106" t="n"/>
      <c r="O97" s="106" t="n"/>
      <c r="P97" s="105" t="n"/>
      <c r="Q97" s="107" t="n"/>
      <c r="R97" s="105" t="n"/>
      <c r="S97" s="107" t="n"/>
      <c r="T97" s="108">
        <f>IFERROR(L97+M97+N97+O97,0)</f>
        <v/>
      </c>
      <c r="U97" s="108">
        <f>IFERROR(H97+IFERROR(I97,0)+T97+IFERROR(AH97,0),0)</f>
        <v/>
      </c>
      <c r="V97" s="256" t="n"/>
      <c r="W97" s="257" t="n"/>
      <c r="X97" s="256" t="n"/>
      <c r="Y97" s="258" t="n"/>
      <c r="Z97" s="259" t="n"/>
      <c r="AA97" s="259" t="n"/>
      <c r="AB97" s="258" t="n"/>
      <c r="AC97" s="256" t="n"/>
      <c r="AD97" s="256" t="n"/>
      <c r="AE97" s="256" t="n"/>
      <c r="AF97" s="256" t="n"/>
      <c r="AG97" s="256" t="n"/>
      <c r="AH97" s="256">
        <f>IFERROR(IFERROR(V97,0)+IFERROR(AC97,0)+IFERROR(AD97,0)+IFERROR(AE97,0)+IFERROR(AF97,0)+IFERROR(AG97,0),0)</f>
        <v/>
      </c>
    </row>
    <row r="98" ht="15" customHeight="1" s="199">
      <c r="A98" s="104" t="n"/>
      <c r="B98" s="104" t="n"/>
      <c r="C98" s="104" t="n"/>
      <c r="D98" s="105" t="n"/>
      <c r="E98" s="105" t="n"/>
      <c r="F98" s="105" t="n"/>
      <c r="G98" s="106" t="n"/>
      <c r="H98" s="106" t="n"/>
      <c r="I98" s="106" t="n"/>
      <c r="J98" s="107" t="n"/>
      <c r="K98" s="105" t="n"/>
      <c r="L98" s="106" t="n"/>
      <c r="M98" s="106" t="n"/>
      <c r="N98" s="106" t="n"/>
      <c r="O98" s="106" t="n"/>
      <c r="P98" s="105" t="n"/>
      <c r="Q98" s="107" t="n"/>
      <c r="R98" s="105" t="n"/>
      <c r="S98" s="107" t="n"/>
      <c r="T98" s="108">
        <f>IFERROR(L98+M98+N98+O98,0)</f>
        <v/>
      </c>
      <c r="U98" s="108">
        <f>IFERROR(H98+IFERROR(I98,0)+T98+IFERROR(AH98,0),0)</f>
        <v/>
      </c>
      <c r="V98" s="256" t="n"/>
      <c r="W98" s="257" t="n"/>
      <c r="X98" s="256" t="n"/>
      <c r="Y98" s="258" t="n"/>
      <c r="Z98" s="259" t="n"/>
      <c r="AA98" s="259" t="n"/>
      <c r="AB98" s="258" t="n"/>
      <c r="AC98" s="256" t="n"/>
      <c r="AD98" s="256" t="n"/>
      <c r="AE98" s="256" t="n"/>
      <c r="AF98" s="256" t="n"/>
      <c r="AG98" s="256" t="n"/>
      <c r="AH98" s="256">
        <f>IFERROR(IFERROR(V98,0)+IFERROR(AC98,0)+IFERROR(AD98,0)+IFERROR(AE98,0)+IFERROR(AF98,0)+IFERROR(AG98,0),0)</f>
        <v/>
      </c>
    </row>
    <row r="99" ht="15" customHeight="1" s="199">
      <c r="A99" s="104" t="n"/>
      <c r="B99" s="104" t="n"/>
      <c r="C99" s="104" t="n"/>
      <c r="D99" s="105" t="n"/>
      <c r="E99" s="105" t="n"/>
      <c r="F99" s="105" t="n"/>
      <c r="G99" s="106" t="n"/>
      <c r="H99" s="106" t="n"/>
      <c r="I99" s="106" t="n"/>
      <c r="J99" s="107" t="n"/>
      <c r="K99" s="105" t="n"/>
      <c r="L99" s="106" t="n"/>
      <c r="M99" s="106" t="n"/>
      <c r="N99" s="106" t="n"/>
      <c r="O99" s="106" t="n"/>
      <c r="P99" s="105" t="n"/>
      <c r="Q99" s="107" t="n"/>
      <c r="R99" s="105" t="n"/>
      <c r="S99" s="107" t="n"/>
      <c r="T99" s="108">
        <f>IFERROR(L99+M99+N99+O99,0)</f>
        <v/>
      </c>
      <c r="U99" s="108">
        <f>IFERROR(H99+IFERROR(I99,0)+T99+IFERROR(AH99,0),0)</f>
        <v/>
      </c>
      <c r="V99" s="256" t="n"/>
      <c r="W99" s="257" t="n"/>
      <c r="X99" s="256" t="n"/>
      <c r="Y99" s="258" t="n"/>
      <c r="Z99" s="259" t="n"/>
      <c r="AA99" s="259" t="n"/>
      <c r="AB99" s="258" t="n"/>
      <c r="AC99" s="256" t="n"/>
      <c r="AD99" s="256" t="n"/>
      <c r="AE99" s="256" t="n"/>
      <c r="AF99" s="256" t="n"/>
      <c r="AG99" s="256" t="n"/>
      <c r="AH99" s="256">
        <f>IFERROR(IFERROR(V99,0)+IFERROR(AC99,0)+IFERROR(AD99,0)+IFERROR(AE99,0)+IFERROR(AF99,0)+IFERROR(AG99,0),0)</f>
        <v/>
      </c>
    </row>
    <row r="100" ht="15" customHeight="1" s="199">
      <c r="A100" s="104" t="n"/>
      <c r="B100" s="104" t="n"/>
      <c r="C100" s="104" t="n"/>
      <c r="D100" s="105" t="n"/>
      <c r="E100" s="105" t="n"/>
      <c r="F100" s="105" t="n"/>
      <c r="G100" s="106" t="n"/>
      <c r="H100" s="106" t="n"/>
      <c r="I100" s="106" t="n"/>
      <c r="J100" s="107" t="n"/>
      <c r="K100" s="105" t="n"/>
      <c r="L100" s="106" t="n"/>
      <c r="M100" s="106" t="n"/>
      <c r="N100" s="106" t="n"/>
      <c r="O100" s="106" t="n"/>
      <c r="P100" s="105" t="n"/>
      <c r="Q100" s="107" t="n"/>
      <c r="R100" s="105" t="n"/>
      <c r="S100" s="107" t="n"/>
      <c r="T100" s="108">
        <f>IFERROR(L100+M100+N100+O100,0)</f>
        <v/>
      </c>
      <c r="U100" s="108">
        <f>IFERROR(H100+IFERROR(I100,0)+T100+IFERROR(AH100,0),0)</f>
        <v/>
      </c>
      <c r="V100" s="256" t="n"/>
      <c r="W100" s="257" t="n"/>
      <c r="X100" s="256" t="n"/>
      <c r="Y100" s="258" t="n"/>
      <c r="Z100" s="259" t="n"/>
      <c r="AA100" s="259" t="n"/>
      <c r="AB100" s="258" t="n"/>
      <c r="AC100" s="256" t="n"/>
      <c r="AD100" s="256" t="n"/>
      <c r="AE100" s="256" t="n"/>
      <c r="AF100" s="256" t="n"/>
      <c r="AG100" s="256" t="n"/>
      <c r="AH100" s="256">
        <f>IFERROR(IFERROR(V100,0)+IFERROR(AC100,0)+IFERROR(AD100,0)+IFERROR(AE100,0)+IFERROR(AF100,0)+IFERROR(AG100,0),0)</f>
        <v/>
      </c>
    </row>
    <row r="101" ht="15" customHeight="1" s="199">
      <c r="A101" s="104" t="n"/>
      <c r="B101" s="104" t="n"/>
      <c r="C101" s="104" t="n"/>
      <c r="D101" s="105" t="n"/>
      <c r="E101" s="105" t="n"/>
      <c r="F101" s="105" t="n"/>
      <c r="G101" s="106" t="n"/>
      <c r="H101" s="106" t="n"/>
      <c r="I101" s="106" t="n"/>
      <c r="J101" s="107" t="n"/>
      <c r="K101" s="105" t="n"/>
      <c r="L101" s="106" t="n"/>
      <c r="M101" s="106" t="n"/>
      <c r="N101" s="106" t="n"/>
      <c r="O101" s="106" t="n"/>
      <c r="P101" s="105" t="n"/>
      <c r="Q101" s="107" t="n"/>
      <c r="R101" s="105" t="n"/>
      <c r="S101" s="107" t="n"/>
      <c r="T101" s="108">
        <f>IFERROR(L101+M101+N101+O101,0)</f>
        <v/>
      </c>
      <c r="U101" s="108">
        <f>IFERROR(H101+IFERROR(I101,0)+T101+IFERROR(AH101,0),0)</f>
        <v/>
      </c>
      <c r="V101" s="256" t="n"/>
      <c r="W101" s="257" t="n"/>
      <c r="X101" s="256" t="n"/>
      <c r="Y101" s="258" t="n"/>
      <c r="Z101" s="259" t="n"/>
      <c r="AA101" s="259" t="n"/>
      <c r="AB101" s="258" t="n"/>
      <c r="AC101" s="256" t="n"/>
      <c r="AD101" s="256" t="n"/>
      <c r="AE101" s="256" t="n"/>
      <c r="AF101" s="256" t="n"/>
      <c r="AG101" s="256" t="n"/>
      <c r="AH101" s="256">
        <f>IFERROR(IFERROR(V101,0)+IFERROR(AC101,0)+IFERROR(AD101,0)+IFERROR(AE101,0)+IFERROR(AF101,0)+IFERROR(AG101,0),0)</f>
        <v/>
      </c>
    </row>
    <row r="102" ht="15" customHeight="1" s="199">
      <c r="A102" s="104" t="n"/>
      <c r="B102" s="104" t="n"/>
      <c r="C102" s="104" t="n"/>
      <c r="D102" s="105" t="n"/>
      <c r="E102" s="105" t="n"/>
      <c r="F102" s="105" t="n"/>
      <c r="G102" s="106" t="n"/>
      <c r="H102" s="106" t="n"/>
      <c r="I102" s="106" t="n"/>
      <c r="J102" s="107" t="n"/>
      <c r="K102" s="105" t="n"/>
      <c r="L102" s="106" t="n"/>
      <c r="M102" s="106" t="n"/>
      <c r="N102" s="106" t="n"/>
      <c r="O102" s="106" t="n"/>
      <c r="P102" s="105" t="n"/>
      <c r="Q102" s="107" t="n"/>
      <c r="R102" s="105" t="n"/>
      <c r="S102" s="107" t="n"/>
      <c r="T102" s="108">
        <f>IFERROR(L102+M102+N102+O102,0)</f>
        <v/>
      </c>
      <c r="U102" s="108">
        <f>IFERROR(H102+IFERROR(I102,0)+T102+IFERROR(AH102,0),0)</f>
        <v/>
      </c>
      <c r="V102" s="256" t="n"/>
      <c r="W102" s="257" t="n"/>
      <c r="X102" s="256" t="n"/>
      <c r="Y102" s="258" t="n"/>
      <c r="Z102" s="259" t="n"/>
      <c r="AA102" s="259" t="n"/>
      <c r="AB102" s="258" t="n"/>
      <c r="AC102" s="256" t="n"/>
      <c r="AD102" s="256" t="n"/>
      <c r="AE102" s="256" t="n"/>
      <c r="AF102" s="256" t="n"/>
      <c r="AG102" s="256" t="n"/>
      <c r="AH102" s="256">
        <f>IFERROR(IFERROR(V102,0)+IFERROR(AC102,0)+IFERROR(AD102,0)+IFERROR(AE102,0)+IFERROR(AF102,0)+IFERROR(AG102,0),0)</f>
        <v/>
      </c>
    </row>
    <row r="103" ht="15" customHeight="1" s="199">
      <c r="A103" s="104" t="n"/>
      <c r="B103" s="104" t="n"/>
      <c r="C103" s="104" t="n"/>
      <c r="D103" s="105" t="n"/>
      <c r="E103" s="105" t="n"/>
      <c r="F103" s="105" t="n"/>
      <c r="G103" s="106" t="n"/>
      <c r="H103" s="106" t="n"/>
      <c r="I103" s="106" t="n"/>
      <c r="J103" s="107" t="n"/>
      <c r="K103" s="105" t="n"/>
      <c r="L103" s="106" t="n"/>
      <c r="M103" s="106" t="n"/>
      <c r="N103" s="106" t="n"/>
      <c r="O103" s="106" t="n"/>
      <c r="P103" s="105" t="n"/>
      <c r="Q103" s="107" t="n"/>
      <c r="R103" s="105" t="n"/>
      <c r="S103" s="107" t="n"/>
      <c r="T103" s="108">
        <f>IFERROR(L103+M103+N103+O103,0)</f>
        <v/>
      </c>
      <c r="U103" s="108">
        <f>IFERROR(H103+IFERROR(I103,0)+T103+IFERROR(AH103,0),0)</f>
        <v/>
      </c>
      <c r="V103" s="256" t="n"/>
      <c r="W103" s="257" t="n"/>
      <c r="X103" s="256" t="n"/>
      <c r="Y103" s="258" t="n"/>
      <c r="Z103" s="259" t="n"/>
      <c r="AA103" s="259" t="n"/>
      <c r="AB103" s="258" t="n"/>
      <c r="AC103" s="256" t="n"/>
      <c r="AD103" s="256" t="n"/>
      <c r="AE103" s="256" t="n"/>
      <c r="AF103" s="256" t="n"/>
      <c r="AG103" s="256" t="n"/>
      <c r="AH103" s="256">
        <f>IFERROR(IFERROR(V103,0)+IFERROR(AC103,0)+IFERROR(AD103,0)+IFERROR(AE103,0)+IFERROR(AF103,0)+IFERROR(AG103,0),0)</f>
        <v/>
      </c>
    </row>
    <row r="104" ht="15" customHeight="1" s="199">
      <c r="A104" s="104" t="n"/>
      <c r="B104" s="104" t="n"/>
      <c r="C104" s="104" t="n"/>
      <c r="D104" s="105" t="n"/>
      <c r="E104" s="105" t="n"/>
      <c r="F104" s="105" t="n"/>
      <c r="G104" s="106" t="n"/>
      <c r="H104" s="106" t="n"/>
      <c r="I104" s="106" t="n"/>
      <c r="J104" s="107" t="n"/>
      <c r="K104" s="105" t="n"/>
      <c r="L104" s="106" t="n"/>
      <c r="M104" s="106" t="n"/>
      <c r="N104" s="106" t="n"/>
      <c r="O104" s="106" t="n"/>
      <c r="P104" s="105" t="n"/>
      <c r="Q104" s="107" t="n"/>
      <c r="R104" s="105" t="n"/>
      <c r="S104" s="107" t="n"/>
      <c r="T104" s="108">
        <f>IFERROR(L104+M104+N104+O104,0)</f>
        <v/>
      </c>
      <c r="U104" s="108">
        <f>IFERROR(H104+IFERROR(I104,0)+T104+IFERROR(AH104,0),0)</f>
        <v/>
      </c>
      <c r="V104" s="256" t="n"/>
      <c r="W104" s="257" t="n"/>
      <c r="X104" s="256" t="n"/>
      <c r="Y104" s="258" t="n"/>
      <c r="Z104" s="259" t="n"/>
      <c r="AA104" s="259" t="n"/>
      <c r="AB104" s="258" t="n"/>
      <c r="AC104" s="256" t="n"/>
      <c r="AD104" s="256" t="n"/>
      <c r="AE104" s="256" t="n"/>
      <c r="AF104" s="256" t="n"/>
      <c r="AG104" s="256" t="n"/>
      <c r="AH104" s="256">
        <f>IFERROR(IFERROR(V104,0)+IFERROR(AC104,0)+IFERROR(AD104,0)+IFERROR(AE104,0)+IFERROR(AF104,0)+IFERROR(AG104,0),0)</f>
        <v/>
      </c>
    </row>
    <row r="105" ht="15" customHeight="1" s="199">
      <c r="A105" s="104" t="n"/>
      <c r="B105" s="104" t="n"/>
      <c r="C105" s="104" t="n"/>
      <c r="D105" s="105" t="n"/>
      <c r="E105" s="105" t="n"/>
      <c r="F105" s="105" t="n"/>
      <c r="G105" s="106" t="n"/>
      <c r="H105" s="106" t="n"/>
      <c r="I105" s="106" t="n"/>
      <c r="J105" s="107" t="n"/>
      <c r="K105" s="105" t="n"/>
      <c r="L105" s="106" t="n"/>
      <c r="M105" s="106" t="n"/>
      <c r="N105" s="106" t="n"/>
      <c r="O105" s="106" t="n"/>
      <c r="P105" s="105" t="n"/>
      <c r="Q105" s="107" t="n"/>
      <c r="R105" s="105" t="n"/>
      <c r="S105" s="107" t="n"/>
      <c r="T105" s="108">
        <f>IFERROR(L105+M105+N105+O105,0)</f>
        <v/>
      </c>
      <c r="U105" s="108">
        <f>IFERROR(H105+IFERROR(I105,0)+T105+IFERROR(AH105,0),0)</f>
        <v/>
      </c>
      <c r="V105" s="256" t="n"/>
      <c r="W105" s="257" t="n"/>
      <c r="X105" s="256" t="n"/>
      <c r="Y105" s="258" t="n"/>
      <c r="Z105" s="259" t="n"/>
      <c r="AA105" s="259" t="n"/>
      <c r="AB105" s="258" t="n"/>
      <c r="AC105" s="256" t="n"/>
      <c r="AD105" s="256" t="n"/>
      <c r="AE105" s="256" t="n"/>
      <c r="AF105" s="256" t="n"/>
      <c r="AG105" s="256" t="n"/>
      <c r="AH105" s="256">
        <f>IFERROR(IFERROR(V105,0)+IFERROR(AC105,0)+IFERROR(AD105,0)+IFERROR(AE105,0)+IFERROR(AF105,0)+IFERROR(AG105,0),0)</f>
        <v/>
      </c>
    </row>
    <row r="106" ht="15" customHeight="1" s="199">
      <c r="A106" s="104" t="n"/>
      <c r="B106" s="104" t="n"/>
      <c r="C106" s="104" t="n"/>
      <c r="D106" s="105" t="n"/>
      <c r="E106" s="105" t="n"/>
      <c r="F106" s="105" t="n"/>
      <c r="G106" s="106" t="n"/>
      <c r="H106" s="106" t="n"/>
      <c r="I106" s="106" t="n"/>
      <c r="J106" s="107" t="n"/>
      <c r="K106" s="105" t="n"/>
      <c r="L106" s="106" t="n"/>
      <c r="M106" s="106" t="n"/>
      <c r="N106" s="106" t="n"/>
      <c r="O106" s="106" t="n"/>
      <c r="P106" s="105" t="n"/>
      <c r="Q106" s="107" t="n"/>
      <c r="R106" s="105" t="n"/>
      <c r="S106" s="107" t="n"/>
      <c r="T106" s="108">
        <f>IFERROR(L106+M106+N106+O106,0)</f>
        <v/>
      </c>
      <c r="U106" s="108">
        <f>IFERROR(H106+IFERROR(I106,0)+T106+IFERROR(AH106,0),0)</f>
        <v/>
      </c>
      <c r="V106" s="256" t="n"/>
      <c r="W106" s="257" t="n"/>
      <c r="X106" s="256" t="n"/>
      <c r="Y106" s="258" t="n"/>
      <c r="Z106" s="259" t="n"/>
      <c r="AA106" s="259" t="n"/>
      <c r="AB106" s="258" t="n"/>
      <c r="AC106" s="256" t="n"/>
      <c r="AD106" s="256" t="n"/>
      <c r="AE106" s="256" t="n"/>
      <c r="AF106" s="256" t="n"/>
      <c r="AG106" s="256" t="n"/>
      <c r="AH106" s="256">
        <f>IFERROR(IFERROR(V106,0)+IFERROR(AC106,0)+IFERROR(AD106,0)+IFERROR(AE106,0)+IFERROR(AF106,0)+IFERROR(AG106,0),0)</f>
        <v/>
      </c>
    </row>
    <row r="107" ht="15" customHeight="1" s="199">
      <c r="A107" s="104" t="n"/>
      <c r="B107" s="104" t="n"/>
      <c r="C107" s="104" t="n"/>
      <c r="D107" s="105" t="n"/>
      <c r="E107" s="105" t="n"/>
      <c r="F107" s="105" t="n"/>
      <c r="G107" s="106" t="n"/>
      <c r="H107" s="106" t="n"/>
      <c r="I107" s="106" t="n"/>
      <c r="J107" s="107" t="n"/>
      <c r="K107" s="105" t="n"/>
      <c r="L107" s="106" t="n"/>
      <c r="M107" s="106" t="n"/>
      <c r="N107" s="106" t="n"/>
      <c r="O107" s="106" t="n"/>
      <c r="P107" s="105" t="n"/>
      <c r="Q107" s="107" t="n"/>
      <c r="R107" s="105" t="n"/>
      <c r="S107" s="107" t="n"/>
      <c r="T107" s="108">
        <f>IFERROR(L107+M107+N107+O107,0)</f>
        <v/>
      </c>
      <c r="U107" s="108">
        <f>IFERROR(H107+IFERROR(I107,0)+T107+IFERROR(AH107,0),0)</f>
        <v/>
      </c>
      <c r="V107" s="256" t="n"/>
      <c r="W107" s="257" t="n"/>
      <c r="X107" s="256" t="n"/>
      <c r="Y107" s="258" t="n"/>
      <c r="Z107" s="259" t="n"/>
      <c r="AA107" s="259" t="n"/>
      <c r="AB107" s="258" t="n"/>
      <c r="AC107" s="256" t="n"/>
      <c r="AD107" s="256" t="n"/>
      <c r="AE107" s="256" t="n"/>
      <c r="AF107" s="256" t="n"/>
      <c r="AG107" s="256" t="n"/>
      <c r="AH107" s="256">
        <f>IFERROR(IFERROR(V107,0)+IFERROR(AC107,0)+IFERROR(AD107,0)+IFERROR(AE107,0)+IFERROR(AF107,0)+IFERROR(AG107,0),0)</f>
        <v/>
      </c>
    </row>
    <row r="108" ht="15" customHeight="1" s="199">
      <c r="A108" s="104" t="n"/>
      <c r="B108" s="104" t="n"/>
      <c r="C108" s="104" t="n"/>
      <c r="D108" s="105" t="n"/>
      <c r="E108" s="105" t="n"/>
      <c r="F108" s="105" t="n"/>
      <c r="G108" s="106" t="n"/>
      <c r="H108" s="106" t="n"/>
      <c r="I108" s="106" t="n"/>
      <c r="J108" s="107" t="n"/>
      <c r="K108" s="105" t="n"/>
      <c r="L108" s="106" t="n"/>
      <c r="M108" s="106" t="n"/>
      <c r="N108" s="106" t="n"/>
      <c r="O108" s="106" t="n"/>
      <c r="P108" s="105" t="n"/>
      <c r="Q108" s="107" t="n"/>
      <c r="R108" s="105" t="n"/>
      <c r="S108" s="107" t="n"/>
      <c r="T108" s="108">
        <f>IFERROR(L108+M108+N108+O108,0)</f>
        <v/>
      </c>
      <c r="U108" s="108">
        <f>IFERROR(H108+IFERROR(I108,0)+T108+IFERROR(AH108,0),0)</f>
        <v/>
      </c>
      <c r="V108" s="256" t="n"/>
      <c r="W108" s="257" t="n"/>
      <c r="X108" s="256" t="n"/>
      <c r="Y108" s="258" t="n"/>
      <c r="Z108" s="259" t="n"/>
      <c r="AA108" s="259" t="n"/>
      <c r="AB108" s="258" t="n"/>
      <c r="AC108" s="256" t="n"/>
      <c r="AD108" s="256" t="n"/>
      <c r="AE108" s="256" t="n"/>
      <c r="AF108" s="256" t="n"/>
      <c r="AG108" s="256" t="n"/>
      <c r="AH108" s="256">
        <f>IFERROR(IFERROR(V108,0)+IFERROR(AC108,0)+IFERROR(AD108,0)+IFERROR(AE108,0)+IFERROR(AF108,0)+IFERROR(AG108,0),0)</f>
        <v/>
      </c>
    </row>
    <row r="109" ht="15" customHeight="1" s="199">
      <c r="A109" s="104" t="n"/>
      <c r="B109" s="104" t="n"/>
      <c r="C109" s="104" t="n"/>
      <c r="D109" s="105" t="n"/>
      <c r="E109" s="105" t="n"/>
      <c r="F109" s="105" t="n"/>
      <c r="G109" s="106" t="n"/>
      <c r="H109" s="106" t="n"/>
      <c r="I109" s="106" t="n"/>
      <c r="J109" s="107" t="n"/>
      <c r="K109" s="105" t="n"/>
      <c r="L109" s="106" t="n"/>
      <c r="M109" s="106" t="n"/>
      <c r="N109" s="106" t="n"/>
      <c r="O109" s="106" t="n"/>
      <c r="P109" s="105" t="n"/>
      <c r="Q109" s="107" t="n"/>
      <c r="R109" s="105" t="n"/>
      <c r="S109" s="107" t="n"/>
      <c r="T109" s="108">
        <f>IFERROR(L109+M109+N109+O109,0)</f>
        <v/>
      </c>
      <c r="U109" s="108">
        <f>IFERROR(H109+IFERROR(I109,0)+T109+IFERROR(AH109,0),0)</f>
        <v/>
      </c>
      <c r="V109" s="256" t="n"/>
      <c r="W109" s="257" t="n"/>
      <c r="X109" s="256" t="n"/>
      <c r="Y109" s="258" t="n"/>
      <c r="Z109" s="259" t="n"/>
      <c r="AA109" s="259" t="n"/>
      <c r="AB109" s="258" t="n"/>
      <c r="AC109" s="256" t="n"/>
      <c r="AD109" s="256" t="n"/>
      <c r="AE109" s="256" t="n"/>
      <c r="AF109" s="256" t="n"/>
      <c r="AG109" s="256" t="n"/>
      <c r="AH109" s="256">
        <f>IFERROR(IFERROR(V109,0)+IFERROR(AC109,0)+IFERROR(AD109,0)+IFERROR(AE109,0)+IFERROR(AF109,0)+IFERROR(AG109,0),0)</f>
        <v/>
      </c>
    </row>
    <row r="110" ht="15" customHeight="1" s="199">
      <c r="A110" s="104" t="n"/>
      <c r="B110" s="104" t="n"/>
      <c r="C110" s="104" t="n"/>
      <c r="D110" s="105" t="n"/>
      <c r="E110" s="105" t="n"/>
      <c r="F110" s="105" t="n"/>
      <c r="G110" s="106" t="n"/>
      <c r="H110" s="106" t="n"/>
      <c r="I110" s="106" t="n"/>
      <c r="J110" s="107" t="n"/>
      <c r="K110" s="105" t="n"/>
      <c r="L110" s="106" t="n"/>
      <c r="M110" s="106" t="n"/>
      <c r="N110" s="106" t="n"/>
      <c r="O110" s="106" t="n"/>
      <c r="P110" s="105" t="n"/>
      <c r="Q110" s="107" t="n"/>
      <c r="R110" s="105" t="n"/>
      <c r="S110" s="107" t="n"/>
      <c r="T110" s="108">
        <f>IFERROR(L110+M110+N110+O110,0)</f>
        <v/>
      </c>
      <c r="U110" s="108">
        <f>IFERROR(H110+IFERROR(I110,0)+T110+IFERROR(AH110,0),0)</f>
        <v/>
      </c>
      <c r="V110" s="256" t="n"/>
      <c r="W110" s="257" t="n"/>
      <c r="X110" s="256" t="n"/>
      <c r="Y110" s="258" t="n"/>
      <c r="Z110" s="259" t="n"/>
      <c r="AA110" s="259" t="n"/>
      <c r="AB110" s="258" t="n"/>
      <c r="AC110" s="256" t="n"/>
      <c r="AD110" s="256" t="n"/>
      <c r="AE110" s="256" t="n"/>
      <c r="AF110" s="256" t="n"/>
      <c r="AG110" s="256" t="n"/>
      <c r="AH110" s="256">
        <f>IFERROR(IFERROR(V110,0)+IFERROR(AC110,0)+IFERROR(AD110,0)+IFERROR(AE110,0)+IFERROR(AF110,0)+IFERROR(AG110,0),0)</f>
        <v/>
      </c>
    </row>
    <row r="111" ht="15" customHeight="1" s="199">
      <c r="A111" s="104" t="n"/>
      <c r="B111" s="104" t="n"/>
      <c r="C111" s="104" t="n"/>
      <c r="D111" s="105" t="n"/>
      <c r="E111" s="105" t="n"/>
      <c r="F111" s="105" t="n"/>
      <c r="G111" s="106" t="n"/>
      <c r="H111" s="106" t="n"/>
      <c r="I111" s="106" t="n"/>
      <c r="J111" s="107" t="n"/>
      <c r="K111" s="105" t="n"/>
      <c r="L111" s="106" t="n"/>
      <c r="M111" s="106" t="n"/>
      <c r="N111" s="106" t="n"/>
      <c r="O111" s="106" t="n"/>
      <c r="P111" s="105" t="n"/>
      <c r="Q111" s="107" t="n"/>
      <c r="R111" s="105" t="n"/>
      <c r="S111" s="107" t="n"/>
      <c r="T111" s="108">
        <f>IFERROR(L111+M111+N111+O111,0)</f>
        <v/>
      </c>
      <c r="U111" s="108">
        <f>IFERROR(H111+IFERROR(I111,0)+T111+IFERROR(AH111,0),0)</f>
        <v/>
      </c>
      <c r="V111" s="256" t="n"/>
      <c r="W111" s="257" t="n"/>
      <c r="X111" s="256" t="n"/>
      <c r="Y111" s="258" t="n"/>
      <c r="Z111" s="259" t="n"/>
      <c r="AA111" s="259" t="n"/>
      <c r="AB111" s="258" t="n"/>
      <c r="AC111" s="256" t="n"/>
      <c r="AD111" s="256" t="n"/>
      <c r="AE111" s="256" t="n"/>
      <c r="AF111" s="256" t="n"/>
      <c r="AG111" s="256" t="n"/>
      <c r="AH111" s="256">
        <f>IFERROR(IFERROR(V111,0)+IFERROR(AC111,0)+IFERROR(AD111,0)+IFERROR(AE111,0)+IFERROR(AF111,0)+IFERROR(AG111,0),0)</f>
        <v/>
      </c>
    </row>
    <row r="112" ht="15" customHeight="1" s="199">
      <c r="A112" s="104" t="n"/>
      <c r="B112" s="104" t="n"/>
      <c r="C112" s="104" t="n"/>
      <c r="D112" s="105" t="n"/>
      <c r="E112" s="105" t="n"/>
      <c r="F112" s="105" t="n"/>
      <c r="G112" s="106" t="n"/>
      <c r="H112" s="106" t="n"/>
      <c r="I112" s="106" t="n"/>
      <c r="J112" s="107" t="n"/>
      <c r="K112" s="105" t="n"/>
      <c r="L112" s="106" t="n"/>
      <c r="M112" s="106" t="n"/>
      <c r="N112" s="106" t="n"/>
      <c r="O112" s="106" t="n"/>
      <c r="P112" s="105" t="n"/>
      <c r="Q112" s="107" t="n"/>
      <c r="R112" s="105" t="n"/>
      <c r="S112" s="107" t="n"/>
      <c r="T112" s="108">
        <f>IFERROR(L112+M112+N112+O112,0)</f>
        <v/>
      </c>
      <c r="U112" s="108">
        <f>IFERROR(H112+IFERROR(I112,0)+T112+IFERROR(AH112,0),0)</f>
        <v/>
      </c>
      <c r="V112" s="256" t="n"/>
      <c r="W112" s="257" t="n"/>
      <c r="X112" s="256" t="n"/>
      <c r="Y112" s="258" t="n"/>
      <c r="Z112" s="259" t="n"/>
      <c r="AA112" s="259" t="n"/>
      <c r="AB112" s="258" t="n"/>
      <c r="AC112" s="256" t="n"/>
      <c r="AD112" s="256" t="n"/>
      <c r="AE112" s="256" t="n"/>
      <c r="AF112" s="256" t="n"/>
      <c r="AG112" s="256" t="n"/>
      <c r="AH112" s="256">
        <f>IFERROR(IFERROR(V112,0)+IFERROR(AC112,0)+IFERROR(AD112,0)+IFERROR(AE112,0)+IFERROR(AF112,0)+IFERROR(AG112,0),0)</f>
        <v/>
      </c>
    </row>
    <row r="113" ht="15" customHeight="1" s="199">
      <c r="A113" s="104" t="n"/>
      <c r="B113" s="104" t="n"/>
      <c r="C113" s="104" t="n"/>
      <c r="D113" s="105" t="n"/>
      <c r="E113" s="105" t="n"/>
      <c r="F113" s="105" t="n"/>
      <c r="G113" s="106" t="n"/>
      <c r="H113" s="106" t="n"/>
      <c r="I113" s="106" t="n"/>
      <c r="J113" s="107" t="n"/>
      <c r="K113" s="105" t="n"/>
      <c r="L113" s="106" t="n"/>
      <c r="M113" s="106" t="n"/>
      <c r="N113" s="106" t="n"/>
      <c r="O113" s="106" t="n"/>
      <c r="P113" s="105" t="n"/>
      <c r="Q113" s="107" t="n"/>
      <c r="R113" s="105" t="n"/>
      <c r="S113" s="107" t="n"/>
      <c r="T113" s="108">
        <f>IFERROR(L113+M113+N113+O113,0)</f>
        <v/>
      </c>
      <c r="U113" s="108">
        <f>IFERROR(H113+IFERROR(I113,0)+T113+IFERROR(AH113,0),0)</f>
        <v/>
      </c>
      <c r="V113" s="256" t="n"/>
      <c r="W113" s="257" t="n"/>
      <c r="X113" s="256" t="n"/>
      <c r="Y113" s="258" t="n"/>
      <c r="Z113" s="259" t="n"/>
      <c r="AA113" s="259" t="n"/>
      <c r="AB113" s="258" t="n"/>
      <c r="AC113" s="256" t="n"/>
      <c r="AD113" s="256" t="n"/>
      <c r="AE113" s="256" t="n"/>
      <c r="AF113" s="256" t="n"/>
      <c r="AG113" s="256" t="n"/>
      <c r="AH113" s="256">
        <f>IFERROR(IFERROR(V113,0)+IFERROR(AC113,0)+IFERROR(AD113,0)+IFERROR(AE113,0)+IFERROR(AF113,0)+IFERROR(AG113,0),0)</f>
        <v/>
      </c>
    </row>
    <row r="114" ht="15" customHeight="1" s="199">
      <c r="A114" s="104" t="n"/>
      <c r="B114" s="104" t="n"/>
      <c r="C114" s="104" t="n"/>
      <c r="D114" s="105" t="n"/>
      <c r="E114" s="105" t="n"/>
      <c r="F114" s="105" t="n"/>
      <c r="G114" s="106" t="n"/>
      <c r="H114" s="106" t="n"/>
      <c r="I114" s="106" t="n"/>
      <c r="J114" s="107" t="n"/>
      <c r="K114" s="105" t="n"/>
      <c r="L114" s="106" t="n"/>
      <c r="M114" s="106" t="n"/>
      <c r="N114" s="106" t="n"/>
      <c r="O114" s="106" t="n"/>
      <c r="P114" s="105" t="n"/>
      <c r="Q114" s="107" t="n"/>
      <c r="R114" s="105" t="n"/>
      <c r="S114" s="107" t="n"/>
      <c r="T114" s="108">
        <f>IFERROR(L114+M114+N114+O114,0)</f>
        <v/>
      </c>
      <c r="U114" s="108">
        <f>IFERROR(H114+IFERROR(I114,0)+T114+IFERROR(AH114,0),0)</f>
        <v/>
      </c>
      <c r="V114" s="256" t="n"/>
      <c r="W114" s="257" t="n"/>
      <c r="X114" s="256" t="n"/>
      <c r="Y114" s="258" t="n"/>
      <c r="Z114" s="259" t="n"/>
      <c r="AA114" s="259" t="n"/>
      <c r="AB114" s="258" t="n"/>
      <c r="AC114" s="256" t="n"/>
      <c r="AD114" s="256" t="n"/>
      <c r="AE114" s="256" t="n"/>
      <c r="AF114" s="256" t="n"/>
      <c r="AG114" s="256" t="n"/>
      <c r="AH114" s="256">
        <f>IFERROR(IFERROR(V114,0)+IFERROR(AC114,0)+IFERROR(AD114,0)+IFERROR(AE114,0)+IFERROR(AF114,0)+IFERROR(AG114,0),0)</f>
        <v/>
      </c>
    </row>
    <row r="115" ht="15" customHeight="1" s="199">
      <c r="A115" s="104" t="n"/>
      <c r="B115" s="104" t="n"/>
      <c r="C115" s="104" t="n"/>
      <c r="D115" s="105" t="n"/>
      <c r="E115" s="105" t="n"/>
      <c r="F115" s="105" t="n"/>
      <c r="G115" s="106" t="n"/>
      <c r="H115" s="106" t="n"/>
      <c r="I115" s="106" t="n"/>
      <c r="J115" s="107" t="n"/>
      <c r="K115" s="105" t="n"/>
      <c r="L115" s="106" t="n"/>
      <c r="M115" s="106" t="n"/>
      <c r="N115" s="106" t="n"/>
      <c r="O115" s="106" t="n"/>
      <c r="P115" s="105" t="n"/>
      <c r="Q115" s="107" t="n"/>
      <c r="R115" s="105" t="n"/>
      <c r="S115" s="107" t="n"/>
      <c r="T115" s="108">
        <f>IFERROR(L115+M115+N115+O115,0)</f>
        <v/>
      </c>
      <c r="U115" s="108">
        <f>IFERROR(H115+IFERROR(I115,0)+T115+IFERROR(AH115,0),0)</f>
        <v/>
      </c>
      <c r="V115" s="256" t="n"/>
      <c r="W115" s="257" t="n"/>
      <c r="X115" s="256" t="n"/>
      <c r="Y115" s="258" t="n"/>
      <c r="Z115" s="259" t="n"/>
      <c r="AA115" s="259" t="n"/>
      <c r="AB115" s="258" t="n"/>
      <c r="AC115" s="256" t="n"/>
      <c r="AD115" s="256" t="n"/>
      <c r="AE115" s="256" t="n"/>
      <c r="AF115" s="256" t="n"/>
      <c r="AG115" s="256" t="n"/>
      <c r="AH115" s="256">
        <f>IFERROR(IFERROR(V115,0)+IFERROR(AC115,0)+IFERROR(AD115,0)+IFERROR(AE115,0)+IFERROR(AF115,0)+IFERROR(AG115,0),0)</f>
        <v/>
      </c>
    </row>
    <row r="116" ht="15" customHeight="1" s="199">
      <c r="A116" s="104" t="n"/>
      <c r="B116" s="104" t="n"/>
      <c r="C116" s="104" t="n"/>
      <c r="D116" s="105" t="n"/>
      <c r="E116" s="105" t="n"/>
      <c r="F116" s="105" t="n"/>
      <c r="G116" s="106" t="n"/>
      <c r="H116" s="106" t="n"/>
      <c r="I116" s="106" t="n"/>
      <c r="J116" s="107" t="n"/>
      <c r="K116" s="105" t="n"/>
      <c r="L116" s="106" t="n"/>
      <c r="M116" s="106" t="n"/>
      <c r="N116" s="106" t="n"/>
      <c r="O116" s="106" t="n"/>
      <c r="P116" s="105" t="n"/>
      <c r="Q116" s="107" t="n"/>
      <c r="R116" s="105" t="n"/>
      <c r="S116" s="107" t="n"/>
      <c r="T116" s="108">
        <f>IFERROR(L116+M116+N116+O116,0)</f>
        <v/>
      </c>
      <c r="U116" s="108">
        <f>IFERROR(H116+IFERROR(I116,0)+T116+IFERROR(AH116,0),0)</f>
        <v/>
      </c>
      <c r="V116" s="256" t="n"/>
      <c r="W116" s="257" t="n"/>
      <c r="X116" s="256" t="n"/>
      <c r="Y116" s="258" t="n"/>
      <c r="Z116" s="259" t="n"/>
      <c r="AA116" s="259" t="n"/>
      <c r="AB116" s="258" t="n"/>
      <c r="AC116" s="256" t="n"/>
      <c r="AD116" s="256" t="n"/>
      <c r="AE116" s="256" t="n"/>
      <c r="AF116" s="256" t="n"/>
      <c r="AG116" s="256" t="n"/>
      <c r="AH116" s="256">
        <f>IFERROR(IFERROR(V116,0)+IFERROR(AC116,0)+IFERROR(AD116,0)+IFERROR(AE116,0)+IFERROR(AF116,0)+IFERROR(AG116,0),0)</f>
        <v/>
      </c>
    </row>
    <row r="117" ht="15" customHeight="1" s="199">
      <c r="A117" s="104" t="n"/>
      <c r="B117" s="104" t="n"/>
      <c r="C117" s="104" t="n"/>
      <c r="D117" s="105" t="n"/>
      <c r="E117" s="105" t="n"/>
      <c r="F117" s="105" t="n"/>
      <c r="G117" s="106" t="n"/>
      <c r="H117" s="106" t="n"/>
      <c r="I117" s="106" t="n"/>
      <c r="J117" s="107" t="n"/>
      <c r="K117" s="105" t="n"/>
      <c r="L117" s="106" t="n"/>
      <c r="M117" s="106" t="n"/>
      <c r="N117" s="106" t="n"/>
      <c r="O117" s="106" t="n"/>
      <c r="P117" s="105" t="n"/>
      <c r="Q117" s="107" t="n"/>
      <c r="R117" s="105" t="n"/>
      <c r="S117" s="107" t="n"/>
      <c r="T117" s="108">
        <f>IFERROR(L117+M117+N117+O117,0)</f>
        <v/>
      </c>
      <c r="U117" s="108">
        <f>IFERROR(H117+IFERROR(I117,0)+T117+IFERROR(AH117,0),0)</f>
        <v/>
      </c>
      <c r="V117" s="256" t="n"/>
      <c r="W117" s="257" t="n"/>
      <c r="X117" s="256" t="n"/>
      <c r="Y117" s="258" t="n"/>
      <c r="Z117" s="259" t="n"/>
      <c r="AA117" s="259" t="n"/>
      <c r="AB117" s="258" t="n"/>
      <c r="AC117" s="256" t="n"/>
      <c r="AD117" s="256" t="n"/>
      <c r="AE117" s="256" t="n"/>
      <c r="AF117" s="256" t="n"/>
      <c r="AG117" s="256" t="n"/>
      <c r="AH117" s="256">
        <f>IFERROR(IFERROR(V117,0)+IFERROR(AC117,0)+IFERROR(AD117,0)+IFERROR(AE117,0)+IFERROR(AF117,0)+IFERROR(AG117,0),0)</f>
        <v/>
      </c>
    </row>
    <row r="118" ht="15" customHeight="1" s="199">
      <c r="A118" s="104" t="n"/>
      <c r="B118" s="104" t="n"/>
      <c r="C118" s="104" t="n"/>
      <c r="D118" s="105" t="n"/>
      <c r="E118" s="105" t="n"/>
      <c r="F118" s="105" t="n"/>
      <c r="G118" s="106" t="n"/>
      <c r="H118" s="106" t="n"/>
      <c r="I118" s="106" t="n"/>
      <c r="J118" s="107" t="n"/>
      <c r="K118" s="105" t="n"/>
      <c r="L118" s="106" t="n"/>
      <c r="M118" s="106" t="n"/>
      <c r="N118" s="106" t="n"/>
      <c r="O118" s="106" t="n"/>
      <c r="P118" s="105" t="n"/>
      <c r="Q118" s="107" t="n"/>
      <c r="R118" s="105" t="n"/>
      <c r="S118" s="107" t="n"/>
      <c r="T118" s="108">
        <f>IFERROR(L118+M118+N118+O118,0)</f>
        <v/>
      </c>
      <c r="U118" s="108">
        <f>IFERROR(H118+IFERROR(I118,0)+T118+IFERROR(AH118,0),0)</f>
        <v/>
      </c>
      <c r="V118" s="256" t="n"/>
      <c r="W118" s="257" t="n"/>
      <c r="X118" s="256" t="n"/>
      <c r="Y118" s="258" t="n"/>
      <c r="Z118" s="259" t="n"/>
      <c r="AA118" s="259" t="n"/>
      <c r="AB118" s="258" t="n"/>
      <c r="AC118" s="256" t="n"/>
      <c r="AD118" s="256" t="n"/>
      <c r="AE118" s="256" t="n"/>
      <c r="AF118" s="256" t="n"/>
      <c r="AG118" s="256" t="n"/>
      <c r="AH118" s="256">
        <f>IFERROR(IFERROR(V118,0)+IFERROR(AC118,0)+IFERROR(AD118,0)+IFERROR(AE118,0)+IFERROR(AF118,0)+IFERROR(AG118,0),0)</f>
        <v/>
      </c>
    </row>
    <row r="119" ht="15" customHeight="1" s="199">
      <c r="A119" s="104" t="n"/>
      <c r="B119" s="104" t="n"/>
      <c r="C119" s="104" t="n"/>
      <c r="D119" s="105" t="n"/>
      <c r="E119" s="105" t="n"/>
      <c r="F119" s="105" t="n"/>
      <c r="G119" s="106" t="n"/>
      <c r="H119" s="106" t="n"/>
      <c r="I119" s="106" t="n"/>
      <c r="J119" s="107" t="n"/>
      <c r="K119" s="105" t="n"/>
      <c r="L119" s="106" t="n"/>
      <c r="M119" s="106" t="n"/>
      <c r="N119" s="106" t="n"/>
      <c r="O119" s="106" t="n"/>
      <c r="P119" s="105" t="n"/>
      <c r="Q119" s="107" t="n"/>
      <c r="R119" s="105" t="n"/>
      <c r="S119" s="107" t="n"/>
      <c r="T119" s="108">
        <f>IFERROR(L119+M119+N119+O119,0)</f>
        <v/>
      </c>
      <c r="U119" s="108">
        <f>IFERROR(H119+IFERROR(I119,0)+T119+IFERROR(AH119,0),0)</f>
        <v/>
      </c>
      <c r="V119" s="256" t="n"/>
      <c r="W119" s="257" t="n"/>
      <c r="X119" s="256" t="n"/>
      <c r="Y119" s="258" t="n"/>
      <c r="Z119" s="259" t="n"/>
      <c r="AA119" s="259" t="n"/>
      <c r="AB119" s="258" t="n"/>
      <c r="AC119" s="256" t="n"/>
      <c r="AD119" s="256" t="n"/>
      <c r="AE119" s="256" t="n"/>
      <c r="AF119" s="256" t="n"/>
      <c r="AG119" s="256" t="n"/>
      <c r="AH119" s="256">
        <f>IFERROR(IFERROR(V119,0)+IFERROR(AC119,0)+IFERROR(AD119,0)+IFERROR(AE119,0)+IFERROR(AF119,0)+IFERROR(AG119,0),0)</f>
        <v/>
      </c>
    </row>
    <row r="120" ht="15" customHeight="1" s="199">
      <c r="A120" s="104" t="n"/>
      <c r="B120" s="104" t="n"/>
      <c r="C120" s="104" t="n"/>
      <c r="D120" s="105" t="n"/>
      <c r="E120" s="105" t="n"/>
      <c r="F120" s="105" t="n"/>
      <c r="G120" s="106" t="n"/>
      <c r="H120" s="106" t="n"/>
      <c r="I120" s="106" t="n"/>
      <c r="J120" s="107" t="n"/>
      <c r="K120" s="105" t="n"/>
      <c r="L120" s="106" t="n"/>
      <c r="M120" s="106" t="n"/>
      <c r="N120" s="106" t="n"/>
      <c r="O120" s="106" t="n"/>
      <c r="P120" s="105" t="n"/>
      <c r="Q120" s="107" t="n"/>
      <c r="R120" s="105" t="n"/>
      <c r="S120" s="107" t="n"/>
      <c r="T120" s="108">
        <f>IFERROR(L120+M120+N120+O120,0)</f>
        <v/>
      </c>
      <c r="U120" s="108">
        <f>IFERROR(H120+IFERROR(I120,0)+T120+IFERROR(AH120,0),0)</f>
        <v/>
      </c>
      <c r="V120" s="256" t="n"/>
      <c r="W120" s="257" t="n"/>
      <c r="X120" s="256" t="n"/>
      <c r="Y120" s="258" t="n"/>
      <c r="Z120" s="259" t="n"/>
      <c r="AA120" s="259" t="n"/>
      <c r="AB120" s="258" t="n"/>
      <c r="AC120" s="256" t="n"/>
      <c r="AD120" s="256" t="n"/>
      <c r="AE120" s="256" t="n"/>
      <c r="AF120" s="256" t="n"/>
      <c r="AG120" s="256" t="n"/>
      <c r="AH120" s="256">
        <f>IFERROR(IFERROR(V120,0)+IFERROR(AC120,0)+IFERROR(AD120,0)+IFERROR(AE120,0)+IFERROR(AF120,0)+IFERROR(AG120,0),0)</f>
        <v/>
      </c>
    </row>
    <row r="121" ht="15" customHeight="1" s="199">
      <c r="A121" s="104" t="n"/>
      <c r="B121" s="104" t="n"/>
      <c r="C121" s="104" t="n"/>
      <c r="D121" s="105" t="n"/>
      <c r="E121" s="105" t="n"/>
      <c r="F121" s="105" t="n"/>
      <c r="G121" s="106" t="n"/>
      <c r="H121" s="106" t="n"/>
      <c r="I121" s="106" t="n"/>
      <c r="J121" s="107" t="n"/>
      <c r="K121" s="105" t="n"/>
      <c r="L121" s="106" t="n"/>
      <c r="M121" s="106" t="n"/>
      <c r="N121" s="106" t="n"/>
      <c r="O121" s="106" t="n"/>
      <c r="P121" s="105" t="n"/>
      <c r="Q121" s="107" t="n"/>
      <c r="R121" s="105" t="n"/>
      <c r="S121" s="107" t="n"/>
      <c r="T121" s="108">
        <f>IFERROR(L121+M121+N121+O121,0)</f>
        <v/>
      </c>
      <c r="U121" s="108">
        <f>IFERROR(H121+IFERROR(I121,0)+T121+IFERROR(AH121,0),0)</f>
        <v/>
      </c>
      <c r="V121" s="256" t="n"/>
      <c r="W121" s="257" t="n"/>
      <c r="X121" s="256" t="n"/>
      <c r="Y121" s="258" t="n"/>
      <c r="Z121" s="259" t="n"/>
      <c r="AA121" s="259" t="n"/>
      <c r="AB121" s="258" t="n"/>
      <c r="AC121" s="256" t="n"/>
      <c r="AD121" s="256" t="n"/>
      <c r="AE121" s="256" t="n"/>
      <c r="AF121" s="256" t="n"/>
      <c r="AG121" s="256" t="n"/>
      <c r="AH121" s="256">
        <f>IFERROR(IFERROR(V121,0)+IFERROR(AC121,0)+IFERROR(AD121,0)+IFERROR(AE121,0)+IFERROR(AF121,0)+IFERROR(AG121,0),0)</f>
        <v/>
      </c>
    </row>
    <row r="122" ht="15" customHeight="1" s="199">
      <c r="A122" s="104" t="n"/>
      <c r="B122" s="104" t="n"/>
      <c r="C122" s="104" t="n"/>
      <c r="D122" s="105" t="n"/>
      <c r="E122" s="105" t="n"/>
      <c r="F122" s="105" t="n"/>
      <c r="G122" s="106" t="n"/>
      <c r="H122" s="106" t="n"/>
      <c r="I122" s="106" t="n"/>
      <c r="J122" s="107" t="n"/>
      <c r="K122" s="105" t="n"/>
      <c r="L122" s="106" t="n"/>
      <c r="M122" s="106" t="n"/>
      <c r="N122" s="106" t="n"/>
      <c r="O122" s="106" t="n"/>
      <c r="P122" s="105" t="n"/>
      <c r="Q122" s="107" t="n"/>
      <c r="R122" s="105" t="n"/>
      <c r="S122" s="107" t="n"/>
      <c r="T122" s="108">
        <f>IFERROR(L122+M122+N122+O122,0)</f>
        <v/>
      </c>
      <c r="U122" s="108">
        <f>IFERROR(H122+IFERROR(I122,0)+T122+IFERROR(AH122,0),0)</f>
        <v/>
      </c>
      <c r="V122" s="256" t="n"/>
      <c r="W122" s="257" t="n"/>
      <c r="X122" s="256" t="n"/>
      <c r="Y122" s="258" t="n"/>
      <c r="Z122" s="259" t="n"/>
      <c r="AA122" s="259" t="n"/>
      <c r="AB122" s="258" t="n"/>
      <c r="AC122" s="256" t="n"/>
      <c r="AD122" s="256" t="n"/>
      <c r="AE122" s="256" t="n"/>
      <c r="AF122" s="256" t="n"/>
      <c r="AG122" s="256" t="n"/>
      <c r="AH122" s="256">
        <f>IFERROR(IFERROR(V122,0)+IFERROR(AC122,0)+IFERROR(AD122,0)+IFERROR(AE122,0)+IFERROR(AF122,0)+IFERROR(AG122,0),0)</f>
        <v/>
      </c>
    </row>
    <row r="123" ht="15" customHeight="1" s="199">
      <c r="A123" s="104" t="n"/>
      <c r="B123" s="104" t="n"/>
      <c r="C123" s="104" t="n"/>
      <c r="D123" s="105" t="n"/>
      <c r="E123" s="105" t="n"/>
      <c r="F123" s="105" t="n"/>
      <c r="G123" s="106" t="n"/>
      <c r="H123" s="106" t="n"/>
      <c r="I123" s="106" t="n"/>
      <c r="J123" s="107" t="n"/>
      <c r="K123" s="105" t="n"/>
      <c r="L123" s="106" t="n"/>
      <c r="M123" s="106" t="n"/>
      <c r="N123" s="106" t="n"/>
      <c r="O123" s="106" t="n"/>
      <c r="P123" s="105" t="n"/>
      <c r="Q123" s="107" t="n"/>
      <c r="R123" s="105" t="n"/>
      <c r="S123" s="107" t="n"/>
      <c r="T123" s="108">
        <f>IFERROR(L123+M123+N123+O123,0)</f>
        <v/>
      </c>
      <c r="U123" s="108">
        <f>IFERROR(H123+IFERROR(I123,0)+T123+IFERROR(AH123,0),0)</f>
        <v/>
      </c>
      <c r="V123" s="256" t="n"/>
      <c r="W123" s="257" t="n"/>
      <c r="X123" s="256" t="n"/>
      <c r="Y123" s="258" t="n"/>
      <c r="Z123" s="259" t="n"/>
      <c r="AA123" s="259" t="n"/>
      <c r="AB123" s="258" t="n"/>
      <c r="AC123" s="256" t="n"/>
      <c r="AD123" s="256" t="n"/>
      <c r="AE123" s="256" t="n"/>
      <c r="AF123" s="256" t="n"/>
      <c r="AG123" s="256" t="n"/>
      <c r="AH123" s="256">
        <f>IFERROR(IFERROR(V123,0)+IFERROR(AC123,0)+IFERROR(AD123,0)+IFERROR(AE123,0)+IFERROR(AF123,0)+IFERROR(AG123,0),0)</f>
        <v/>
      </c>
    </row>
    <row r="124" ht="15" customHeight="1" s="199">
      <c r="A124" s="104" t="n"/>
      <c r="B124" s="104" t="n"/>
      <c r="C124" s="104" t="n"/>
      <c r="D124" s="105" t="n"/>
      <c r="E124" s="105" t="n"/>
      <c r="F124" s="105" t="n"/>
      <c r="G124" s="106" t="n"/>
      <c r="H124" s="106" t="n"/>
      <c r="I124" s="106" t="n"/>
      <c r="J124" s="107" t="n"/>
      <c r="K124" s="105" t="n"/>
      <c r="L124" s="106" t="n"/>
      <c r="M124" s="106" t="n"/>
      <c r="N124" s="106" t="n"/>
      <c r="O124" s="106" t="n"/>
      <c r="P124" s="105" t="n"/>
      <c r="Q124" s="107" t="n"/>
      <c r="R124" s="105" t="n"/>
      <c r="S124" s="107" t="n"/>
      <c r="T124" s="108">
        <f>IFERROR(L124+M124+N124+O124,0)</f>
        <v/>
      </c>
      <c r="U124" s="108">
        <f>IFERROR(H124+IFERROR(I124,0)+T124+IFERROR(AH124,0),0)</f>
        <v/>
      </c>
      <c r="V124" s="256" t="n"/>
      <c r="W124" s="257" t="n"/>
      <c r="X124" s="256" t="n"/>
      <c r="Y124" s="258" t="n"/>
      <c r="Z124" s="259" t="n"/>
      <c r="AA124" s="259" t="n"/>
      <c r="AB124" s="258" t="n"/>
      <c r="AC124" s="256" t="n"/>
      <c r="AD124" s="256" t="n"/>
      <c r="AE124" s="256" t="n"/>
      <c r="AF124" s="256" t="n"/>
      <c r="AG124" s="256" t="n"/>
      <c r="AH124" s="256">
        <f>IFERROR(IFERROR(V124,0)+IFERROR(AC124,0)+IFERROR(AD124,0)+IFERROR(AE124,0)+IFERROR(AF124,0)+IFERROR(AG124,0),0)</f>
        <v/>
      </c>
    </row>
    <row r="125" ht="15" customHeight="1" s="199">
      <c r="A125" s="104" t="n"/>
      <c r="B125" s="104" t="n"/>
      <c r="C125" s="104" t="n"/>
      <c r="D125" s="105" t="n"/>
      <c r="E125" s="105" t="n"/>
      <c r="F125" s="105" t="n"/>
      <c r="G125" s="106" t="n"/>
      <c r="H125" s="106" t="n"/>
      <c r="I125" s="106" t="n"/>
      <c r="J125" s="107" t="n"/>
      <c r="K125" s="105" t="n"/>
      <c r="L125" s="106" t="n"/>
      <c r="M125" s="106" t="n"/>
      <c r="N125" s="106" t="n"/>
      <c r="O125" s="106" t="n"/>
      <c r="P125" s="105" t="n"/>
      <c r="Q125" s="107" t="n"/>
      <c r="R125" s="105" t="n"/>
      <c r="S125" s="107" t="n"/>
      <c r="T125" s="108">
        <f>IFERROR(L125+M125+N125+O125,0)</f>
        <v/>
      </c>
      <c r="U125" s="108">
        <f>IFERROR(H125+IFERROR(I125,0)+T125+IFERROR(AH125,0),0)</f>
        <v/>
      </c>
      <c r="V125" s="256" t="n"/>
      <c r="W125" s="257" t="n"/>
      <c r="X125" s="256" t="n"/>
      <c r="Y125" s="258" t="n"/>
      <c r="Z125" s="259" t="n"/>
      <c r="AA125" s="259" t="n"/>
      <c r="AB125" s="258" t="n"/>
      <c r="AC125" s="256" t="n"/>
      <c r="AD125" s="256" t="n"/>
      <c r="AE125" s="256" t="n"/>
      <c r="AF125" s="256" t="n"/>
      <c r="AG125" s="256" t="n"/>
      <c r="AH125" s="256">
        <f>IFERROR(IFERROR(V125,0)+IFERROR(AC125,0)+IFERROR(AD125,0)+IFERROR(AE125,0)+IFERROR(AF125,0)+IFERROR(AG125,0),0)</f>
        <v/>
      </c>
    </row>
    <row r="126" ht="15" customHeight="1" s="199">
      <c r="A126" s="104" t="n"/>
      <c r="B126" s="104" t="n"/>
      <c r="C126" s="104" t="n"/>
      <c r="D126" s="105" t="n"/>
      <c r="E126" s="105" t="n"/>
      <c r="F126" s="105" t="n"/>
      <c r="G126" s="106" t="n"/>
      <c r="H126" s="106" t="n"/>
      <c r="I126" s="106" t="n"/>
      <c r="J126" s="107" t="n"/>
      <c r="K126" s="105" t="n"/>
      <c r="L126" s="106" t="n"/>
      <c r="M126" s="106" t="n"/>
      <c r="N126" s="106" t="n"/>
      <c r="O126" s="106" t="n"/>
      <c r="P126" s="105" t="n"/>
      <c r="Q126" s="107" t="n"/>
      <c r="R126" s="105" t="n"/>
      <c r="S126" s="107" t="n"/>
      <c r="T126" s="108">
        <f>IFERROR(L126+M126+N126+O126,0)</f>
        <v/>
      </c>
      <c r="U126" s="108">
        <f>IFERROR(H126+IFERROR(I126,0)+T126+IFERROR(AH126,0),0)</f>
        <v/>
      </c>
      <c r="V126" s="256" t="n"/>
      <c r="W126" s="257" t="n"/>
      <c r="X126" s="256" t="n"/>
      <c r="Y126" s="258" t="n"/>
      <c r="Z126" s="259" t="n"/>
      <c r="AA126" s="259" t="n"/>
      <c r="AB126" s="258" t="n"/>
      <c r="AC126" s="256" t="n"/>
      <c r="AD126" s="256" t="n"/>
      <c r="AE126" s="256" t="n"/>
      <c r="AF126" s="256" t="n"/>
      <c r="AG126" s="256" t="n"/>
      <c r="AH126" s="256">
        <f>IFERROR(IFERROR(V126,0)+IFERROR(AC126,0)+IFERROR(AD126,0)+IFERROR(AE126,0)+IFERROR(AF126,0)+IFERROR(AG126,0),0)</f>
        <v/>
      </c>
    </row>
    <row r="127" ht="15" customHeight="1" s="199">
      <c r="A127" s="104" t="n"/>
      <c r="B127" s="104" t="n"/>
      <c r="C127" s="104" t="n"/>
      <c r="D127" s="105" t="n"/>
      <c r="E127" s="105" t="n"/>
      <c r="F127" s="105" t="n"/>
      <c r="G127" s="106" t="n"/>
      <c r="H127" s="106" t="n"/>
      <c r="I127" s="106" t="n"/>
      <c r="J127" s="107" t="n"/>
      <c r="K127" s="105" t="n"/>
      <c r="L127" s="106" t="n"/>
      <c r="M127" s="106" t="n"/>
      <c r="N127" s="106" t="n"/>
      <c r="O127" s="106" t="n"/>
      <c r="P127" s="105" t="n"/>
      <c r="Q127" s="107" t="n"/>
      <c r="R127" s="105" t="n"/>
      <c r="S127" s="107" t="n"/>
      <c r="T127" s="108">
        <f>IFERROR(L127+M127+N127+O127,0)</f>
        <v/>
      </c>
      <c r="U127" s="108">
        <f>IFERROR(H127+IFERROR(I127,0)+T127+IFERROR(AH127,0),0)</f>
        <v/>
      </c>
      <c r="V127" s="256" t="n"/>
      <c r="W127" s="257" t="n"/>
      <c r="X127" s="256" t="n"/>
      <c r="Y127" s="258" t="n"/>
      <c r="Z127" s="259" t="n"/>
      <c r="AA127" s="259" t="n"/>
      <c r="AB127" s="258" t="n"/>
      <c r="AC127" s="256" t="n"/>
      <c r="AD127" s="256" t="n"/>
      <c r="AE127" s="256" t="n"/>
      <c r="AF127" s="256" t="n"/>
      <c r="AG127" s="256" t="n"/>
      <c r="AH127" s="256">
        <f>IFERROR(IFERROR(V127,0)+IFERROR(AC127,0)+IFERROR(AD127,0)+IFERROR(AE127,0)+IFERROR(AF127,0)+IFERROR(AG127,0),0)</f>
        <v/>
      </c>
    </row>
    <row r="128" ht="15" customHeight="1" s="199">
      <c r="A128" s="104" t="n"/>
      <c r="B128" s="104" t="n"/>
      <c r="C128" s="104" t="n"/>
      <c r="D128" s="105" t="n"/>
      <c r="E128" s="105" t="n"/>
      <c r="F128" s="105" t="n"/>
      <c r="G128" s="106" t="n"/>
      <c r="H128" s="106" t="n"/>
      <c r="I128" s="106" t="n"/>
      <c r="J128" s="107" t="n"/>
      <c r="K128" s="105" t="n"/>
      <c r="L128" s="106" t="n"/>
      <c r="M128" s="106" t="n"/>
      <c r="N128" s="106" t="n"/>
      <c r="O128" s="106" t="n"/>
      <c r="P128" s="105" t="n"/>
      <c r="Q128" s="107" t="n"/>
      <c r="R128" s="105" t="n"/>
      <c r="S128" s="107" t="n"/>
      <c r="T128" s="108">
        <f>IFERROR(L128+M128+N128+O128,0)</f>
        <v/>
      </c>
      <c r="U128" s="108">
        <f>IFERROR(H128+IFERROR(I128,0)+T128+IFERROR(AH128,0),0)</f>
        <v/>
      </c>
      <c r="V128" s="256" t="n"/>
      <c r="W128" s="257" t="n"/>
      <c r="X128" s="256" t="n"/>
      <c r="Y128" s="258" t="n"/>
      <c r="Z128" s="259" t="n"/>
      <c r="AA128" s="259" t="n"/>
      <c r="AB128" s="258" t="n"/>
      <c r="AC128" s="256" t="n"/>
      <c r="AD128" s="256" t="n"/>
      <c r="AE128" s="256" t="n"/>
      <c r="AF128" s="256" t="n"/>
      <c r="AG128" s="256" t="n"/>
      <c r="AH128" s="256">
        <f>IFERROR(IFERROR(V128,0)+IFERROR(AC128,0)+IFERROR(AD128,0)+IFERROR(AE128,0)+IFERROR(AF128,0)+IFERROR(AG128,0),0)</f>
        <v/>
      </c>
    </row>
    <row r="129" ht="15" customHeight="1" s="199">
      <c r="A129" s="104" t="n"/>
      <c r="B129" s="104" t="n"/>
      <c r="C129" s="104" t="n"/>
      <c r="D129" s="105" t="n"/>
      <c r="E129" s="105" t="n"/>
      <c r="F129" s="105" t="n"/>
      <c r="G129" s="106" t="n"/>
      <c r="H129" s="106" t="n"/>
      <c r="I129" s="106" t="n"/>
      <c r="J129" s="107" t="n"/>
      <c r="K129" s="105" t="n"/>
      <c r="L129" s="106" t="n"/>
      <c r="M129" s="106" t="n"/>
      <c r="N129" s="106" t="n"/>
      <c r="O129" s="106" t="n"/>
      <c r="P129" s="105" t="n"/>
      <c r="Q129" s="107" t="n"/>
      <c r="R129" s="105" t="n"/>
      <c r="S129" s="107" t="n"/>
      <c r="T129" s="108">
        <f>IFERROR(L129+M129+N129+O129,0)</f>
        <v/>
      </c>
      <c r="U129" s="108">
        <f>IFERROR(H129+IFERROR(I129,0)+T129+IFERROR(AH129,0),0)</f>
        <v/>
      </c>
      <c r="V129" s="256" t="n"/>
      <c r="W129" s="257" t="n"/>
      <c r="X129" s="256" t="n"/>
      <c r="Y129" s="258" t="n"/>
      <c r="Z129" s="259" t="n"/>
      <c r="AA129" s="259" t="n"/>
      <c r="AB129" s="258" t="n"/>
      <c r="AC129" s="256" t="n"/>
      <c r="AD129" s="256" t="n"/>
      <c r="AE129" s="256" t="n"/>
      <c r="AF129" s="256" t="n"/>
      <c r="AG129" s="256" t="n"/>
      <c r="AH129" s="256">
        <f>IFERROR(IFERROR(V129,0)+IFERROR(AC129,0)+IFERROR(AD129,0)+IFERROR(AE129,0)+IFERROR(AF129,0)+IFERROR(AG129,0),0)</f>
        <v/>
      </c>
    </row>
    <row r="130" ht="15" customHeight="1" s="199">
      <c r="A130" s="104" t="n"/>
      <c r="B130" s="104" t="n"/>
      <c r="C130" s="104" t="n"/>
      <c r="D130" s="105" t="n"/>
      <c r="E130" s="105" t="n"/>
      <c r="F130" s="105" t="n"/>
      <c r="G130" s="106" t="n"/>
      <c r="H130" s="106" t="n"/>
      <c r="I130" s="106" t="n"/>
      <c r="J130" s="107" t="n"/>
      <c r="K130" s="105" t="n"/>
      <c r="L130" s="106" t="n"/>
      <c r="M130" s="106" t="n"/>
      <c r="N130" s="106" t="n"/>
      <c r="O130" s="106" t="n"/>
      <c r="P130" s="105" t="n"/>
      <c r="Q130" s="107" t="n"/>
      <c r="R130" s="105" t="n"/>
      <c r="S130" s="107" t="n"/>
      <c r="T130" s="108">
        <f>IFERROR(L130+M130+N130+O130,0)</f>
        <v/>
      </c>
      <c r="U130" s="108">
        <f>IFERROR(H130+IFERROR(I130,0)+T130+IFERROR(AH130,0),0)</f>
        <v/>
      </c>
      <c r="V130" s="256" t="n"/>
      <c r="W130" s="257" t="n"/>
      <c r="X130" s="256" t="n"/>
      <c r="Y130" s="258" t="n"/>
      <c r="Z130" s="259" t="n"/>
      <c r="AA130" s="259" t="n"/>
      <c r="AB130" s="258" t="n"/>
      <c r="AC130" s="256" t="n"/>
      <c r="AD130" s="256" t="n"/>
      <c r="AE130" s="256" t="n"/>
      <c r="AF130" s="256" t="n"/>
      <c r="AG130" s="256" t="n"/>
      <c r="AH130" s="256">
        <f>IFERROR(IFERROR(V130,0)+IFERROR(AC130,0)+IFERROR(AD130,0)+IFERROR(AE130,0)+IFERROR(AF130,0)+IFERROR(AG130,0),0)</f>
        <v/>
      </c>
    </row>
    <row r="131" ht="15" customHeight="1" s="199">
      <c r="A131" s="104" t="n"/>
      <c r="B131" s="104" t="n"/>
      <c r="C131" s="104" t="n"/>
      <c r="D131" s="105" t="n"/>
      <c r="E131" s="105" t="n"/>
      <c r="F131" s="105" t="n"/>
      <c r="G131" s="106" t="n"/>
      <c r="H131" s="106" t="n"/>
      <c r="I131" s="106" t="n"/>
      <c r="J131" s="107" t="n"/>
      <c r="K131" s="105" t="n"/>
      <c r="L131" s="106" t="n"/>
      <c r="M131" s="106" t="n"/>
      <c r="N131" s="106" t="n"/>
      <c r="O131" s="106" t="n"/>
      <c r="P131" s="105" t="n"/>
      <c r="Q131" s="107" t="n"/>
      <c r="R131" s="105" t="n"/>
      <c r="S131" s="107" t="n"/>
      <c r="T131" s="108">
        <f>IFERROR(L131+M131+N131+O131,0)</f>
        <v/>
      </c>
      <c r="U131" s="108">
        <f>IFERROR(H131+IFERROR(I131,0)+T131+IFERROR(AH131,0),0)</f>
        <v/>
      </c>
      <c r="V131" s="256" t="n"/>
      <c r="W131" s="257" t="n"/>
      <c r="X131" s="256" t="n"/>
      <c r="Y131" s="258" t="n"/>
      <c r="Z131" s="259" t="n"/>
      <c r="AA131" s="259" t="n"/>
      <c r="AB131" s="258" t="n"/>
      <c r="AC131" s="256" t="n"/>
      <c r="AD131" s="256" t="n"/>
      <c r="AE131" s="256" t="n"/>
      <c r="AF131" s="256" t="n"/>
      <c r="AG131" s="256" t="n"/>
      <c r="AH131" s="256">
        <f>IFERROR(IFERROR(V131,0)+IFERROR(AC131,0)+IFERROR(AD131,0)+IFERROR(AE131,0)+IFERROR(AF131,0)+IFERROR(AG131,0),0)</f>
        <v/>
      </c>
    </row>
    <row r="132" ht="15" customHeight="1" s="199">
      <c r="A132" s="104" t="n"/>
      <c r="B132" s="104" t="n"/>
      <c r="C132" s="104" t="n"/>
      <c r="D132" s="105" t="n"/>
      <c r="E132" s="105" t="n"/>
      <c r="F132" s="105" t="n"/>
      <c r="G132" s="106" t="n"/>
      <c r="H132" s="106" t="n"/>
      <c r="I132" s="106" t="n"/>
      <c r="J132" s="107" t="n"/>
      <c r="K132" s="105" t="n"/>
      <c r="L132" s="106" t="n"/>
      <c r="M132" s="106" t="n"/>
      <c r="N132" s="106" t="n"/>
      <c r="O132" s="106" t="n"/>
      <c r="P132" s="105" t="n"/>
      <c r="Q132" s="107" t="n"/>
      <c r="R132" s="105" t="n"/>
      <c r="S132" s="107" t="n"/>
      <c r="T132" s="108">
        <f>IFERROR(L132+M132+N132+O132,0)</f>
        <v/>
      </c>
      <c r="U132" s="108">
        <f>IFERROR(H132+IFERROR(I132,0)+T132+IFERROR(AH132,0),0)</f>
        <v/>
      </c>
      <c r="V132" s="256" t="n"/>
      <c r="W132" s="257" t="n"/>
      <c r="X132" s="256" t="n"/>
      <c r="Y132" s="258" t="n"/>
      <c r="Z132" s="259" t="n"/>
      <c r="AA132" s="259" t="n"/>
      <c r="AB132" s="258" t="n"/>
      <c r="AC132" s="256" t="n"/>
      <c r="AD132" s="256" t="n"/>
      <c r="AE132" s="256" t="n"/>
      <c r="AF132" s="256" t="n"/>
      <c r="AG132" s="256" t="n"/>
      <c r="AH132" s="256">
        <f>IFERROR(IFERROR(V132,0)+IFERROR(AC132,0)+IFERROR(AD132,0)+IFERROR(AE132,0)+IFERROR(AF132,0)+IFERROR(AG132,0),0)</f>
        <v/>
      </c>
    </row>
    <row r="133" ht="15" customHeight="1" s="199">
      <c r="A133" s="104" t="n"/>
      <c r="B133" s="104" t="n"/>
      <c r="C133" s="104" t="n"/>
      <c r="D133" s="105" t="n"/>
      <c r="E133" s="105" t="n"/>
      <c r="F133" s="105" t="n"/>
      <c r="G133" s="106" t="n"/>
      <c r="H133" s="106" t="n"/>
      <c r="I133" s="106" t="n"/>
      <c r="J133" s="107" t="n"/>
      <c r="K133" s="105" t="n"/>
      <c r="L133" s="106" t="n"/>
      <c r="M133" s="106" t="n"/>
      <c r="N133" s="106" t="n"/>
      <c r="O133" s="106" t="n"/>
      <c r="P133" s="105" t="n"/>
      <c r="Q133" s="107" t="n"/>
      <c r="R133" s="105" t="n"/>
      <c r="S133" s="107" t="n"/>
      <c r="T133" s="108">
        <f>IFERROR(L133+M133+N133+O133,0)</f>
        <v/>
      </c>
      <c r="U133" s="108">
        <f>IFERROR(H133+IFERROR(I133,0)+T133+IFERROR(AH133,0),0)</f>
        <v/>
      </c>
      <c r="V133" s="256" t="n"/>
      <c r="W133" s="257" t="n"/>
      <c r="X133" s="256" t="n"/>
      <c r="Y133" s="258" t="n"/>
      <c r="Z133" s="259" t="n"/>
      <c r="AA133" s="259" t="n"/>
      <c r="AB133" s="258" t="n"/>
      <c r="AC133" s="256" t="n"/>
      <c r="AD133" s="256" t="n"/>
      <c r="AE133" s="256" t="n"/>
      <c r="AF133" s="256" t="n"/>
      <c r="AG133" s="256" t="n"/>
      <c r="AH133" s="256">
        <f>IFERROR(IFERROR(V133,0)+IFERROR(AC133,0)+IFERROR(AD133,0)+IFERROR(AE133,0)+IFERROR(AF133,0)+IFERROR(AG133,0),0)</f>
        <v/>
      </c>
    </row>
    <row r="134" ht="15" customHeight="1" s="199">
      <c r="A134" s="104" t="n"/>
      <c r="B134" s="104" t="n"/>
      <c r="C134" s="104" t="n"/>
      <c r="D134" s="105" t="n"/>
      <c r="E134" s="105" t="n"/>
      <c r="F134" s="105" t="n"/>
      <c r="G134" s="106" t="n"/>
      <c r="H134" s="106" t="n"/>
      <c r="I134" s="106" t="n"/>
      <c r="J134" s="107" t="n"/>
      <c r="K134" s="105" t="n"/>
      <c r="L134" s="106" t="n"/>
      <c r="M134" s="106" t="n"/>
      <c r="N134" s="106" t="n"/>
      <c r="O134" s="106" t="n"/>
      <c r="P134" s="105" t="n"/>
      <c r="Q134" s="107" t="n"/>
      <c r="R134" s="105" t="n"/>
      <c r="S134" s="107" t="n"/>
      <c r="T134" s="108">
        <f>IFERROR(L134+M134+N134+O134,0)</f>
        <v/>
      </c>
      <c r="U134" s="108">
        <f>IFERROR(H134+IFERROR(I134,0)+T134+IFERROR(AH134,0),0)</f>
        <v/>
      </c>
      <c r="V134" s="256" t="n"/>
      <c r="W134" s="257" t="n"/>
      <c r="X134" s="256" t="n"/>
      <c r="Y134" s="258" t="n"/>
      <c r="Z134" s="259" t="n"/>
      <c r="AA134" s="259" t="n"/>
      <c r="AB134" s="258" t="n"/>
      <c r="AC134" s="256" t="n"/>
      <c r="AD134" s="256" t="n"/>
      <c r="AE134" s="256" t="n"/>
      <c r="AF134" s="256" t="n"/>
      <c r="AG134" s="256" t="n"/>
      <c r="AH134" s="256">
        <f>IFERROR(IFERROR(V134,0)+IFERROR(AC134,0)+IFERROR(AD134,0)+IFERROR(AE134,0)+IFERROR(AF134,0)+IFERROR(AG134,0),0)</f>
        <v/>
      </c>
    </row>
    <row r="135" ht="15" customHeight="1" s="199">
      <c r="A135" s="104" t="n"/>
      <c r="B135" s="104" t="n"/>
      <c r="C135" s="104" t="n"/>
      <c r="D135" s="105" t="n"/>
      <c r="E135" s="105" t="n"/>
      <c r="F135" s="105" t="n"/>
      <c r="G135" s="106" t="n"/>
      <c r="H135" s="106" t="n"/>
      <c r="I135" s="106" t="n"/>
      <c r="J135" s="107" t="n"/>
      <c r="K135" s="105" t="n"/>
      <c r="L135" s="106" t="n"/>
      <c r="M135" s="106" t="n"/>
      <c r="N135" s="106" t="n"/>
      <c r="O135" s="106" t="n"/>
      <c r="P135" s="105" t="n"/>
      <c r="Q135" s="107" t="n"/>
      <c r="R135" s="105" t="n"/>
      <c r="S135" s="107" t="n"/>
      <c r="T135" s="108">
        <f>IFERROR(L135+M135+N135+O135,0)</f>
        <v/>
      </c>
      <c r="U135" s="108">
        <f>IFERROR(H135+IFERROR(I135,0)+T135+IFERROR(AH135,0),0)</f>
        <v/>
      </c>
      <c r="V135" s="256" t="n"/>
      <c r="W135" s="257" t="n"/>
      <c r="X135" s="256" t="n"/>
      <c r="Y135" s="258" t="n"/>
      <c r="Z135" s="259" t="n"/>
      <c r="AA135" s="259" t="n"/>
      <c r="AB135" s="258" t="n"/>
      <c r="AC135" s="256" t="n"/>
      <c r="AD135" s="256" t="n"/>
      <c r="AE135" s="256" t="n"/>
      <c r="AF135" s="256" t="n"/>
      <c r="AG135" s="256" t="n"/>
      <c r="AH135" s="256">
        <f>IFERROR(IFERROR(V135,0)+IFERROR(AC135,0)+IFERROR(AD135,0)+IFERROR(AE135,0)+IFERROR(AF135,0)+IFERROR(AG135,0),0)</f>
        <v/>
      </c>
    </row>
    <row r="136" ht="15" customHeight="1" s="199">
      <c r="A136" s="104" t="n"/>
      <c r="B136" s="104" t="n"/>
      <c r="C136" s="104" t="n"/>
      <c r="D136" s="105" t="n"/>
      <c r="E136" s="105" t="n"/>
      <c r="F136" s="105" t="n"/>
      <c r="G136" s="106" t="n"/>
      <c r="H136" s="106" t="n"/>
      <c r="I136" s="106" t="n"/>
      <c r="J136" s="107" t="n"/>
      <c r="K136" s="105" t="n"/>
      <c r="L136" s="106" t="n"/>
      <c r="M136" s="106" t="n"/>
      <c r="N136" s="106" t="n"/>
      <c r="O136" s="106" t="n"/>
      <c r="P136" s="105" t="n"/>
      <c r="Q136" s="107" t="n"/>
      <c r="R136" s="105" t="n"/>
      <c r="S136" s="107" t="n"/>
      <c r="T136" s="108">
        <f>IFERROR(L136+M136+N136+O136,0)</f>
        <v/>
      </c>
      <c r="U136" s="108">
        <f>IFERROR(H136+IFERROR(I136,0)+T136+IFERROR(AH136,0),0)</f>
        <v/>
      </c>
      <c r="V136" s="256" t="n"/>
      <c r="W136" s="257" t="n"/>
      <c r="X136" s="256" t="n"/>
      <c r="Y136" s="258" t="n"/>
      <c r="Z136" s="259" t="n"/>
      <c r="AA136" s="259" t="n"/>
      <c r="AB136" s="258" t="n"/>
      <c r="AC136" s="256" t="n"/>
      <c r="AD136" s="256" t="n"/>
      <c r="AE136" s="256" t="n"/>
      <c r="AF136" s="256" t="n"/>
      <c r="AG136" s="256" t="n"/>
      <c r="AH136" s="256">
        <f>IFERROR(IFERROR(V136,0)+IFERROR(AC136,0)+IFERROR(AD136,0)+IFERROR(AE136,0)+IFERROR(AF136,0)+IFERROR(AG136,0),0)</f>
        <v/>
      </c>
    </row>
    <row r="137" ht="15" customHeight="1" s="199">
      <c r="A137" s="104" t="n"/>
      <c r="B137" s="104" t="n"/>
      <c r="C137" s="104" t="n"/>
      <c r="D137" s="105" t="n"/>
      <c r="E137" s="105" t="n"/>
      <c r="F137" s="105" t="n"/>
      <c r="G137" s="106" t="n"/>
      <c r="H137" s="106" t="n"/>
      <c r="I137" s="106" t="n"/>
      <c r="J137" s="107" t="n"/>
      <c r="K137" s="105" t="n"/>
      <c r="L137" s="106" t="n"/>
      <c r="M137" s="106" t="n"/>
      <c r="N137" s="106" t="n"/>
      <c r="O137" s="106" t="n"/>
      <c r="P137" s="105" t="n"/>
      <c r="Q137" s="107" t="n"/>
      <c r="R137" s="105" t="n"/>
      <c r="S137" s="107" t="n"/>
      <c r="T137" s="108">
        <f>IFERROR(L137+M137+N137+O137,0)</f>
        <v/>
      </c>
      <c r="U137" s="108">
        <f>IFERROR(H137+IFERROR(I137,0)+T137+IFERROR(AH137,0),0)</f>
        <v/>
      </c>
      <c r="V137" s="256" t="n"/>
      <c r="W137" s="257" t="n"/>
      <c r="X137" s="256" t="n"/>
      <c r="Y137" s="258" t="n"/>
      <c r="Z137" s="259" t="n"/>
      <c r="AA137" s="259" t="n"/>
      <c r="AB137" s="258" t="n"/>
      <c r="AC137" s="256" t="n"/>
      <c r="AD137" s="256" t="n"/>
      <c r="AE137" s="256" t="n"/>
      <c r="AF137" s="256" t="n"/>
      <c r="AG137" s="256" t="n"/>
      <c r="AH137" s="256">
        <f>IFERROR(IFERROR(V137,0)+IFERROR(AC137,0)+IFERROR(AD137,0)+IFERROR(AE137,0)+IFERROR(AF137,0)+IFERROR(AG137,0),0)</f>
        <v/>
      </c>
    </row>
    <row r="138" ht="15" customHeight="1" s="199">
      <c r="A138" s="104" t="n"/>
      <c r="B138" s="104" t="n"/>
      <c r="C138" s="104" t="n"/>
      <c r="D138" s="105" t="n"/>
      <c r="E138" s="105" t="n"/>
      <c r="F138" s="105" t="n"/>
      <c r="G138" s="106" t="n"/>
      <c r="H138" s="106" t="n"/>
      <c r="I138" s="106" t="n"/>
      <c r="J138" s="107" t="n"/>
      <c r="K138" s="105" t="n"/>
      <c r="L138" s="106" t="n"/>
      <c r="M138" s="106" t="n"/>
      <c r="N138" s="106" t="n"/>
      <c r="O138" s="106" t="n"/>
      <c r="P138" s="105" t="n"/>
      <c r="Q138" s="107" t="n"/>
      <c r="R138" s="105" t="n"/>
      <c r="S138" s="107" t="n"/>
      <c r="T138" s="108">
        <f>IFERROR(L138+M138+N138+O138,0)</f>
        <v/>
      </c>
      <c r="U138" s="108">
        <f>IFERROR(H138+IFERROR(I138,0)+T138+IFERROR(AH138,0),0)</f>
        <v/>
      </c>
      <c r="V138" s="256" t="n"/>
      <c r="W138" s="257" t="n"/>
      <c r="X138" s="256" t="n"/>
      <c r="Y138" s="258" t="n"/>
      <c r="Z138" s="259" t="n"/>
      <c r="AA138" s="259" t="n"/>
      <c r="AB138" s="258" t="n"/>
      <c r="AC138" s="256" t="n"/>
      <c r="AD138" s="256" t="n"/>
      <c r="AE138" s="256" t="n"/>
      <c r="AF138" s="256" t="n"/>
      <c r="AG138" s="256" t="n"/>
      <c r="AH138" s="256">
        <f>IFERROR(IFERROR(V138,0)+IFERROR(AC138,0)+IFERROR(AD138,0)+IFERROR(AE138,0)+IFERROR(AF138,0)+IFERROR(AG138,0),0)</f>
        <v/>
      </c>
    </row>
    <row r="139" ht="15" customHeight="1" s="199">
      <c r="A139" s="104" t="n"/>
      <c r="B139" s="104" t="n"/>
      <c r="C139" s="104" t="n"/>
      <c r="D139" s="105" t="n"/>
      <c r="E139" s="105" t="n"/>
      <c r="F139" s="105" t="n"/>
      <c r="G139" s="106" t="n"/>
      <c r="H139" s="106" t="n"/>
      <c r="I139" s="106" t="n"/>
      <c r="J139" s="107" t="n"/>
      <c r="K139" s="105" t="n"/>
      <c r="L139" s="106" t="n"/>
      <c r="M139" s="106" t="n"/>
      <c r="N139" s="106" t="n"/>
      <c r="O139" s="106" t="n"/>
      <c r="P139" s="105" t="n"/>
      <c r="Q139" s="107" t="n"/>
      <c r="R139" s="105" t="n"/>
      <c r="S139" s="107" t="n"/>
      <c r="T139" s="108">
        <f>IFERROR(L139+M139+N139+O139,0)</f>
        <v/>
      </c>
      <c r="U139" s="108">
        <f>IFERROR(H139+IFERROR(I139,0)+T139+IFERROR(AH139,0),0)</f>
        <v/>
      </c>
      <c r="V139" s="256" t="n"/>
      <c r="W139" s="257" t="n"/>
      <c r="X139" s="256" t="n"/>
      <c r="Y139" s="258" t="n"/>
      <c r="Z139" s="259" t="n"/>
      <c r="AA139" s="259" t="n"/>
      <c r="AB139" s="258" t="n"/>
      <c r="AC139" s="256" t="n"/>
      <c r="AD139" s="256" t="n"/>
      <c r="AE139" s="256" t="n"/>
      <c r="AF139" s="256" t="n"/>
      <c r="AG139" s="256" t="n"/>
      <c r="AH139" s="256">
        <f>IFERROR(IFERROR(V139,0)+IFERROR(AC139,0)+IFERROR(AD139,0)+IFERROR(AE139,0)+IFERROR(AF139,0)+IFERROR(AG139,0),0)</f>
        <v/>
      </c>
    </row>
    <row r="140" ht="15" customHeight="1" s="199">
      <c r="A140" s="104" t="n"/>
      <c r="B140" s="104" t="n"/>
      <c r="C140" s="104" t="n"/>
      <c r="D140" s="105" t="n"/>
      <c r="E140" s="105" t="n"/>
      <c r="F140" s="105" t="n"/>
      <c r="G140" s="106" t="n"/>
      <c r="H140" s="106" t="n"/>
      <c r="I140" s="106" t="n"/>
      <c r="J140" s="107" t="n"/>
      <c r="K140" s="105" t="n"/>
      <c r="L140" s="106" t="n"/>
      <c r="M140" s="106" t="n"/>
      <c r="N140" s="106" t="n"/>
      <c r="O140" s="106" t="n"/>
      <c r="P140" s="105" t="n"/>
      <c r="Q140" s="107" t="n"/>
      <c r="R140" s="105" t="n"/>
      <c r="S140" s="107" t="n"/>
      <c r="T140" s="108">
        <f>IFERROR(L140+M140+N140+O140,0)</f>
        <v/>
      </c>
      <c r="U140" s="108">
        <f>IFERROR(H140+IFERROR(I140,0)+T140+IFERROR(AH140,0),0)</f>
        <v/>
      </c>
      <c r="V140" s="256" t="n"/>
      <c r="W140" s="257" t="n"/>
      <c r="X140" s="256" t="n"/>
      <c r="Y140" s="258" t="n"/>
      <c r="Z140" s="259" t="n"/>
      <c r="AA140" s="259" t="n"/>
      <c r="AB140" s="258" t="n"/>
      <c r="AC140" s="256" t="n"/>
      <c r="AD140" s="256" t="n"/>
      <c r="AE140" s="256" t="n"/>
      <c r="AF140" s="256" t="n"/>
      <c r="AG140" s="256" t="n"/>
      <c r="AH140" s="256">
        <f>IFERROR(IFERROR(V140,0)+IFERROR(AC140,0)+IFERROR(AD140,0)+IFERROR(AE140,0)+IFERROR(AF140,0)+IFERROR(AG140,0),0)</f>
        <v/>
      </c>
    </row>
    <row r="141" ht="15" customHeight="1" s="199">
      <c r="A141" s="104" t="n"/>
      <c r="B141" s="104" t="n"/>
      <c r="C141" s="104" t="n"/>
      <c r="D141" s="105" t="n"/>
      <c r="E141" s="105" t="n"/>
      <c r="F141" s="105" t="n"/>
      <c r="G141" s="106" t="n"/>
      <c r="H141" s="106" t="n"/>
      <c r="I141" s="106" t="n"/>
      <c r="J141" s="107" t="n"/>
      <c r="K141" s="105" t="n"/>
      <c r="L141" s="106" t="n"/>
      <c r="M141" s="106" t="n"/>
      <c r="N141" s="106" t="n"/>
      <c r="O141" s="106" t="n"/>
      <c r="P141" s="105" t="n"/>
      <c r="Q141" s="107" t="n"/>
      <c r="R141" s="105" t="n"/>
      <c r="S141" s="107" t="n"/>
      <c r="T141" s="108">
        <f>IFERROR(L141+M141+N141+O141,0)</f>
        <v/>
      </c>
      <c r="U141" s="108">
        <f>IFERROR(H141+IFERROR(I141,0)+T141+IFERROR(AH141,0),0)</f>
        <v/>
      </c>
      <c r="V141" s="256" t="n"/>
      <c r="W141" s="257" t="n"/>
      <c r="X141" s="256" t="n"/>
      <c r="Y141" s="258" t="n"/>
      <c r="Z141" s="259" t="n"/>
      <c r="AA141" s="259" t="n"/>
      <c r="AB141" s="258" t="n"/>
      <c r="AC141" s="256" t="n"/>
      <c r="AD141" s="256" t="n"/>
      <c r="AE141" s="256" t="n"/>
      <c r="AF141" s="256" t="n"/>
      <c r="AG141" s="256" t="n"/>
      <c r="AH141" s="256">
        <f>IFERROR(IFERROR(V141,0)+IFERROR(AC141,0)+IFERROR(AD141,0)+IFERROR(AE141,0)+IFERROR(AF141,0)+IFERROR(AG141,0),0)</f>
        <v/>
      </c>
    </row>
    <row r="142" ht="15" customHeight="1" s="199">
      <c r="A142" s="104" t="n"/>
      <c r="B142" s="104" t="n"/>
      <c r="C142" s="104" t="n"/>
      <c r="D142" s="105" t="n"/>
      <c r="E142" s="105" t="n"/>
      <c r="F142" s="105" t="n"/>
      <c r="G142" s="106" t="n"/>
      <c r="H142" s="106" t="n"/>
      <c r="I142" s="106" t="n"/>
      <c r="J142" s="107" t="n"/>
      <c r="K142" s="105" t="n"/>
      <c r="L142" s="106" t="n"/>
      <c r="M142" s="106" t="n"/>
      <c r="N142" s="106" t="n"/>
      <c r="O142" s="106" t="n"/>
      <c r="P142" s="105" t="n"/>
      <c r="Q142" s="107" t="n"/>
      <c r="R142" s="105" t="n"/>
      <c r="S142" s="107" t="n"/>
      <c r="T142" s="108">
        <f>IFERROR(L142+M142+N142+O142,0)</f>
        <v/>
      </c>
      <c r="U142" s="108">
        <f>IFERROR(H142+IFERROR(I142,0)+T142+IFERROR(AH142,0),0)</f>
        <v/>
      </c>
      <c r="V142" s="256" t="n"/>
      <c r="W142" s="257" t="n"/>
      <c r="X142" s="256" t="n"/>
      <c r="Y142" s="258" t="n"/>
      <c r="Z142" s="259" t="n"/>
      <c r="AA142" s="259" t="n"/>
      <c r="AB142" s="258" t="n"/>
      <c r="AC142" s="256" t="n"/>
      <c r="AD142" s="256" t="n"/>
      <c r="AE142" s="256" t="n"/>
      <c r="AF142" s="256" t="n"/>
      <c r="AG142" s="256" t="n"/>
      <c r="AH142" s="256">
        <f>IFERROR(IFERROR(V142,0)+IFERROR(AC142,0)+IFERROR(AD142,0)+IFERROR(AE142,0)+IFERROR(AF142,0)+IFERROR(AG142,0),0)</f>
        <v/>
      </c>
    </row>
    <row r="143" ht="15" customHeight="1" s="199">
      <c r="A143" s="104" t="n"/>
      <c r="B143" s="104" t="n"/>
      <c r="C143" s="104" t="n"/>
      <c r="D143" s="105" t="n"/>
      <c r="E143" s="105" t="n"/>
      <c r="F143" s="105" t="n"/>
      <c r="G143" s="106" t="n"/>
      <c r="H143" s="106" t="n"/>
      <c r="I143" s="106" t="n"/>
      <c r="J143" s="107" t="n"/>
      <c r="K143" s="105" t="n"/>
      <c r="L143" s="106" t="n"/>
      <c r="M143" s="106" t="n"/>
      <c r="N143" s="106" t="n"/>
      <c r="O143" s="106" t="n"/>
      <c r="P143" s="105" t="n"/>
      <c r="Q143" s="107" t="n"/>
      <c r="R143" s="105" t="n"/>
      <c r="S143" s="107" t="n"/>
      <c r="T143" s="108">
        <f>IFERROR(L143+M143+N143+O143,0)</f>
        <v/>
      </c>
      <c r="U143" s="108">
        <f>IFERROR(H143+IFERROR(I143,0)+T143+IFERROR(AH143,0),0)</f>
        <v/>
      </c>
      <c r="V143" s="256" t="n"/>
      <c r="W143" s="257" t="n"/>
      <c r="X143" s="256" t="n"/>
      <c r="Y143" s="258" t="n"/>
      <c r="Z143" s="259" t="n"/>
      <c r="AA143" s="259" t="n"/>
      <c r="AB143" s="258" t="n"/>
      <c r="AC143" s="256" t="n"/>
      <c r="AD143" s="256" t="n"/>
      <c r="AE143" s="256" t="n"/>
      <c r="AF143" s="256" t="n"/>
      <c r="AG143" s="256" t="n"/>
      <c r="AH143" s="256">
        <f>IFERROR(IFERROR(V143,0)+IFERROR(AC143,0)+IFERROR(AD143,0)+IFERROR(AE143,0)+IFERROR(AF143,0)+IFERROR(AG143,0),0)</f>
        <v/>
      </c>
    </row>
    <row r="144" ht="15" customHeight="1" s="199">
      <c r="A144" s="104" t="n"/>
      <c r="B144" s="104" t="n"/>
      <c r="C144" s="104" t="n"/>
      <c r="D144" s="105" t="n"/>
      <c r="E144" s="105" t="n"/>
      <c r="F144" s="105" t="n"/>
      <c r="G144" s="106" t="n"/>
      <c r="H144" s="106" t="n"/>
      <c r="I144" s="106" t="n"/>
      <c r="J144" s="107" t="n"/>
      <c r="K144" s="105" t="n"/>
      <c r="L144" s="106" t="n"/>
      <c r="M144" s="106" t="n"/>
      <c r="N144" s="106" t="n"/>
      <c r="O144" s="106" t="n"/>
      <c r="P144" s="105" t="n"/>
      <c r="Q144" s="107" t="n"/>
      <c r="R144" s="105" t="n"/>
      <c r="S144" s="107" t="n"/>
      <c r="T144" s="108">
        <f>IFERROR(L144+M144+N144+O144,0)</f>
        <v/>
      </c>
      <c r="U144" s="108">
        <f>IFERROR(H144+IFERROR(I144,0)+T144+IFERROR(AH144,0),0)</f>
        <v/>
      </c>
      <c r="V144" s="256" t="n"/>
      <c r="W144" s="257" t="n"/>
      <c r="X144" s="256" t="n"/>
      <c r="Y144" s="258" t="n"/>
      <c r="Z144" s="259" t="n"/>
      <c r="AA144" s="259" t="n"/>
      <c r="AB144" s="258" t="n"/>
      <c r="AC144" s="256" t="n"/>
      <c r="AD144" s="256" t="n"/>
      <c r="AE144" s="256" t="n"/>
      <c r="AF144" s="256" t="n"/>
      <c r="AG144" s="256" t="n"/>
      <c r="AH144" s="256">
        <f>IFERROR(IFERROR(V144,0)+IFERROR(AC144,0)+IFERROR(AD144,0)+IFERROR(AE144,0)+IFERROR(AF144,0)+IFERROR(AG144,0),0)</f>
        <v/>
      </c>
    </row>
    <row r="145" ht="15" customHeight="1" s="199">
      <c r="A145" s="104" t="n"/>
      <c r="B145" s="104" t="n"/>
      <c r="C145" s="104" t="n"/>
      <c r="D145" s="105" t="n"/>
      <c r="E145" s="105" t="n"/>
      <c r="F145" s="105" t="n"/>
      <c r="G145" s="106" t="n"/>
      <c r="H145" s="106" t="n"/>
      <c r="I145" s="106" t="n"/>
      <c r="J145" s="107" t="n"/>
      <c r="K145" s="105" t="n"/>
      <c r="L145" s="106" t="n"/>
      <c r="M145" s="106" t="n"/>
      <c r="N145" s="106" t="n"/>
      <c r="O145" s="106" t="n"/>
      <c r="P145" s="105" t="n"/>
      <c r="Q145" s="107" t="n"/>
      <c r="R145" s="105" t="n"/>
      <c r="S145" s="107" t="n"/>
      <c r="T145" s="108">
        <f>IFERROR(L145+M145+N145+O145,0)</f>
        <v/>
      </c>
      <c r="U145" s="108">
        <f>IFERROR(H145+IFERROR(I145,0)+T145+IFERROR(AH145,0),0)</f>
        <v/>
      </c>
      <c r="V145" s="256" t="n"/>
      <c r="W145" s="257" t="n"/>
      <c r="X145" s="256" t="n"/>
      <c r="Y145" s="258" t="n"/>
      <c r="Z145" s="259" t="n"/>
      <c r="AA145" s="259" t="n"/>
      <c r="AB145" s="258" t="n"/>
      <c r="AC145" s="256" t="n"/>
      <c r="AD145" s="256" t="n"/>
      <c r="AE145" s="256" t="n"/>
      <c r="AF145" s="256" t="n"/>
      <c r="AG145" s="256" t="n"/>
      <c r="AH145" s="256">
        <f>IFERROR(IFERROR(V145,0)+IFERROR(AC145,0)+IFERROR(AD145,0)+IFERROR(AE145,0)+IFERROR(AF145,0)+IFERROR(AG145,0),0)</f>
        <v/>
      </c>
    </row>
    <row r="146" ht="15" customHeight="1" s="199">
      <c r="A146" s="104" t="n"/>
      <c r="B146" s="104" t="n"/>
      <c r="C146" s="104" t="n"/>
      <c r="D146" s="105" t="n"/>
      <c r="E146" s="105" t="n"/>
      <c r="F146" s="105" t="n"/>
      <c r="G146" s="106" t="n"/>
      <c r="H146" s="106" t="n"/>
      <c r="I146" s="106" t="n"/>
      <c r="J146" s="107" t="n"/>
      <c r="K146" s="105" t="n"/>
      <c r="L146" s="106" t="n"/>
      <c r="M146" s="106" t="n"/>
      <c r="N146" s="106" t="n"/>
      <c r="O146" s="106" t="n"/>
      <c r="P146" s="105" t="n"/>
      <c r="Q146" s="107" t="n"/>
      <c r="R146" s="105" t="n"/>
      <c r="S146" s="107" t="n"/>
      <c r="T146" s="108">
        <f>IFERROR(L146+M146+N146+O146,0)</f>
        <v/>
      </c>
      <c r="U146" s="108">
        <f>IFERROR(H146+IFERROR(I146,0)+T146+IFERROR(AH146,0),0)</f>
        <v/>
      </c>
      <c r="V146" s="256" t="n"/>
      <c r="W146" s="257" t="n"/>
      <c r="X146" s="256" t="n"/>
      <c r="Y146" s="258" t="n"/>
      <c r="Z146" s="259" t="n"/>
      <c r="AA146" s="259" t="n"/>
      <c r="AB146" s="258" t="n"/>
      <c r="AC146" s="256" t="n"/>
      <c r="AD146" s="256" t="n"/>
      <c r="AE146" s="256" t="n"/>
      <c r="AF146" s="256" t="n"/>
      <c r="AG146" s="256" t="n"/>
      <c r="AH146" s="256">
        <f>IFERROR(IFERROR(V146,0)+IFERROR(AC146,0)+IFERROR(AD146,0)+IFERROR(AE146,0)+IFERROR(AF146,0)+IFERROR(AG146,0),0)</f>
        <v/>
      </c>
    </row>
    <row r="147" ht="15" customHeight="1" s="199">
      <c r="A147" s="104" t="n"/>
      <c r="B147" s="104" t="n"/>
      <c r="C147" s="104" t="n"/>
      <c r="D147" s="105" t="n"/>
      <c r="E147" s="105" t="n"/>
      <c r="F147" s="105" t="n"/>
      <c r="G147" s="106" t="n"/>
      <c r="H147" s="106" t="n"/>
      <c r="I147" s="106" t="n"/>
      <c r="J147" s="107" t="n"/>
      <c r="K147" s="105" t="n"/>
      <c r="L147" s="106" t="n"/>
      <c r="M147" s="106" t="n"/>
      <c r="N147" s="106" t="n"/>
      <c r="O147" s="106" t="n"/>
      <c r="P147" s="105" t="n"/>
      <c r="Q147" s="107" t="n"/>
      <c r="R147" s="105" t="n"/>
      <c r="S147" s="107" t="n"/>
      <c r="T147" s="108">
        <f>IFERROR(L147+M147+N147+O147,0)</f>
        <v/>
      </c>
      <c r="U147" s="108">
        <f>IFERROR(H147+IFERROR(I147,0)+T147+IFERROR(AH147,0),0)</f>
        <v/>
      </c>
      <c r="V147" s="256" t="n"/>
      <c r="W147" s="257" t="n"/>
      <c r="X147" s="256" t="n"/>
      <c r="Y147" s="258" t="n"/>
      <c r="Z147" s="259" t="n"/>
      <c r="AA147" s="259" t="n"/>
      <c r="AB147" s="258" t="n"/>
      <c r="AC147" s="256" t="n"/>
      <c r="AD147" s="256" t="n"/>
      <c r="AE147" s="256" t="n"/>
      <c r="AF147" s="256" t="n"/>
      <c r="AG147" s="256" t="n"/>
      <c r="AH147" s="256">
        <f>IFERROR(IFERROR(V147,0)+IFERROR(AC147,0)+IFERROR(AD147,0)+IFERROR(AE147,0)+IFERROR(AF147,0)+IFERROR(AG147,0),0)</f>
        <v/>
      </c>
    </row>
    <row r="148" ht="15" customHeight="1" s="199">
      <c r="A148" s="104" t="n"/>
      <c r="B148" s="104" t="n"/>
      <c r="C148" s="104" t="n"/>
      <c r="D148" s="105" t="n"/>
      <c r="E148" s="105" t="n"/>
      <c r="F148" s="105" t="n"/>
      <c r="G148" s="106" t="n"/>
      <c r="H148" s="106" t="n"/>
      <c r="I148" s="106" t="n"/>
      <c r="J148" s="107" t="n"/>
      <c r="K148" s="105" t="n"/>
      <c r="L148" s="106" t="n"/>
      <c r="M148" s="106" t="n"/>
      <c r="N148" s="106" t="n"/>
      <c r="O148" s="106" t="n"/>
      <c r="P148" s="105" t="n"/>
      <c r="Q148" s="107" t="n"/>
      <c r="R148" s="105" t="n"/>
      <c r="S148" s="107" t="n"/>
      <c r="T148" s="108">
        <f>IFERROR(L148+M148+N148+O148,0)</f>
        <v/>
      </c>
      <c r="U148" s="108">
        <f>IFERROR(H148+IFERROR(I148,0)+T148+IFERROR(AH148,0),0)</f>
        <v/>
      </c>
      <c r="V148" s="256" t="n"/>
      <c r="W148" s="257" t="n"/>
      <c r="X148" s="256" t="n"/>
      <c r="Y148" s="258" t="n"/>
      <c r="Z148" s="259" t="n"/>
      <c r="AA148" s="259" t="n"/>
      <c r="AB148" s="258" t="n"/>
      <c r="AC148" s="256" t="n"/>
      <c r="AD148" s="256" t="n"/>
      <c r="AE148" s="256" t="n"/>
      <c r="AF148" s="256" t="n"/>
      <c r="AG148" s="256" t="n"/>
      <c r="AH148" s="256">
        <f>IFERROR(IFERROR(V148,0)+IFERROR(AC148,0)+IFERROR(AD148,0)+IFERROR(AE148,0)+IFERROR(AF148,0)+IFERROR(AG148,0),0)</f>
        <v/>
      </c>
    </row>
    <row r="149" ht="15" customHeight="1" s="199">
      <c r="A149" s="104" t="n"/>
      <c r="B149" s="104" t="n"/>
      <c r="C149" s="104" t="n"/>
      <c r="D149" s="105" t="n"/>
      <c r="E149" s="105" t="n"/>
      <c r="F149" s="105" t="n"/>
      <c r="G149" s="106" t="n"/>
      <c r="H149" s="106" t="n"/>
      <c r="I149" s="106" t="n"/>
      <c r="J149" s="107" t="n"/>
      <c r="K149" s="105" t="n"/>
      <c r="L149" s="106" t="n"/>
      <c r="M149" s="106" t="n"/>
      <c r="N149" s="106" t="n"/>
      <c r="O149" s="106" t="n"/>
      <c r="P149" s="105" t="n"/>
      <c r="Q149" s="107" t="n"/>
      <c r="R149" s="105" t="n"/>
      <c r="S149" s="107" t="n"/>
      <c r="T149" s="108">
        <f>IFERROR(L149+M149+N149+O149,0)</f>
        <v/>
      </c>
      <c r="U149" s="108">
        <f>IFERROR(H149+IFERROR(I149,0)+T149+IFERROR(AH149,0),0)</f>
        <v/>
      </c>
      <c r="V149" s="256" t="n"/>
      <c r="W149" s="257" t="n"/>
      <c r="X149" s="256" t="n"/>
      <c r="Y149" s="258" t="n"/>
      <c r="Z149" s="259" t="n"/>
      <c r="AA149" s="259" t="n"/>
      <c r="AB149" s="258" t="n"/>
      <c r="AC149" s="256" t="n"/>
      <c r="AD149" s="256" t="n"/>
      <c r="AE149" s="256" t="n"/>
      <c r="AF149" s="256" t="n"/>
      <c r="AG149" s="256" t="n"/>
      <c r="AH149" s="256">
        <f>IFERROR(IFERROR(V149,0)+IFERROR(AC149,0)+IFERROR(AD149,0)+IFERROR(AE149,0)+IFERROR(AF149,0)+IFERROR(AG149,0),0)</f>
        <v/>
      </c>
    </row>
    <row r="150" ht="15" customHeight="1" s="199">
      <c r="A150" s="104" t="n"/>
      <c r="B150" s="104" t="n"/>
      <c r="C150" s="104" t="n"/>
      <c r="D150" s="105" t="n"/>
      <c r="E150" s="105" t="n"/>
      <c r="F150" s="105" t="n"/>
      <c r="G150" s="106" t="n"/>
      <c r="H150" s="106" t="n"/>
      <c r="I150" s="106" t="n"/>
      <c r="J150" s="107" t="n"/>
      <c r="K150" s="105" t="n"/>
      <c r="L150" s="106" t="n"/>
      <c r="M150" s="106" t="n"/>
      <c r="N150" s="106" t="n"/>
      <c r="O150" s="106" t="n"/>
      <c r="P150" s="105" t="n"/>
      <c r="Q150" s="107" t="n"/>
      <c r="R150" s="105" t="n"/>
      <c r="S150" s="107" t="n"/>
      <c r="T150" s="108">
        <f>IFERROR(L150+M150+N150+O150,0)</f>
        <v/>
      </c>
      <c r="U150" s="108">
        <f>IFERROR(H150+IFERROR(I150,0)+T150+IFERROR(AH150,0),0)</f>
        <v/>
      </c>
      <c r="V150" s="256" t="n"/>
      <c r="W150" s="257" t="n"/>
      <c r="X150" s="256" t="n"/>
      <c r="Y150" s="258" t="n"/>
      <c r="Z150" s="259" t="n"/>
      <c r="AA150" s="259" t="n"/>
      <c r="AB150" s="258" t="n"/>
      <c r="AC150" s="256" t="n"/>
      <c r="AD150" s="256" t="n"/>
      <c r="AE150" s="256" t="n"/>
      <c r="AF150" s="256" t="n"/>
      <c r="AG150" s="256" t="n"/>
      <c r="AH150" s="256">
        <f>IFERROR(IFERROR(V150,0)+IFERROR(AC150,0)+IFERROR(AD150,0)+IFERROR(AE150,0)+IFERROR(AF150,0)+IFERROR(AG150,0),0)</f>
        <v/>
      </c>
    </row>
    <row r="151" ht="15" customHeight="1" s="199">
      <c r="A151" s="104" t="n"/>
      <c r="B151" s="104" t="n"/>
      <c r="C151" s="104" t="n"/>
      <c r="D151" s="105" t="n"/>
      <c r="E151" s="105" t="n"/>
      <c r="F151" s="105" t="n"/>
      <c r="G151" s="106" t="n"/>
      <c r="H151" s="106" t="n"/>
      <c r="I151" s="106" t="n"/>
      <c r="J151" s="107" t="n"/>
      <c r="K151" s="105" t="n"/>
      <c r="L151" s="106" t="n"/>
      <c r="M151" s="106" t="n"/>
      <c r="N151" s="106" t="n"/>
      <c r="O151" s="106" t="n"/>
      <c r="P151" s="105" t="n"/>
      <c r="Q151" s="107" t="n"/>
      <c r="R151" s="105" t="n"/>
      <c r="S151" s="107" t="n"/>
      <c r="T151" s="108">
        <f>IFERROR(L151+M151+N151+O151,0)</f>
        <v/>
      </c>
      <c r="U151" s="108">
        <f>IFERROR(H151+IFERROR(I151,0)+T151+IFERROR(AH151,0),0)</f>
        <v/>
      </c>
      <c r="V151" s="256" t="n"/>
      <c r="W151" s="257" t="n"/>
      <c r="X151" s="256" t="n"/>
      <c r="Y151" s="258" t="n"/>
      <c r="Z151" s="259" t="n"/>
      <c r="AA151" s="259" t="n"/>
      <c r="AB151" s="258" t="n"/>
      <c r="AC151" s="256" t="n"/>
      <c r="AD151" s="256" t="n"/>
      <c r="AE151" s="256" t="n"/>
      <c r="AF151" s="256" t="n"/>
      <c r="AG151" s="256" t="n"/>
      <c r="AH151" s="256">
        <f>IFERROR(IFERROR(V151,0)+IFERROR(AC151,0)+IFERROR(AD151,0)+IFERROR(AE151,0)+IFERROR(AF151,0)+IFERROR(AG151,0),0)</f>
        <v/>
      </c>
    </row>
    <row r="152" ht="15" customHeight="1" s="199">
      <c r="A152" s="104" t="n"/>
      <c r="B152" s="104" t="n"/>
      <c r="C152" s="104" t="n"/>
      <c r="D152" s="105" t="n"/>
      <c r="E152" s="105" t="n"/>
      <c r="F152" s="105" t="n"/>
      <c r="G152" s="106" t="n"/>
      <c r="H152" s="106" t="n"/>
      <c r="I152" s="106" t="n"/>
      <c r="J152" s="107" t="n"/>
      <c r="K152" s="105" t="n"/>
      <c r="L152" s="106" t="n"/>
      <c r="M152" s="106" t="n"/>
      <c r="N152" s="106" t="n"/>
      <c r="O152" s="106" t="n"/>
      <c r="P152" s="105" t="n"/>
      <c r="Q152" s="107" t="n"/>
      <c r="R152" s="105" t="n"/>
      <c r="S152" s="107" t="n"/>
      <c r="T152" s="108">
        <f>IFERROR(L152+M152+N152+O152,0)</f>
        <v/>
      </c>
      <c r="U152" s="108">
        <f>IFERROR(H152+IFERROR(I152,0)+T152+IFERROR(AH152,0),0)</f>
        <v/>
      </c>
      <c r="V152" s="256" t="n"/>
      <c r="W152" s="257" t="n"/>
      <c r="X152" s="256" t="n"/>
      <c r="Y152" s="258" t="n"/>
      <c r="Z152" s="259" t="n"/>
      <c r="AA152" s="259" t="n"/>
      <c r="AB152" s="258" t="n"/>
      <c r="AC152" s="256" t="n"/>
      <c r="AD152" s="256" t="n"/>
      <c r="AE152" s="256" t="n"/>
      <c r="AF152" s="256" t="n"/>
      <c r="AG152" s="256" t="n"/>
      <c r="AH152" s="256">
        <f>IFERROR(IFERROR(V152,0)+IFERROR(AC152,0)+IFERROR(AD152,0)+IFERROR(AE152,0)+IFERROR(AF152,0)+IFERROR(AG152,0),0)</f>
        <v/>
      </c>
    </row>
    <row r="153" ht="15" customHeight="1" s="199">
      <c r="A153" s="104" t="n"/>
      <c r="B153" s="104" t="n"/>
      <c r="C153" s="104" t="n"/>
      <c r="D153" s="105" t="n"/>
      <c r="E153" s="105" t="n"/>
      <c r="F153" s="105" t="n"/>
      <c r="G153" s="106" t="n"/>
      <c r="H153" s="106" t="n"/>
      <c r="I153" s="106" t="n"/>
      <c r="J153" s="107" t="n"/>
      <c r="K153" s="105" t="n"/>
      <c r="L153" s="106" t="n"/>
      <c r="M153" s="106" t="n"/>
      <c r="N153" s="106" t="n"/>
      <c r="O153" s="106" t="n"/>
      <c r="P153" s="105" t="n"/>
      <c r="Q153" s="107" t="n"/>
      <c r="R153" s="105" t="n"/>
      <c r="S153" s="107" t="n"/>
      <c r="T153" s="108">
        <f>IFERROR(L153+M153+N153+O153,0)</f>
        <v/>
      </c>
      <c r="U153" s="108">
        <f>IFERROR(H153+IFERROR(I153,0)+T153+IFERROR(AH153,0),0)</f>
        <v/>
      </c>
      <c r="V153" s="256" t="n"/>
      <c r="W153" s="257" t="n"/>
      <c r="X153" s="256" t="n"/>
      <c r="Y153" s="258" t="n"/>
      <c r="Z153" s="259" t="n"/>
      <c r="AA153" s="259" t="n"/>
      <c r="AB153" s="258" t="n"/>
      <c r="AC153" s="256" t="n"/>
      <c r="AD153" s="256" t="n"/>
      <c r="AE153" s="256" t="n"/>
      <c r="AF153" s="256" t="n"/>
      <c r="AG153" s="256" t="n"/>
      <c r="AH153" s="256">
        <f>IFERROR(IFERROR(V153,0)+IFERROR(AC153,0)+IFERROR(AD153,0)+IFERROR(AE153,0)+IFERROR(AF153,0)+IFERROR(AG153,0),0)</f>
        <v/>
      </c>
    </row>
    <row r="154" ht="15" customHeight="1" s="199">
      <c r="A154" s="104" t="n"/>
      <c r="B154" s="104" t="n"/>
      <c r="C154" s="104" t="n"/>
      <c r="D154" s="105" t="n"/>
      <c r="E154" s="105" t="n"/>
      <c r="F154" s="105" t="n"/>
      <c r="G154" s="106" t="n"/>
      <c r="H154" s="106" t="n"/>
      <c r="I154" s="106" t="n"/>
      <c r="J154" s="107" t="n"/>
      <c r="K154" s="105" t="n"/>
      <c r="L154" s="106" t="n"/>
      <c r="M154" s="106" t="n"/>
      <c r="N154" s="106" t="n"/>
      <c r="O154" s="106" t="n"/>
      <c r="P154" s="105" t="n"/>
      <c r="Q154" s="107" t="n"/>
      <c r="R154" s="105" t="n"/>
      <c r="S154" s="107" t="n"/>
      <c r="T154" s="108">
        <f>IFERROR(L154+M154+N154+O154,0)</f>
        <v/>
      </c>
      <c r="U154" s="108">
        <f>IFERROR(H154+IFERROR(I154,0)+T154+IFERROR(AH154,0),0)</f>
        <v/>
      </c>
      <c r="V154" s="256" t="n"/>
      <c r="W154" s="257" t="n"/>
      <c r="X154" s="256" t="n"/>
      <c r="Y154" s="258" t="n"/>
      <c r="Z154" s="259" t="n"/>
      <c r="AA154" s="259" t="n"/>
      <c r="AB154" s="258" t="n"/>
      <c r="AC154" s="256" t="n"/>
      <c r="AD154" s="256" t="n"/>
      <c r="AE154" s="256" t="n"/>
      <c r="AF154" s="256" t="n"/>
      <c r="AG154" s="256" t="n"/>
      <c r="AH154" s="256">
        <f>IFERROR(IFERROR(V154,0)+IFERROR(AC154,0)+IFERROR(AD154,0)+IFERROR(AE154,0)+IFERROR(AF154,0)+IFERROR(AG154,0),0)</f>
        <v/>
      </c>
    </row>
    <row r="155" ht="15" customHeight="1" s="199">
      <c r="A155" s="104" t="n"/>
      <c r="B155" s="104" t="n"/>
      <c r="C155" s="104" t="n"/>
      <c r="D155" s="105" t="n"/>
      <c r="E155" s="105" t="n"/>
      <c r="F155" s="105" t="n"/>
      <c r="G155" s="106" t="n"/>
      <c r="H155" s="106" t="n"/>
      <c r="I155" s="106" t="n"/>
      <c r="J155" s="107" t="n"/>
      <c r="K155" s="105" t="n"/>
      <c r="L155" s="106" t="n"/>
      <c r="M155" s="106" t="n"/>
      <c r="N155" s="106" t="n"/>
      <c r="O155" s="106" t="n"/>
      <c r="P155" s="105" t="n"/>
      <c r="Q155" s="107" t="n"/>
      <c r="R155" s="105" t="n"/>
      <c r="S155" s="107" t="n"/>
      <c r="T155" s="108">
        <f>IFERROR(L155+M155+N155+O155,0)</f>
        <v/>
      </c>
      <c r="U155" s="108">
        <f>IFERROR(H155+IFERROR(I155,0)+T155+IFERROR(AH155,0),0)</f>
        <v/>
      </c>
      <c r="V155" s="256" t="n"/>
      <c r="W155" s="257" t="n"/>
      <c r="X155" s="256" t="n"/>
      <c r="Y155" s="258" t="n"/>
      <c r="Z155" s="259" t="n"/>
      <c r="AA155" s="259" t="n"/>
      <c r="AB155" s="258" t="n"/>
      <c r="AC155" s="256" t="n"/>
      <c r="AD155" s="256" t="n"/>
      <c r="AE155" s="256" t="n"/>
      <c r="AF155" s="256" t="n"/>
      <c r="AG155" s="256" t="n"/>
      <c r="AH155" s="256">
        <f>IFERROR(IFERROR(V155,0)+IFERROR(AC155,0)+IFERROR(AD155,0)+IFERROR(AE155,0)+IFERROR(AF155,0)+IFERROR(AG155,0),0)</f>
        <v/>
      </c>
    </row>
    <row r="156" ht="15" customHeight="1" s="199">
      <c r="A156" s="104" t="n"/>
      <c r="B156" s="104" t="n"/>
      <c r="C156" s="104" t="n"/>
      <c r="D156" s="105" t="n"/>
      <c r="E156" s="105" t="n"/>
      <c r="F156" s="105" t="n"/>
      <c r="G156" s="106" t="n"/>
      <c r="H156" s="106" t="n"/>
      <c r="I156" s="106" t="n"/>
      <c r="J156" s="107" t="n"/>
      <c r="K156" s="105" t="n"/>
      <c r="L156" s="106" t="n"/>
      <c r="M156" s="106" t="n"/>
      <c r="N156" s="106" t="n"/>
      <c r="O156" s="106" t="n"/>
      <c r="P156" s="105" t="n"/>
      <c r="Q156" s="107" t="n"/>
      <c r="R156" s="105" t="n"/>
      <c r="S156" s="107" t="n"/>
      <c r="T156" s="108">
        <f>IFERROR(L156+M156+N156+O156,0)</f>
        <v/>
      </c>
      <c r="U156" s="108">
        <f>IFERROR(H156+IFERROR(I156,0)+T156+IFERROR(AH156,0),0)</f>
        <v/>
      </c>
      <c r="V156" s="256" t="n"/>
      <c r="W156" s="257" t="n"/>
      <c r="X156" s="256" t="n"/>
      <c r="Y156" s="258" t="n"/>
      <c r="Z156" s="259" t="n"/>
      <c r="AA156" s="259" t="n"/>
      <c r="AB156" s="258" t="n"/>
      <c r="AC156" s="256" t="n"/>
      <c r="AD156" s="256" t="n"/>
      <c r="AE156" s="256" t="n"/>
      <c r="AF156" s="256" t="n"/>
      <c r="AG156" s="256" t="n"/>
      <c r="AH156" s="256">
        <f>IFERROR(IFERROR(V156,0)+IFERROR(AC156,0)+IFERROR(AD156,0)+IFERROR(AE156,0)+IFERROR(AF156,0)+IFERROR(AG156,0),0)</f>
        <v/>
      </c>
    </row>
    <row r="157" ht="15" customHeight="1" s="199">
      <c r="A157" s="104" t="n"/>
      <c r="B157" s="104" t="n"/>
      <c r="C157" s="104" t="n"/>
      <c r="D157" s="105" t="n"/>
      <c r="E157" s="105" t="n"/>
      <c r="F157" s="105" t="n"/>
      <c r="G157" s="106" t="n"/>
      <c r="H157" s="106" t="n"/>
      <c r="I157" s="106" t="n"/>
      <c r="J157" s="107" t="n"/>
      <c r="K157" s="105" t="n"/>
      <c r="L157" s="106" t="n"/>
      <c r="M157" s="106" t="n"/>
      <c r="N157" s="106" t="n"/>
      <c r="O157" s="106" t="n"/>
      <c r="P157" s="105" t="n"/>
      <c r="Q157" s="107" t="n"/>
      <c r="R157" s="105" t="n"/>
      <c r="S157" s="107" t="n"/>
      <c r="T157" s="108">
        <f>IFERROR(L157+M157+N157+O157,0)</f>
        <v/>
      </c>
      <c r="U157" s="108">
        <f>IFERROR(H157+IFERROR(I157,0)+T157+IFERROR(AH157,0),0)</f>
        <v/>
      </c>
      <c r="V157" s="256" t="n"/>
      <c r="W157" s="257" t="n"/>
      <c r="X157" s="256" t="n"/>
      <c r="Y157" s="258" t="n"/>
      <c r="Z157" s="259" t="n"/>
      <c r="AA157" s="259" t="n"/>
      <c r="AB157" s="258" t="n"/>
      <c r="AC157" s="256" t="n"/>
      <c r="AD157" s="256" t="n"/>
      <c r="AE157" s="256" t="n"/>
      <c r="AF157" s="256" t="n"/>
      <c r="AG157" s="256" t="n"/>
      <c r="AH157" s="256">
        <f>IFERROR(IFERROR(V157,0)+IFERROR(AC157,0)+IFERROR(AD157,0)+IFERROR(AE157,0)+IFERROR(AF157,0)+IFERROR(AG157,0),0)</f>
        <v/>
      </c>
    </row>
    <row r="158" ht="15" customHeight="1" s="199">
      <c r="A158" s="104" t="n"/>
      <c r="B158" s="104" t="n"/>
      <c r="C158" s="104" t="n"/>
      <c r="D158" s="105" t="n"/>
      <c r="E158" s="105" t="n"/>
      <c r="F158" s="105" t="n"/>
      <c r="G158" s="106" t="n"/>
      <c r="H158" s="106" t="n"/>
      <c r="I158" s="106" t="n"/>
      <c r="J158" s="107" t="n"/>
      <c r="K158" s="105" t="n"/>
      <c r="L158" s="106" t="n"/>
      <c r="M158" s="106" t="n"/>
      <c r="N158" s="106" t="n"/>
      <c r="O158" s="106" t="n"/>
      <c r="P158" s="105" t="n"/>
      <c r="Q158" s="107" t="n"/>
      <c r="R158" s="105" t="n"/>
      <c r="S158" s="107" t="n"/>
      <c r="T158" s="108">
        <f>IFERROR(L158+M158+N158+O158,0)</f>
        <v/>
      </c>
      <c r="U158" s="108">
        <f>IFERROR(H158+IFERROR(I158,0)+T158+IFERROR(AH158,0),0)</f>
        <v/>
      </c>
      <c r="V158" s="256" t="n"/>
      <c r="W158" s="257" t="n"/>
      <c r="X158" s="256" t="n"/>
      <c r="Y158" s="258" t="n"/>
      <c r="Z158" s="259" t="n"/>
      <c r="AA158" s="259" t="n"/>
      <c r="AB158" s="258" t="n"/>
      <c r="AC158" s="256" t="n"/>
      <c r="AD158" s="256" t="n"/>
      <c r="AE158" s="256" t="n"/>
      <c r="AF158" s="256" t="n"/>
      <c r="AG158" s="256" t="n"/>
      <c r="AH158" s="256">
        <f>IFERROR(IFERROR(V158,0)+IFERROR(AC158,0)+IFERROR(AD158,0)+IFERROR(AE158,0)+IFERROR(AF158,0)+IFERROR(AG158,0),0)</f>
        <v/>
      </c>
    </row>
    <row r="159" ht="15" customHeight="1" s="199">
      <c r="A159" s="104" t="n"/>
      <c r="B159" s="104" t="n"/>
      <c r="C159" s="104" t="n"/>
      <c r="D159" s="105" t="n"/>
      <c r="E159" s="105" t="n"/>
      <c r="F159" s="105" t="n"/>
      <c r="G159" s="106" t="n"/>
      <c r="H159" s="106" t="n"/>
      <c r="I159" s="106" t="n"/>
      <c r="J159" s="107" t="n"/>
      <c r="K159" s="105" t="n"/>
      <c r="L159" s="106" t="n"/>
      <c r="M159" s="106" t="n"/>
      <c r="N159" s="106" t="n"/>
      <c r="O159" s="106" t="n"/>
      <c r="P159" s="105" t="n"/>
      <c r="Q159" s="107" t="n"/>
      <c r="R159" s="105" t="n"/>
      <c r="S159" s="107" t="n"/>
      <c r="T159" s="108">
        <f>IFERROR(L159+M159+N159+O159,0)</f>
        <v/>
      </c>
      <c r="U159" s="108">
        <f>IFERROR(H159+IFERROR(I159,0)+T159+IFERROR(AH159,0),0)</f>
        <v/>
      </c>
      <c r="V159" s="256" t="n"/>
      <c r="W159" s="257" t="n"/>
      <c r="X159" s="256" t="n"/>
      <c r="Y159" s="258" t="n"/>
      <c r="Z159" s="259" t="n"/>
      <c r="AA159" s="259" t="n"/>
      <c r="AB159" s="258" t="n"/>
      <c r="AC159" s="256" t="n"/>
      <c r="AD159" s="256" t="n"/>
      <c r="AE159" s="256" t="n"/>
      <c r="AF159" s="256" t="n"/>
      <c r="AG159" s="256" t="n"/>
      <c r="AH159" s="256">
        <f>IFERROR(IFERROR(V159,0)+IFERROR(AC159,0)+IFERROR(AD159,0)+IFERROR(AE159,0)+IFERROR(AF159,0)+IFERROR(AG159,0),0)</f>
        <v/>
      </c>
    </row>
    <row r="160" ht="15" customHeight="1" s="199">
      <c r="A160" s="104" t="n"/>
      <c r="B160" s="104" t="n"/>
      <c r="C160" s="104" t="n"/>
      <c r="D160" s="105" t="n"/>
      <c r="E160" s="105" t="n"/>
      <c r="F160" s="105" t="n"/>
      <c r="G160" s="106" t="n"/>
      <c r="H160" s="106" t="n"/>
      <c r="I160" s="106" t="n"/>
      <c r="J160" s="107" t="n"/>
      <c r="K160" s="105" t="n"/>
      <c r="L160" s="106" t="n"/>
      <c r="M160" s="106" t="n"/>
      <c r="N160" s="106" t="n"/>
      <c r="O160" s="106" t="n"/>
      <c r="P160" s="105" t="n"/>
      <c r="Q160" s="107" t="n"/>
      <c r="R160" s="105" t="n"/>
      <c r="S160" s="107" t="n"/>
      <c r="T160" s="108">
        <f>IFERROR(L160+M160+N160+O160,0)</f>
        <v/>
      </c>
      <c r="U160" s="108">
        <f>IFERROR(H160+IFERROR(I160,0)+T160+IFERROR(AH160,0),0)</f>
        <v/>
      </c>
      <c r="V160" s="256" t="n"/>
      <c r="W160" s="257" t="n"/>
      <c r="X160" s="256" t="n"/>
      <c r="Y160" s="258" t="n"/>
      <c r="Z160" s="259" t="n"/>
      <c r="AA160" s="259" t="n"/>
      <c r="AB160" s="258" t="n"/>
      <c r="AC160" s="256" t="n"/>
      <c r="AD160" s="256" t="n"/>
      <c r="AE160" s="256" t="n"/>
      <c r="AF160" s="256" t="n"/>
      <c r="AG160" s="256" t="n"/>
      <c r="AH160" s="256">
        <f>IFERROR(IFERROR(V160,0)+IFERROR(AC160,0)+IFERROR(AD160,0)+IFERROR(AE160,0)+IFERROR(AF160,0)+IFERROR(AG160,0),0)</f>
        <v/>
      </c>
    </row>
    <row r="161" ht="15" customHeight="1" s="199">
      <c r="A161" s="104" t="n"/>
      <c r="B161" s="104" t="n"/>
      <c r="C161" s="104" t="n"/>
      <c r="D161" s="105" t="n"/>
      <c r="E161" s="105" t="n"/>
      <c r="F161" s="105" t="n"/>
      <c r="G161" s="106" t="n"/>
      <c r="H161" s="106" t="n"/>
      <c r="I161" s="106" t="n"/>
      <c r="J161" s="107" t="n"/>
      <c r="K161" s="105" t="n"/>
      <c r="L161" s="106" t="n"/>
      <c r="M161" s="106" t="n"/>
      <c r="N161" s="106" t="n"/>
      <c r="O161" s="106" t="n"/>
      <c r="P161" s="105" t="n"/>
      <c r="Q161" s="107" t="n"/>
      <c r="R161" s="105" t="n"/>
      <c r="S161" s="107" t="n"/>
      <c r="T161" s="108">
        <f>IFERROR(L161+M161+N161+O161,0)</f>
        <v/>
      </c>
      <c r="U161" s="108">
        <f>IFERROR(H161+IFERROR(I161,0)+T161+IFERROR(AH161,0),0)</f>
        <v/>
      </c>
      <c r="V161" s="256" t="n"/>
      <c r="W161" s="257" t="n"/>
      <c r="X161" s="256" t="n"/>
      <c r="Y161" s="258" t="n"/>
      <c r="Z161" s="259" t="n"/>
      <c r="AA161" s="259" t="n"/>
      <c r="AB161" s="258" t="n"/>
      <c r="AC161" s="256" t="n"/>
      <c r="AD161" s="256" t="n"/>
      <c r="AE161" s="256" t="n"/>
      <c r="AF161" s="256" t="n"/>
      <c r="AG161" s="256" t="n"/>
      <c r="AH161" s="256">
        <f>IFERROR(IFERROR(V161,0)+IFERROR(AC161,0)+IFERROR(AD161,0)+IFERROR(AE161,0)+IFERROR(AF161,0)+IFERROR(AG161,0),0)</f>
        <v/>
      </c>
    </row>
    <row r="162" ht="15" customHeight="1" s="199">
      <c r="A162" s="104" t="n"/>
      <c r="B162" s="104" t="n"/>
      <c r="C162" s="104" t="n"/>
      <c r="D162" s="105" t="n"/>
      <c r="E162" s="105" t="n"/>
      <c r="F162" s="105" t="n"/>
      <c r="G162" s="106" t="n"/>
      <c r="H162" s="106" t="n"/>
      <c r="I162" s="106" t="n"/>
      <c r="J162" s="107" t="n"/>
      <c r="K162" s="105" t="n"/>
      <c r="L162" s="106" t="n"/>
      <c r="M162" s="106" t="n"/>
      <c r="N162" s="106" t="n"/>
      <c r="O162" s="106" t="n"/>
      <c r="P162" s="105" t="n"/>
      <c r="Q162" s="107" t="n"/>
      <c r="R162" s="105" t="n"/>
      <c r="S162" s="107" t="n"/>
      <c r="T162" s="108">
        <f>IFERROR(L162+M162+N162+O162,0)</f>
        <v/>
      </c>
      <c r="U162" s="108">
        <f>IFERROR(H162+IFERROR(I162,0)+T162+IFERROR(AH162,0),0)</f>
        <v/>
      </c>
      <c r="V162" s="256" t="n"/>
      <c r="W162" s="257" t="n"/>
      <c r="X162" s="256" t="n"/>
      <c r="Y162" s="258" t="n"/>
      <c r="Z162" s="259" t="n"/>
      <c r="AA162" s="259" t="n"/>
      <c r="AB162" s="258" t="n"/>
      <c r="AC162" s="256" t="n"/>
      <c r="AD162" s="256" t="n"/>
      <c r="AE162" s="256" t="n"/>
      <c r="AF162" s="256" t="n"/>
      <c r="AG162" s="256" t="n"/>
      <c r="AH162" s="256">
        <f>IFERROR(IFERROR(V162,0)+IFERROR(AC162,0)+IFERROR(AD162,0)+IFERROR(AE162,0)+IFERROR(AF162,0)+IFERROR(AG162,0),0)</f>
        <v/>
      </c>
    </row>
    <row r="163" ht="15" customHeight="1" s="199">
      <c r="A163" s="104" t="n"/>
      <c r="B163" s="104" t="n"/>
      <c r="C163" s="104" t="n"/>
      <c r="D163" s="105" t="n"/>
      <c r="E163" s="105" t="n"/>
      <c r="F163" s="105" t="n"/>
      <c r="G163" s="106" t="n"/>
      <c r="H163" s="106" t="n"/>
      <c r="I163" s="106" t="n"/>
      <c r="J163" s="107" t="n"/>
      <c r="K163" s="105" t="n"/>
      <c r="L163" s="106" t="n"/>
      <c r="M163" s="106" t="n"/>
      <c r="N163" s="106" t="n"/>
      <c r="O163" s="106" t="n"/>
      <c r="P163" s="105" t="n"/>
      <c r="Q163" s="107" t="n"/>
      <c r="R163" s="105" t="n"/>
      <c r="S163" s="107" t="n"/>
      <c r="T163" s="108">
        <f>IFERROR(L163+M163+N163+O163,0)</f>
        <v/>
      </c>
      <c r="U163" s="108">
        <f>IFERROR(H163+IFERROR(I163,0)+T163+IFERROR(AH163,0),0)</f>
        <v/>
      </c>
      <c r="V163" s="256" t="n"/>
      <c r="W163" s="257" t="n"/>
      <c r="X163" s="256" t="n"/>
      <c r="Y163" s="258" t="n"/>
      <c r="Z163" s="259" t="n"/>
      <c r="AA163" s="259" t="n"/>
      <c r="AB163" s="258" t="n"/>
      <c r="AC163" s="256" t="n"/>
      <c r="AD163" s="256" t="n"/>
      <c r="AE163" s="256" t="n"/>
      <c r="AF163" s="256" t="n"/>
      <c r="AG163" s="256" t="n"/>
      <c r="AH163" s="256">
        <f>IFERROR(IFERROR(V163,0)+IFERROR(AC163,0)+IFERROR(AD163,0)+IFERROR(AE163,0)+IFERROR(AF163,0)+IFERROR(AG163,0),0)</f>
        <v/>
      </c>
    </row>
    <row r="164" ht="15" customHeight="1" s="199">
      <c r="A164" s="104" t="n"/>
      <c r="B164" s="104" t="n"/>
      <c r="C164" s="104" t="n"/>
      <c r="D164" s="105" t="n"/>
      <c r="E164" s="105" t="n"/>
      <c r="F164" s="105" t="n"/>
      <c r="G164" s="106" t="n"/>
      <c r="H164" s="106" t="n"/>
      <c r="I164" s="106" t="n"/>
      <c r="J164" s="107" t="n"/>
      <c r="K164" s="105" t="n"/>
      <c r="L164" s="106" t="n"/>
      <c r="M164" s="106" t="n"/>
      <c r="N164" s="106" t="n"/>
      <c r="O164" s="106" t="n"/>
      <c r="P164" s="105" t="n"/>
      <c r="Q164" s="107" t="n"/>
      <c r="R164" s="105" t="n"/>
      <c r="S164" s="107" t="n"/>
      <c r="T164" s="108">
        <f>IFERROR(L164+M164+N164+O164,0)</f>
        <v/>
      </c>
      <c r="U164" s="108">
        <f>IFERROR(H164+IFERROR(I164,0)+T164+IFERROR(AH164,0),0)</f>
        <v/>
      </c>
      <c r="V164" s="256" t="n"/>
      <c r="W164" s="257" t="n"/>
      <c r="X164" s="256" t="n"/>
      <c r="Y164" s="258" t="n"/>
      <c r="Z164" s="259" t="n"/>
      <c r="AA164" s="259" t="n"/>
      <c r="AB164" s="258" t="n"/>
      <c r="AC164" s="256" t="n"/>
      <c r="AD164" s="256" t="n"/>
      <c r="AE164" s="256" t="n"/>
      <c r="AF164" s="256" t="n"/>
      <c r="AG164" s="256" t="n"/>
      <c r="AH164" s="256">
        <f>IFERROR(IFERROR(V164,0)+IFERROR(AC164,0)+IFERROR(AD164,0)+IFERROR(AE164,0)+IFERROR(AF164,0)+IFERROR(AG164,0),0)</f>
        <v/>
      </c>
    </row>
    <row r="165" ht="15" customHeight="1" s="199">
      <c r="A165" s="104" t="n"/>
      <c r="B165" s="104" t="n"/>
      <c r="C165" s="104" t="n"/>
      <c r="D165" s="105" t="n"/>
      <c r="E165" s="105" t="n"/>
      <c r="F165" s="105" t="n"/>
      <c r="G165" s="106" t="n"/>
      <c r="H165" s="106" t="n"/>
      <c r="I165" s="106" t="n"/>
      <c r="J165" s="107" t="n"/>
      <c r="K165" s="105" t="n"/>
      <c r="L165" s="106" t="n"/>
      <c r="M165" s="106" t="n"/>
      <c r="N165" s="106" t="n"/>
      <c r="O165" s="106" t="n"/>
      <c r="P165" s="105" t="n"/>
      <c r="Q165" s="107" t="n"/>
      <c r="R165" s="105" t="n"/>
      <c r="S165" s="107" t="n"/>
      <c r="T165" s="108">
        <f>IFERROR(L165+M165+N165+O165,0)</f>
        <v/>
      </c>
      <c r="U165" s="108">
        <f>IFERROR(H165+IFERROR(I165,0)+T165+IFERROR(AH165,0),0)</f>
        <v/>
      </c>
      <c r="V165" s="256" t="n"/>
      <c r="W165" s="257" t="n"/>
      <c r="X165" s="256" t="n"/>
      <c r="Y165" s="258" t="n"/>
      <c r="Z165" s="259" t="n"/>
      <c r="AA165" s="259" t="n"/>
      <c r="AB165" s="258" t="n"/>
      <c r="AC165" s="256" t="n"/>
      <c r="AD165" s="256" t="n"/>
      <c r="AE165" s="256" t="n"/>
      <c r="AF165" s="256" t="n"/>
      <c r="AG165" s="256" t="n"/>
      <c r="AH165" s="256">
        <f>IFERROR(IFERROR(V165,0)+IFERROR(AC165,0)+IFERROR(AD165,0)+IFERROR(AE165,0)+IFERROR(AF165,0)+IFERROR(AG165,0),0)</f>
        <v/>
      </c>
    </row>
    <row r="166" ht="15" customHeight="1" s="199">
      <c r="A166" s="104" t="n"/>
      <c r="B166" s="104" t="n"/>
      <c r="C166" s="104" t="n"/>
      <c r="D166" s="105" t="n"/>
      <c r="E166" s="105" t="n"/>
      <c r="F166" s="105" t="n"/>
      <c r="G166" s="106" t="n"/>
      <c r="H166" s="106" t="n"/>
      <c r="I166" s="106" t="n"/>
      <c r="J166" s="107" t="n"/>
      <c r="K166" s="105" t="n"/>
      <c r="L166" s="106" t="n"/>
      <c r="M166" s="106" t="n"/>
      <c r="N166" s="106" t="n"/>
      <c r="O166" s="106" t="n"/>
      <c r="P166" s="105" t="n"/>
      <c r="Q166" s="107" t="n"/>
      <c r="R166" s="105" t="n"/>
      <c r="S166" s="107" t="n"/>
      <c r="T166" s="108">
        <f>IFERROR(L166+M166+N166+O166,0)</f>
        <v/>
      </c>
      <c r="U166" s="108">
        <f>IFERROR(H166+IFERROR(I166,0)+T166+IFERROR(AH166,0),0)</f>
        <v/>
      </c>
      <c r="V166" s="256" t="n"/>
      <c r="W166" s="257" t="n"/>
      <c r="X166" s="256" t="n"/>
      <c r="Y166" s="258" t="n"/>
      <c r="Z166" s="259" t="n"/>
      <c r="AA166" s="259" t="n"/>
      <c r="AB166" s="258" t="n"/>
      <c r="AC166" s="256" t="n"/>
      <c r="AD166" s="256" t="n"/>
      <c r="AE166" s="256" t="n"/>
      <c r="AF166" s="256" t="n"/>
      <c r="AG166" s="256" t="n"/>
      <c r="AH166" s="256">
        <f>IFERROR(IFERROR(V166,0)+IFERROR(AC166,0)+IFERROR(AD166,0)+IFERROR(AE166,0)+IFERROR(AF166,0)+IFERROR(AG166,0),0)</f>
        <v/>
      </c>
    </row>
    <row r="167" ht="15" customHeight="1" s="199">
      <c r="A167" s="104" t="n"/>
      <c r="B167" s="104" t="n"/>
      <c r="C167" s="104" t="n"/>
      <c r="D167" s="105" t="n"/>
      <c r="E167" s="105" t="n"/>
      <c r="F167" s="105" t="n"/>
      <c r="G167" s="106" t="n"/>
      <c r="H167" s="106" t="n"/>
      <c r="I167" s="106" t="n"/>
      <c r="J167" s="107" t="n"/>
      <c r="K167" s="105" t="n"/>
      <c r="L167" s="106" t="n"/>
      <c r="M167" s="106" t="n"/>
      <c r="N167" s="106" t="n"/>
      <c r="O167" s="106" t="n"/>
      <c r="P167" s="105" t="n"/>
      <c r="Q167" s="107" t="n"/>
      <c r="R167" s="105" t="n"/>
      <c r="S167" s="107" t="n"/>
      <c r="T167" s="108">
        <f>IFERROR(L167+M167+N167+O167,0)</f>
        <v/>
      </c>
      <c r="U167" s="108">
        <f>IFERROR(H167+IFERROR(I167,0)+T167+IFERROR(AH167,0),0)</f>
        <v/>
      </c>
      <c r="V167" s="256" t="n"/>
      <c r="W167" s="257" t="n"/>
      <c r="X167" s="256" t="n"/>
      <c r="Y167" s="258" t="n"/>
      <c r="Z167" s="259" t="n"/>
      <c r="AA167" s="259" t="n"/>
      <c r="AB167" s="258" t="n"/>
      <c r="AC167" s="256" t="n"/>
      <c r="AD167" s="256" t="n"/>
      <c r="AE167" s="256" t="n"/>
      <c r="AF167" s="256" t="n"/>
      <c r="AG167" s="256" t="n"/>
      <c r="AH167" s="256">
        <f>IFERROR(IFERROR(V167,0)+IFERROR(AC167,0)+IFERROR(AD167,0)+IFERROR(AE167,0)+IFERROR(AF167,0)+IFERROR(AG167,0),0)</f>
        <v/>
      </c>
    </row>
    <row r="168" ht="15" customHeight="1" s="199">
      <c r="A168" s="104" t="n"/>
      <c r="B168" s="104" t="n"/>
      <c r="C168" s="104" t="n"/>
      <c r="D168" s="105" t="n"/>
      <c r="E168" s="105" t="n"/>
      <c r="F168" s="105" t="n"/>
      <c r="G168" s="106" t="n"/>
      <c r="H168" s="106" t="n"/>
      <c r="I168" s="106" t="n"/>
      <c r="J168" s="107" t="n"/>
      <c r="K168" s="105" t="n"/>
      <c r="L168" s="106" t="n"/>
      <c r="M168" s="106" t="n"/>
      <c r="N168" s="106" t="n"/>
      <c r="O168" s="106" t="n"/>
      <c r="P168" s="105" t="n"/>
      <c r="Q168" s="107" t="n"/>
      <c r="R168" s="105" t="n"/>
      <c r="S168" s="107" t="n"/>
      <c r="T168" s="108">
        <f>IFERROR(L168+M168+N168+O168,0)</f>
        <v/>
      </c>
      <c r="U168" s="108">
        <f>IFERROR(H168+IFERROR(I168,0)+T168+IFERROR(AH168,0),0)</f>
        <v/>
      </c>
      <c r="V168" s="256" t="n"/>
      <c r="W168" s="257" t="n"/>
      <c r="X168" s="256" t="n"/>
      <c r="Y168" s="258" t="n"/>
      <c r="Z168" s="259" t="n"/>
      <c r="AA168" s="259" t="n"/>
      <c r="AB168" s="258" t="n"/>
      <c r="AC168" s="256" t="n"/>
      <c r="AD168" s="256" t="n"/>
      <c r="AE168" s="256" t="n"/>
      <c r="AF168" s="256" t="n"/>
      <c r="AG168" s="256" t="n"/>
      <c r="AH168" s="256">
        <f>IFERROR(IFERROR(V168,0)+IFERROR(AC168,0)+IFERROR(AD168,0)+IFERROR(AE168,0)+IFERROR(AF168,0)+IFERROR(AG168,0),0)</f>
        <v/>
      </c>
    </row>
    <row r="169" ht="15" customHeight="1" s="199">
      <c r="A169" s="104" t="n"/>
      <c r="B169" s="104" t="n"/>
      <c r="C169" s="104" t="n"/>
      <c r="D169" s="105" t="n"/>
      <c r="E169" s="105" t="n"/>
      <c r="F169" s="105" t="n"/>
      <c r="G169" s="106" t="n"/>
      <c r="H169" s="106" t="n"/>
      <c r="I169" s="106" t="n"/>
      <c r="J169" s="107" t="n"/>
      <c r="K169" s="105" t="n"/>
      <c r="L169" s="106" t="n"/>
      <c r="M169" s="106" t="n"/>
      <c r="N169" s="106" t="n"/>
      <c r="O169" s="106" t="n"/>
      <c r="P169" s="105" t="n"/>
      <c r="Q169" s="107" t="n"/>
      <c r="R169" s="105" t="n"/>
      <c r="S169" s="107" t="n"/>
      <c r="T169" s="108">
        <f>IFERROR(L169+M169+N169+O169,0)</f>
        <v/>
      </c>
      <c r="U169" s="108">
        <f>IFERROR(H169+IFERROR(I169,0)+T169+IFERROR(AH169,0),0)</f>
        <v/>
      </c>
      <c r="V169" s="256" t="n"/>
      <c r="W169" s="257" t="n"/>
      <c r="X169" s="256" t="n"/>
      <c r="Y169" s="258" t="n"/>
      <c r="Z169" s="259" t="n"/>
      <c r="AA169" s="259" t="n"/>
      <c r="AB169" s="258" t="n"/>
      <c r="AC169" s="256" t="n"/>
      <c r="AD169" s="256" t="n"/>
      <c r="AE169" s="256" t="n"/>
      <c r="AF169" s="256" t="n"/>
      <c r="AG169" s="256" t="n"/>
      <c r="AH169" s="256">
        <f>IFERROR(IFERROR(V169,0)+IFERROR(AC169,0)+IFERROR(AD169,0)+IFERROR(AE169,0)+IFERROR(AF169,0)+IFERROR(AG169,0),0)</f>
        <v/>
      </c>
    </row>
    <row r="170" ht="15" customHeight="1" s="199">
      <c r="A170" s="104" t="n"/>
      <c r="B170" s="104" t="n"/>
      <c r="C170" s="104" t="n"/>
      <c r="D170" s="105" t="n"/>
      <c r="E170" s="105" t="n"/>
      <c r="F170" s="105" t="n"/>
      <c r="G170" s="106" t="n"/>
      <c r="H170" s="106" t="n"/>
      <c r="I170" s="106" t="n"/>
      <c r="J170" s="107" t="n"/>
      <c r="K170" s="105" t="n"/>
      <c r="L170" s="106" t="n"/>
      <c r="M170" s="106" t="n"/>
      <c r="N170" s="106" t="n"/>
      <c r="O170" s="106" t="n"/>
      <c r="P170" s="105" t="n"/>
      <c r="Q170" s="107" t="n"/>
      <c r="R170" s="105" t="n"/>
      <c r="S170" s="107" t="n"/>
      <c r="T170" s="108">
        <f>IFERROR(L170+M170+N170+O170,0)</f>
        <v/>
      </c>
      <c r="U170" s="108">
        <f>IFERROR(H170+IFERROR(I170,0)+T170+IFERROR(AH170,0),0)</f>
        <v/>
      </c>
      <c r="V170" s="256" t="n"/>
      <c r="W170" s="257" t="n"/>
      <c r="X170" s="256" t="n"/>
      <c r="Y170" s="258" t="n"/>
      <c r="Z170" s="259" t="n"/>
      <c r="AA170" s="259" t="n"/>
      <c r="AB170" s="258" t="n"/>
      <c r="AC170" s="256" t="n"/>
      <c r="AD170" s="256" t="n"/>
      <c r="AE170" s="256" t="n"/>
      <c r="AF170" s="256" t="n"/>
      <c r="AG170" s="256" t="n"/>
      <c r="AH170" s="256">
        <f>IFERROR(IFERROR(V170,0)+IFERROR(AC170,0)+IFERROR(AD170,0)+IFERROR(AE170,0)+IFERROR(AF170,0)+IFERROR(AG170,0),0)</f>
        <v/>
      </c>
    </row>
    <row r="171" ht="15" customHeight="1" s="199">
      <c r="A171" s="104" t="n"/>
      <c r="B171" s="104" t="n"/>
      <c r="C171" s="104" t="n"/>
      <c r="D171" s="105" t="n"/>
      <c r="E171" s="105" t="n"/>
      <c r="F171" s="105" t="n"/>
      <c r="G171" s="106" t="n"/>
      <c r="H171" s="106" t="n"/>
      <c r="I171" s="106" t="n"/>
      <c r="J171" s="107" t="n"/>
      <c r="K171" s="105" t="n"/>
      <c r="L171" s="106" t="n"/>
      <c r="M171" s="106" t="n"/>
      <c r="N171" s="106" t="n"/>
      <c r="O171" s="106" t="n"/>
      <c r="P171" s="105" t="n"/>
      <c r="Q171" s="107" t="n"/>
      <c r="R171" s="105" t="n"/>
      <c r="S171" s="107" t="n"/>
      <c r="T171" s="108">
        <f>IFERROR(L171+M171+N171+O171,0)</f>
        <v/>
      </c>
      <c r="U171" s="108">
        <f>IFERROR(H171+IFERROR(I171,0)+T171+IFERROR(AH171,0),0)</f>
        <v/>
      </c>
      <c r="V171" s="256" t="n"/>
      <c r="W171" s="257" t="n"/>
      <c r="X171" s="256" t="n"/>
      <c r="Y171" s="258" t="n"/>
      <c r="Z171" s="259" t="n"/>
      <c r="AA171" s="259" t="n"/>
      <c r="AB171" s="258" t="n"/>
      <c r="AC171" s="256" t="n"/>
      <c r="AD171" s="256" t="n"/>
      <c r="AE171" s="256" t="n"/>
      <c r="AF171" s="256" t="n"/>
      <c r="AG171" s="256" t="n"/>
      <c r="AH171" s="256">
        <f>IFERROR(IFERROR(V171,0)+IFERROR(AC171,0)+IFERROR(AD171,0)+IFERROR(AE171,0)+IFERROR(AF171,0)+IFERROR(AG171,0),0)</f>
        <v/>
      </c>
    </row>
    <row r="172" ht="15" customHeight="1" s="199">
      <c r="A172" s="104" t="n"/>
      <c r="B172" s="104" t="n"/>
      <c r="C172" s="104" t="n"/>
      <c r="D172" s="105" t="n"/>
      <c r="E172" s="105" t="n"/>
      <c r="F172" s="105" t="n"/>
      <c r="G172" s="106" t="n"/>
      <c r="H172" s="106" t="n"/>
      <c r="I172" s="106" t="n"/>
      <c r="J172" s="107" t="n"/>
      <c r="K172" s="105" t="n"/>
      <c r="L172" s="106" t="n"/>
      <c r="M172" s="106" t="n"/>
      <c r="N172" s="106" t="n"/>
      <c r="O172" s="106" t="n"/>
      <c r="P172" s="105" t="n"/>
      <c r="Q172" s="107" t="n"/>
      <c r="R172" s="105" t="n"/>
      <c r="S172" s="107" t="n"/>
      <c r="T172" s="108">
        <f>IFERROR(L172+M172+N172+O172,0)</f>
        <v/>
      </c>
      <c r="U172" s="108">
        <f>IFERROR(H172+IFERROR(I172,0)+T172+IFERROR(AH172,0),0)</f>
        <v/>
      </c>
      <c r="V172" s="256" t="n"/>
      <c r="W172" s="257" t="n"/>
      <c r="X172" s="256" t="n"/>
      <c r="Y172" s="258" t="n"/>
      <c r="Z172" s="259" t="n"/>
      <c r="AA172" s="259" t="n"/>
      <c r="AB172" s="258" t="n"/>
      <c r="AC172" s="256" t="n"/>
      <c r="AD172" s="256" t="n"/>
      <c r="AE172" s="256" t="n"/>
      <c r="AF172" s="256" t="n"/>
      <c r="AG172" s="256" t="n"/>
      <c r="AH172" s="256">
        <f>IFERROR(IFERROR(V172,0)+IFERROR(AC172,0)+IFERROR(AD172,0)+IFERROR(AE172,0)+IFERROR(AF172,0)+IFERROR(AG172,0),0)</f>
        <v/>
      </c>
    </row>
    <row r="173" ht="15" customHeight="1" s="199">
      <c r="A173" s="104" t="n"/>
      <c r="B173" s="104" t="n"/>
      <c r="C173" s="104" t="n"/>
      <c r="D173" s="105" t="n"/>
      <c r="E173" s="105" t="n"/>
      <c r="F173" s="105" t="n"/>
      <c r="G173" s="106" t="n"/>
      <c r="H173" s="106" t="n"/>
      <c r="I173" s="106" t="n"/>
      <c r="J173" s="107" t="n"/>
      <c r="K173" s="105" t="n"/>
      <c r="L173" s="106" t="n"/>
      <c r="M173" s="106" t="n"/>
      <c r="N173" s="106" t="n"/>
      <c r="O173" s="106" t="n"/>
      <c r="P173" s="105" t="n"/>
      <c r="Q173" s="107" t="n"/>
      <c r="R173" s="105" t="n"/>
      <c r="S173" s="107" t="n"/>
      <c r="T173" s="108">
        <f>IFERROR(L173+M173+N173+O173,0)</f>
        <v/>
      </c>
      <c r="U173" s="108">
        <f>IFERROR(H173+IFERROR(I173,0)+T173+IFERROR(AH173,0),0)</f>
        <v/>
      </c>
      <c r="V173" s="256" t="n"/>
      <c r="W173" s="257" t="n"/>
      <c r="X173" s="256" t="n"/>
      <c r="Y173" s="258" t="n"/>
      <c r="Z173" s="259" t="n"/>
      <c r="AA173" s="259" t="n"/>
      <c r="AB173" s="258" t="n"/>
      <c r="AC173" s="256" t="n"/>
      <c r="AD173" s="256" t="n"/>
      <c r="AE173" s="256" t="n"/>
      <c r="AF173" s="256" t="n"/>
      <c r="AG173" s="256" t="n"/>
      <c r="AH173" s="256">
        <f>IFERROR(IFERROR(V173,0)+IFERROR(AC173,0)+IFERROR(AD173,0)+IFERROR(AE173,0)+IFERROR(AF173,0)+IFERROR(AG173,0),0)</f>
        <v/>
      </c>
    </row>
    <row r="174" ht="15" customHeight="1" s="199">
      <c r="A174" s="104" t="n"/>
      <c r="B174" s="104" t="n"/>
      <c r="C174" s="104" t="n"/>
      <c r="D174" s="105" t="n"/>
      <c r="E174" s="105" t="n"/>
      <c r="F174" s="105" t="n"/>
      <c r="G174" s="106" t="n"/>
      <c r="H174" s="106" t="n"/>
      <c r="I174" s="106" t="n"/>
      <c r="J174" s="107" t="n"/>
      <c r="K174" s="105" t="n"/>
      <c r="L174" s="106" t="n"/>
      <c r="M174" s="106" t="n"/>
      <c r="N174" s="106" t="n"/>
      <c r="O174" s="106" t="n"/>
      <c r="P174" s="105" t="n"/>
      <c r="Q174" s="107" t="n"/>
      <c r="R174" s="105" t="n"/>
      <c r="S174" s="107" t="n"/>
      <c r="T174" s="108">
        <f>IFERROR(L174+M174+N174+O174,0)</f>
        <v/>
      </c>
      <c r="U174" s="108">
        <f>IFERROR(H174+IFERROR(I174,0)+T174+IFERROR(AH174,0),0)</f>
        <v/>
      </c>
      <c r="V174" s="256" t="n"/>
      <c r="W174" s="257" t="n"/>
      <c r="X174" s="256" t="n"/>
      <c r="Y174" s="258" t="n"/>
      <c r="Z174" s="259" t="n"/>
      <c r="AA174" s="259" t="n"/>
      <c r="AB174" s="258" t="n"/>
      <c r="AC174" s="256" t="n"/>
      <c r="AD174" s="256" t="n"/>
      <c r="AE174" s="256" t="n"/>
      <c r="AF174" s="256" t="n"/>
      <c r="AG174" s="256" t="n"/>
      <c r="AH174" s="256">
        <f>IFERROR(IFERROR(V174,0)+IFERROR(AC174,0)+IFERROR(AD174,0)+IFERROR(AE174,0)+IFERROR(AF174,0)+IFERROR(AG174,0),0)</f>
        <v/>
      </c>
    </row>
    <row r="175" ht="15" customHeight="1" s="199">
      <c r="A175" s="104" t="n"/>
      <c r="B175" s="104" t="n"/>
      <c r="C175" s="104" t="n"/>
      <c r="D175" s="105" t="n"/>
      <c r="E175" s="105" t="n"/>
      <c r="F175" s="105" t="n"/>
      <c r="G175" s="106" t="n"/>
      <c r="H175" s="106" t="n"/>
      <c r="I175" s="106" t="n"/>
      <c r="J175" s="107" t="n"/>
      <c r="K175" s="105" t="n"/>
      <c r="L175" s="106" t="n"/>
      <c r="M175" s="106" t="n"/>
      <c r="N175" s="106" t="n"/>
      <c r="O175" s="106" t="n"/>
      <c r="P175" s="105" t="n"/>
      <c r="Q175" s="107" t="n"/>
      <c r="R175" s="105" t="n"/>
      <c r="S175" s="107" t="n"/>
      <c r="T175" s="108">
        <f>IFERROR(L175+M175+N175+O175,0)</f>
        <v/>
      </c>
      <c r="U175" s="108">
        <f>IFERROR(H175+IFERROR(I175,0)+T175+IFERROR(AH175,0),0)</f>
        <v/>
      </c>
      <c r="V175" s="256" t="n"/>
      <c r="W175" s="257" t="n"/>
      <c r="X175" s="256" t="n"/>
      <c r="Y175" s="258" t="n"/>
      <c r="Z175" s="259" t="n"/>
      <c r="AA175" s="259" t="n"/>
      <c r="AB175" s="258" t="n"/>
      <c r="AC175" s="256" t="n"/>
      <c r="AD175" s="256" t="n"/>
      <c r="AE175" s="256" t="n"/>
      <c r="AF175" s="256" t="n"/>
      <c r="AG175" s="256" t="n"/>
      <c r="AH175" s="256">
        <f>IFERROR(IFERROR(V175,0)+IFERROR(AC175,0)+IFERROR(AD175,0)+IFERROR(AE175,0)+IFERROR(AF175,0)+IFERROR(AG175,0),0)</f>
        <v/>
      </c>
    </row>
    <row r="176" ht="15" customHeight="1" s="199">
      <c r="A176" s="104" t="n"/>
      <c r="B176" s="104" t="n"/>
      <c r="C176" s="104" t="n"/>
      <c r="D176" s="105" t="n"/>
      <c r="E176" s="105" t="n"/>
      <c r="F176" s="105" t="n"/>
      <c r="G176" s="106" t="n"/>
      <c r="H176" s="106" t="n"/>
      <c r="I176" s="106" t="n"/>
      <c r="J176" s="107" t="n"/>
      <c r="K176" s="105" t="n"/>
      <c r="L176" s="106" t="n"/>
      <c r="M176" s="106" t="n"/>
      <c r="N176" s="106" t="n"/>
      <c r="O176" s="106" t="n"/>
      <c r="P176" s="105" t="n"/>
      <c r="Q176" s="107" t="n"/>
      <c r="R176" s="105" t="n"/>
      <c r="S176" s="107" t="n"/>
      <c r="T176" s="108">
        <f>IFERROR(L176+M176+N176+O176,0)</f>
        <v/>
      </c>
      <c r="U176" s="108">
        <f>IFERROR(H176+IFERROR(I176,0)+T176+IFERROR(AH176,0),0)</f>
        <v/>
      </c>
      <c r="V176" s="256" t="n"/>
      <c r="W176" s="257" t="n"/>
      <c r="X176" s="256" t="n"/>
      <c r="Y176" s="258" t="n"/>
      <c r="Z176" s="259" t="n"/>
      <c r="AA176" s="259" t="n"/>
      <c r="AB176" s="258" t="n"/>
      <c r="AC176" s="256" t="n"/>
      <c r="AD176" s="256" t="n"/>
      <c r="AE176" s="256" t="n"/>
      <c r="AF176" s="256" t="n"/>
      <c r="AG176" s="256" t="n"/>
      <c r="AH176" s="256">
        <f>IFERROR(IFERROR(V176,0)+IFERROR(AC176,0)+IFERROR(AD176,0)+IFERROR(AE176,0)+IFERROR(AF176,0)+IFERROR(AG176,0),0)</f>
        <v/>
      </c>
    </row>
    <row r="177" ht="15" customHeight="1" s="199">
      <c r="A177" s="104" t="n"/>
      <c r="B177" s="104" t="n"/>
      <c r="C177" s="104" t="n"/>
      <c r="D177" s="105" t="n"/>
      <c r="E177" s="105" t="n"/>
      <c r="F177" s="105" t="n"/>
      <c r="G177" s="106" t="n"/>
      <c r="H177" s="106" t="n"/>
      <c r="I177" s="106" t="n"/>
      <c r="J177" s="107" t="n"/>
      <c r="K177" s="105" t="n"/>
      <c r="L177" s="106" t="n"/>
      <c r="M177" s="106" t="n"/>
      <c r="N177" s="106" t="n"/>
      <c r="O177" s="106" t="n"/>
      <c r="P177" s="105" t="n"/>
      <c r="Q177" s="107" t="n"/>
      <c r="R177" s="105" t="n"/>
      <c r="S177" s="107" t="n"/>
      <c r="T177" s="108">
        <f>IFERROR(L177+M177+N177+O177,0)</f>
        <v/>
      </c>
      <c r="U177" s="108">
        <f>IFERROR(H177+IFERROR(I177,0)+T177+IFERROR(AH177,0),0)</f>
        <v/>
      </c>
      <c r="V177" s="256" t="n"/>
      <c r="W177" s="257" t="n"/>
      <c r="X177" s="256" t="n"/>
      <c r="Y177" s="258" t="n"/>
      <c r="Z177" s="259" t="n"/>
      <c r="AA177" s="259" t="n"/>
      <c r="AB177" s="258" t="n"/>
      <c r="AC177" s="256" t="n"/>
      <c r="AD177" s="256" t="n"/>
      <c r="AE177" s="256" t="n"/>
      <c r="AF177" s="256" t="n"/>
      <c r="AG177" s="256" t="n"/>
      <c r="AH177" s="256">
        <f>IFERROR(IFERROR(V177,0)+IFERROR(AC177,0)+IFERROR(AD177,0)+IFERROR(AE177,0)+IFERROR(AF177,0)+IFERROR(AG177,0),0)</f>
        <v/>
      </c>
    </row>
    <row r="178" ht="15" customHeight="1" s="199">
      <c r="A178" s="104" t="n"/>
      <c r="B178" s="104" t="n"/>
      <c r="C178" s="104" t="n"/>
      <c r="D178" s="105" t="n"/>
      <c r="E178" s="105" t="n"/>
      <c r="F178" s="105" t="n"/>
      <c r="G178" s="106" t="n"/>
      <c r="H178" s="106" t="n"/>
      <c r="I178" s="106" t="n"/>
      <c r="J178" s="107" t="n"/>
      <c r="K178" s="105" t="n"/>
      <c r="L178" s="106" t="n"/>
      <c r="M178" s="106" t="n"/>
      <c r="N178" s="106" t="n"/>
      <c r="O178" s="106" t="n"/>
      <c r="P178" s="105" t="n"/>
      <c r="Q178" s="107" t="n"/>
      <c r="R178" s="105" t="n"/>
      <c r="S178" s="107" t="n"/>
      <c r="T178" s="108">
        <f>IFERROR(L178+M178+N178+O178,0)</f>
        <v/>
      </c>
      <c r="U178" s="108">
        <f>IFERROR(H178+IFERROR(I178,0)+T178+IFERROR(AH178,0),0)</f>
        <v/>
      </c>
      <c r="V178" s="256" t="n"/>
      <c r="W178" s="257" t="n"/>
      <c r="X178" s="256" t="n"/>
      <c r="Y178" s="258" t="n"/>
      <c r="Z178" s="259" t="n"/>
      <c r="AA178" s="259" t="n"/>
      <c r="AB178" s="258" t="n"/>
      <c r="AC178" s="256" t="n"/>
      <c r="AD178" s="256" t="n"/>
      <c r="AE178" s="256" t="n"/>
      <c r="AF178" s="256" t="n"/>
      <c r="AG178" s="256" t="n"/>
      <c r="AH178" s="256">
        <f>IFERROR(IFERROR(V178,0)+IFERROR(AC178,0)+IFERROR(AD178,0)+IFERROR(AE178,0)+IFERROR(AF178,0)+IFERROR(AG178,0),0)</f>
        <v/>
      </c>
    </row>
    <row r="179" ht="15" customHeight="1" s="199">
      <c r="A179" s="104" t="n"/>
      <c r="B179" s="104" t="n"/>
      <c r="C179" s="104" t="n"/>
      <c r="D179" s="105" t="n"/>
      <c r="E179" s="105" t="n"/>
      <c r="F179" s="105" t="n"/>
      <c r="G179" s="106" t="n"/>
      <c r="H179" s="106" t="n"/>
      <c r="I179" s="106" t="n"/>
      <c r="J179" s="107" t="n"/>
      <c r="K179" s="105" t="n"/>
      <c r="L179" s="106" t="n"/>
      <c r="M179" s="106" t="n"/>
      <c r="N179" s="106" t="n"/>
      <c r="O179" s="106" t="n"/>
      <c r="P179" s="105" t="n"/>
      <c r="Q179" s="107" t="n"/>
      <c r="R179" s="105" t="n"/>
      <c r="S179" s="107" t="n"/>
      <c r="T179" s="108">
        <f>IFERROR(L179+M179+N179+O179,0)</f>
        <v/>
      </c>
      <c r="U179" s="108">
        <f>IFERROR(H179+IFERROR(I179,0)+T179+IFERROR(AH179,0),0)</f>
        <v/>
      </c>
      <c r="V179" s="256" t="n"/>
      <c r="W179" s="257" t="n"/>
      <c r="X179" s="256" t="n"/>
      <c r="Y179" s="258" t="n"/>
      <c r="Z179" s="259" t="n"/>
      <c r="AA179" s="259" t="n"/>
      <c r="AB179" s="258" t="n"/>
      <c r="AC179" s="256" t="n"/>
      <c r="AD179" s="256" t="n"/>
      <c r="AE179" s="256" t="n"/>
      <c r="AF179" s="256" t="n"/>
      <c r="AG179" s="256" t="n"/>
      <c r="AH179" s="256">
        <f>IFERROR(IFERROR(V179,0)+IFERROR(AC179,0)+IFERROR(AD179,0)+IFERROR(AE179,0)+IFERROR(AF179,0)+IFERROR(AG179,0),0)</f>
        <v/>
      </c>
    </row>
    <row r="180" ht="15" customHeight="1" s="199">
      <c r="A180" s="104" t="n"/>
      <c r="B180" s="104" t="n"/>
      <c r="C180" s="104" t="n"/>
      <c r="D180" s="105" t="n"/>
      <c r="E180" s="105" t="n"/>
      <c r="F180" s="105" t="n"/>
      <c r="G180" s="106" t="n"/>
      <c r="H180" s="106" t="n"/>
      <c r="I180" s="106" t="n"/>
      <c r="J180" s="107" t="n"/>
      <c r="K180" s="105" t="n"/>
      <c r="L180" s="106" t="n"/>
      <c r="M180" s="106" t="n"/>
      <c r="N180" s="106" t="n"/>
      <c r="O180" s="106" t="n"/>
      <c r="P180" s="105" t="n"/>
      <c r="Q180" s="107" t="n"/>
      <c r="R180" s="105" t="n"/>
      <c r="S180" s="107" t="n"/>
      <c r="T180" s="108">
        <f>IFERROR(L180+M180+N180+O180,0)</f>
        <v/>
      </c>
      <c r="U180" s="108">
        <f>IFERROR(H180+IFERROR(I180,0)+T180+IFERROR(AH180,0),0)</f>
        <v/>
      </c>
      <c r="V180" s="256" t="n"/>
      <c r="W180" s="257" t="n"/>
      <c r="X180" s="256" t="n"/>
      <c r="Y180" s="258" t="n"/>
      <c r="Z180" s="259" t="n"/>
      <c r="AA180" s="259" t="n"/>
      <c r="AB180" s="258" t="n"/>
      <c r="AC180" s="256" t="n"/>
      <c r="AD180" s="256" t="n"/>
      <c r="AE180" s="256" t="n"/>
      <c r="AF180" s="256" t="n"/>
      <c r="AG180" s="256" t="n"/>
      <c r="AH180" s="256">
        <f>IFERROR(IFERROR(V180,0)+IFERROR(AC180,0)+IFERROR(AD180,0)+IFERROR(AE180,0)+IFERROR(AF180,0)+IFERROR(AG180,0),0)</f>
        <v/>
      </c>
    </row>
    <row r="181" ht="15" customHeight="1" s="199">
      <c r="A181" s="104" t="n"/>
      <c r="B181" s="104" t="n"/>
      <c r="C181" s="104" t="n"/>
      <c r="D181" s="105" t="n"/>
      <c r="E181" s="105" t="n"/>
      <c r="F181" s="105" t="n"/>
      <c r="G181" s="106" t="n"/>
      <c r="H181" s="106" t="n"/>
      <c r="I181" s="106" t="n"/>
      <c r="J181" s="107" t="n"/>
      <c r="K181" s="105" t="n"/>
      <c r="L181" s="106" t="n"/>
      <c r="M181" s="106" t="n"/>
      <c r="N181" s="106" t="n"/>
      <c r="O181" s="106" t="n"/>
      <c r="P181" s="105" t="n"/>
      <c r="Q181" s="107" t="n"/>
      <c r="R181" s="105" t="n"/>
      <c r="S181" s="107" t="n"/>
      <c r="T181" s="108">
        <f>IFERROR(L181+M181+N181+O181,0)</f>
        <v/>
      </c>
      <c r="U181" s="108">
        <f>IFERROR(H181+IFERROR(I181,0)+T181+IFERROR(AH181,0),0)</f>
        <v/>
      </c>
      <c r="V181" s="256" t="n"/>
      <c r="W181" s="257" t="n"/>
      <c r="X181" s="256" t="n"/>
      <c r="Y181" s="258" t="n"/>
      <c r="Z181" s="259" t="n"/>
      <c r="AA181" s="259" t="n"/>
      <c r="AB181" s="258" t="n"/>
      <c r="AC181" s="256" t="n"/>
      <c r="AD181" s="256" t="n"/>
      <c r="AE181" s="256" t="n"/>
      <c r="AF181" s="256" t="n"/>
      <c r="AG181" s="256" t="n"/>
      <c r="AH181" s="256">
        <f>IFERROR(IFERROR(V181,0)+IFERROR(AC181,0)+IFERROR(AD181,0)+IFERROR(AE181,0)+IFERROR(AF181,0)+IFERROR(AG181,0),0)</f>
        <v/>
      </c>
    </row>
    <row r="182" ht="15" customHeight="1" s="199">
      <c r="A182" s="104" t="n"/>
      <c r="B182" s="104" t="n"/>
      <c r="C182" s="104" t="n"/>
      <c r="D182" s="105" t="n"/>
      <c r="E182" s="105" t="n"/>
      <c r="F182" s="105" t="n"/>
      <c r="G182" s="106" t="n"/>
      <c r="H182" s="106" t="n"/>
      <c r="I182" s="106" t="n"/>
      <c r="J182" s="107" t="n"/>
      <c r="K182" s="105" t="n"/>
      <c r="L182" s="106" t="n"/>
      <c r="M182" s="106" t="n"/>
      <c r="N182" s="106" t="n"/>
      <c r="O182" s="106" t="n"/>
      <c r="P182" s="105" t="n"/>
      <c r="Q182" s="107" t="n"/>
      <c r="R182" s="105" t="n"/>
      <c r="S182" s="107" t="n"/>
      <c r="T182" s="108">
        <f>IFERROR(L182+M182+N182+O182,0)</f>
        <v/>
      </c>
      <c r="U182" s="108">
        <f>IFERROR(H182+IFERROR(I182,0)+T182+IFERROR(AH182,0),0)</f>
        <v/>
      </c>
      <c r="V182" s="256" t="n"/>
      <c r="W182" s="257" t="n"/>
      <c r="X182" s="256" t="n"/>
      <c r="Y182" s="258" t="n"/>
      <c r="Z182" s="259" t="n"/>
      <c r="AA182" s="259" t="n"/>
      <c r="AB182" s="258" t="n"/>
      <c r="AC182" s="256" t="n"/>
      <c r="AD182" s="256" t="n"/>
      <c r="AE182" s="256" t="n"/>
      <c r="AF182" s="256" t="n"/>
      <c r="AG182" s="256" t="n"/>
      <c r="AH182" s="256">
        <f>IFERROR(IFERROR(V182,0)+IFERROR(AC182,0)+IFERROR(AD182,0)+IFERROR(AE182,0)+IFERROR(AF182,0)+IFERROR(AG182,0),0)</f>
        <v/>
      </c>
    </row>
    <row r="183" ht="15" customHeight="1" s="199">
      <c r="A183" s="104" t="n"/>
      <c r="B183" s="104" t="n"/>
      <c r="C183" s="104" t="n"/>
      <c r="D183" s="105" t="n"/>
      <c r="E183" s="105" t="n"/>
      <c r="F183" s="105" t="n"/>
      <c r="G183" s="106" t="n"/>
      <c r="H183" s="106" t="n"/>
      <c r="I183" s="106" t="n"/>
      <c r="J183" s="107" t="n"/>
      <c r="K183" s="105" t="n"/>
      <c r="L183" s="106" t="n"/>
      <c r="M183" s="106" t="n"/>
      <c r="N183" s="106" t="n"/>
      <c r="O183" s="106" t="n"/>
      <c r="P183" s="105" t="n"/>
      <c r="Q183" s="107" t="n"/>
      <c r="R183" s="105" t="n"/>
      <c r="S183" s="107" t="n"/>
      <c r="T183" s="108">
        <f>IFERROR(L183+M183+N183+O183,0)</f>
        <v/>
      </c>
      <c r="U183" s="108">
        <f>IFERROR(H183+IFERROR(I183,0)+T183+IFERROR(AH183,0),0)</f>
        <v/>
      </c>
      <c r="V183" s="256" t="n"/>
      <c r="W183" s="257" t="n"/>
      <c r="X183" s="256" t="n"/>
      <c r="Y183" s="258" t="n"/>
      <c r="Z183" s="259" t="n"/>
      <c r="AA183" s="259" t="n"/>
      <c r="AB183" s="258" t="n"/>
      <c r="AC183" s="256" t="n"/>
      <c r="AD183" s="256" t="n"/>
      <c r="AE183" s="256" t="n"/>
      <c r="AF183" s="256" t="n"/>
      <c r="AG183" s="256" t="n"/>
      <c r="AH183" s="256">
        <f>IFERROR(IFERROR(V183,0)+IFERROR(AC183,0)+IFERROR(AD183,0)+IFERROR(AE183,0)+IFERROR(AF183,0)+IFERROR(AG183,0),0)</f>
        <v/>
      </c>
    </row>
    <row r="184" ht="15" customHeight="1" s="199">
      <c r="A184" s="104" t="n"/>
      <c r="B184" s="104" t="n"/>
      <c r="C184" s="104" t="n"/>
      <c r="D184" s="105" t="n"/>
      <c r="E184" s="105" t="n"/>
      <c r="F184" s="105" t="n"/>
      <c r="G184" s="106" t="n"/>
      <c r="H184" s="106" t="n"/>
      <c r="I184" s="106" t="n"/>
      <c r="J184" s="107" t="n"/>
      <c r="K184" s="105" t="n"/>
      <c r="L184" s="106" t="n"/>
      <c r="M184" s="106" t="n"/>
      <c r="N184" s="106" t="n"/>
      <c r="O184" s="106" t="n"/>
      <c r="P184" s="105" t="n"/>
      <c r="Q184" s="107" t="n"/>
      <c r="R184" s="105" t="n"/>
      <c r="S184" s="107" t="n"/>
      <c r="T184" s="108">
        <f>IFERROR(L184+M184+N184+O184,0)</f>
        <v/>
      </c>
      <c r="U184" s="108">
        <f>IFERROR(H184+IFERROR(I184,0)+T184+IFERROR(AH184,0),0)</f>
        <v/>
      </c>
      <c r="V184" s="256" t="n"/>
      <c r="W184" s="257" t="n"/>
      <c r="X184" s="256" t="n"/>
      <c r="Y184" s="258" t="n"/>
      <c r="Z184" s="259" t="n"/>
      <c r="AA184" s="259" t="n"/>
      <c r="AB184" s="258" t="n"/>
      <c r="AC184" s="256" t="n"/>
      <c r="AD184" s="256" t="n"/>
      <c r="AE184" s="256" t="n"/>
      <c r="AF184" s="256" t="n"/>
      <c r="AG184" s="256" t="n"/>
      <c r="AH184" s="256">
        <f>IFERROR(IFERROR(V184,0)+IFERROR(AC184,0)+IFERROR(AD184,0)+IFERROR(AE184,0)+IFERROR(AF184,0)+IFERROR(AG184,0),0)</f>
        <v/>
      </c>
    </row>
    <row r="185" ht="15" customHeight="1" s="199">
      <c r="A185" s="104" t="n"/>
      <c r="B185" s="104" t="n"/>
      <c r="C185" s="104" t="n"/>
      <c r="D185" s="105" t="n"/>
      <c r="E185" s="105" t="n"/>
      <c r="F185" s="105" t="n"/>
      <c r="G185" s="106" t="n"/>
      <c r="H185" s="106" t="n"/>
      <c r="I185" s="106" t="n"/>
      <c r="J185" s="107" t="n"/>
      <c r="K185" s="105" t="n"/>
      <c r="L185" s="106" t="n"/>
      <c r="M185" s="106" t="n"/>
      <c r="N185" s="106" t="n"/>
      <c r="O185" s="106" t="n"/>
      <c r="P185" s="105" t="n"/>
      <c r="Q185" s="107" t="n"/>
      <c r="R185" s="105" t="n"/>
      <c r="S185" s="107" t="n"/>
      <c r="T185" s="108">
        <f>IFERROR(L185+M185+N185+O185,0)</f>
        <v/>
      </c>
      <c r="U185" s="108">
        <f>IFERROR(H185+IFERROR(I185,0)+T185+IFERROR(AH185,0),0)</f>
        <v/>
      </c>
      <c r="V185" s="256" t="n"/>
      <c r="W185" s="257" t="n"/>
      <c r="X185" s="256" t="n"/>
      <c r="Y185" s="258" t="n"/>
      <c r="Z185" s="259" t="n"/>
      <c r="AA185" s="259" t="n"/>
      <c r="AB185" s="258" t="n"/>
      <c r="AC185" s="256" t="n"/>
      <c r="AD185" s="256" t="n"/>
      <c r="AE185" s="256" t="n"/>
      <c r="AF185" s="256" t="n"/>
      <c r="AG185" s="256" t="n"/>
      <c r="AH185" s="256">
        <f>IFERROR(IFERROR(V185,0)+IFERROR(AC185,0)+IFERROR(AD185,0)+IFERROR(AE185,0)+IFERROR(AF185,0)+IFERROR(AG185,0),0)</f>
        <v/>
      </c>
    </row>
    <row r="186" ht="15" customHeight="1" s="199">
      <c r="A186" s="104" t="n"/>
      <c r="B186" s="104" t="n"/>
      <c r="C186" s="104" t="n"/>
      <c r="D186" s="105" t="n"/>
      <c r="E186" s="105" t="n"/>
      <c r="F186" s="105" t="n"/>
      <c r="G186" s="106" t="n"/>
      <c r="H186" s="106" t="n"/>
      <c r="I186" s="106" t="n"/>
      <c r="J186" s="107" t="n"/>
      <c r="K186" s="105" t="n"/>
      <c r="L186" s="106" t="n"/>
      <c r="M186" s="106" t="n"/>
      <c r="N186" s="106" t="n"/>
      <c r="O186" s="106" t="n"/>
      <c r="P186" s="105" t="n"/>
      <c r="Q186" s="107" t="n"/>
      <c r="R186" s="105" t="n"/>
      <c r="S186" s="107" t="n"/>
      <c r="T186" s="108">
        <f>IFERROR(L186+M186+N186+O186,0)</f>
        <v/>
      </c>
      <c r="U186" s="108">
        <f>IFERROR(H186+IFERROR(I186,0)+T186+IFERROR(AH186,0),0)</f>
        <v/>
      </c>
      <c r="V186" s="256" t="n"/>
      <c r="W186" s="257" t="n"/>
      <c r="X186" s="256" t="n"/>
      <c r="Y186" s="258" t="n"/>
      <c r="Z186" s="259" t="n"/>
      <c r="AA186" s="259" t="n"/>
      <c r="AB186" s="258" t="n"/>
      <c r="AC186" s="256" t="n"/>
      <c r="AD186" s="256" t="n"/>
      <c r="AE186" s="256" t="n"/>
      <c r="AF186" s="256" t="n"/>
      <c r="AG186" s="256" t="n"/>
      <c r="AH186" s="256">
        <f>IFERROR(IFERROR(V186,0)+IFERROR(AC186,0)+IFERROR(AD186,0)+IFERROR(AE186,0)+IFERROR(AF186,0)+IFERROR(AG186,0),0)</f>
        <v/>
      </c>
    </row>
    <row r="187" ht="15" customHeight="1" s="199">
      <c r="A187" s="104" t="n"/>
      <c r="B187" s="104" t="n"/>
      <c r="C187" s="104" t="n"/>
      <c r="D187" s="105" t="n"/>
      <c r="E187" s="105" t="n"/>
      <c r="F187" s="105" t="n"/>
      <c r="G187" s="106" t="n"/>
      <c r="H187" s="106" t="n"/>
      <c r="I187" s="106" t="n"/>
      <c r="J187" s="107" t="n"/>
      <c r="K187" s="105" t="n"/>
      <c r="L187" s="106" t="n"/>
      <c r="M187" s="106" t="n"/>
      <c r="N187" s="106" t="n"/>
      <c r="O187" s="106" t="n"/>
      <c r="P187" s="105" t="n"/>
      <c r="Q187" s="107" t="n"/>
      <c r="R187" s="105" t="n"/>
      <c r="S187" s="107" t="n"/>
      <c r="T187" s="108">
        <f>IFERROR(L187+M187+N187+O187,0)</f>
        <v/>
      </c>
      <c r="U187" s="108">
        <f>IFERROR(H187+IFERROR(I187,0)+T187+IFERROR(AH187,0),0)</f>
        <v/>
      </c>
      <c r="V187" s="256" t="n"/>
      <c r="W187" s="257" t="n"/>
      <c r="X187" s="256" t="n"/>
      <c r="Y187" s="258" t="n"/>
      <c r="Z187" s="259" t="n"/>
      <c r="AA187" s="259" t="n"/>
      <c r="AB187" s="258" t="n"/>
      <c r="AC187" s="256" t="n"/>
      <c r="AD187" s="256" t="n"/>
      <c r="AE187" s="256" t="n"/>
      <c r="AF187" s="256" t="n"/>
      <c r="AG187" s="256" t="n"/>
      <c r="AH187" s="256">
        <f>IFERROR(IFERROR(V187,0)+IFERROR(AC187,0)+IFERROR(AD187,0)+IFERROR(AE187,0)+IFERROR(AF187,0)+IFERROR(AG187,0),0)</f>
        <v/>
      </c>
    </row>
    <row r="188" ht="15" customHeight="1" s="199">
      <c r="A188" s="104" t="n"/>
      <c r="B188" s="104" t="n"/>
      <c r="C188" s="104" t="n"/>
      <c r="D188" s="105" t="n"/>
      <c r="E188" s="105" t="n"/>
      <c r="F188" s="105" t="n"/>
      <c r="G188" s="106" t="n"/>
      <c r="H188" s="106" t="n"/>
      <c r="I188" s="106" t="n"/>
      <c r="J188" s="107" t="n"/>
      <c r="K188" s="105" t="n"/>
      <c r="L188" s="106" t="n"/>
      <c r="M188" s="106" t="n"/>
      <c r="N188" s="106" t="n"/>
      <c r="O188" s="106" t="n"/>
      <c r="P188" s="105" t="n"/>
      <c r="Q188" s="107" t="n"/>
      <c r="R188" s="105" t="n"/>
      <c r="S188" s="107" t="n"/>
      <c r="T188" s="108">
        <f>IFERROR(L188+M188+N188+O188,0)</f>
        <v/>
      </c>
      <c r="U188" s="108">
        <f>IFERROR(H188+IFERROR(I188,0)+T188+IFERROR(AH188,0),0)</f>
        <v/>
      </c>
      <c r="V188" s="256" t="n"/>
      <c r="W188" s="257" t="n"/>
      <c r="X188" s="256" t="n"/>
      <c r="Y188" s="258" t="n"/>
      <c r="Z188" s="259" t="n"/>
      <c r="AA188" s="259" t="n"/>
      <c r="AB188" s="258" t="n"/>
      <c r="AC188" s="256" t="n"/>
      <c r="AD188" s="256" t="n"/>
      <c r="AE188" s="256" t="n"/>
      <c r="AF188" s="256" t="n"/>
      <c r="AG188" s="256" t="n"/>
      <c r="AH188" s="256">
        <f>IFERROR(IFERROR(V188,0)+IFERROR(AC188,0)+IFERROR(AD188,0)+IFERROR(AE188,0)+IFERROR(AF188,0)+IFERROR(AG188,0),0)</f>
        <v/>
      </c>
    </row>
    <row r="189" ht="15" customHeight="1" s="199">
      <c r="A189" s="104" t="n"/>
      <c r="B189" s="104" t="n"/>
      <c r="C189" s="104" t="n"/>
      <c r="D189" s="105" t="n"/>
      <c r="E189" s="105" t="n"/>
      <c r="F189" s="105" t="n"/>
      <c r="G189" s="106" t="n"/>
      <c r="H189" s="106" t="n"/>
      <c r="I189" s="106" t="n"/>
      <c r="J189" s="107" t="n"/>
      <c r="K189" s="105" t="n"/>
      <c r="L189" s="106" t="n"/>
      <c r="M189" s="106" t="n"/>
      <c r="N189" s="106" t="n"/>
      <c r="O189" s="106" t="n"/>
      <c r="P189" s="105" t="n"/>
      <c r="Q189" s="107" t="n"/>
      <c r="R189" s="105" t="n"/>
      <c r="S189" s="107" t="n"/>
      <c r="T189" s="108">
        <f>IFERROR(L189+M189+N189+O189,0)</f>
        <v/>
      </c>
      <c r="U189" s="108">
        <f>IFERROR(H189+IFERROR(I189,0)+T189+IFERROR(AH189,0),0)</f>
        <v/>
      </c>
      <c r="V189" s="256" t="n"/>
      <c r="W189" s="257" t="n"/>
      <c r="X189" s="256" t="n"/>
      <c r="Y189" s="258" t="n"/>
      <c r="Z189" s="259" t="n"/>
      <c r="AA189" s="259" t="n"/>
      <c r="AB189" s="258" t="n"/>
      <c r="AC189" s="256" t="n"/>
      <c r="AD189" s="256" t="n"/>
      <c r="AE189" s="256" t="n"/>
      <c r="AF189" s="256" t="n"/>
      <c r="AG189" s="256" t="n"/>
      <c r="AH189" s="256">
        <f>IFERROR(IFERROR(V189,0)+IFERROR(AC189,0)+IFERROR(AD189,0)+IFERROR(AE189,0)+IFERROR(AF189,0)+IFERROR(AG189,0),0)</f>
        <v/>
      </c>
    </row>
    <row r="190" ht="15" customHeight="1" s="199">
      <c r="A190" s="104" t="n"/>
      <c r="B190" s="104" t="n"/>
      <c r="C190" s="104" t="n"/>
      <c r="D190" s="105" t="n"/>
      <c r="E190" s="105" t="n"/>
      <c r="F190" s="105" t="n"/>
      <c r="G190" s="106" t="n"/>
      <c r="H190" s="106" t="n"/>
      <c r="I190" s="106" t="n"/>
      <c r="J190" s="107" t="n"/>
      <c r="K190" s="105" t="n"/>
      <c r="L190" s="106" t="n"/>
      <c r="M190" s="106" t="n"/>
      <c r="N190" s="106" t="n"/>
      <c r="O190" s="106" t="n"/>
      <c r="P190" s="105" t="n"/>
      <c r="Q190" s="107" t="n"/>
      <c r="R190" s="105" t="n"/>
      <c r="S190" s="107" t="n"/>
      <c r="T190" s="108">
        <f>IFERROR(L190+M190+N190+O190,0)</f>
        <v/>
      </c>
      <c r="U190" s="108">
        <f>IFERROR(H190+IFERROR(I190,0)+T190+IFERROR(AH190,0),0)</f>
        <v/>
      </c>
      <c r="V190" s="256" t="n"/>
      <c r="W190" s="257" t="n"/>
      <c r="X190" s="256" t="n"/>
      <c r="Y190" s="258" t="n"/>
      <c r="Z190" s="259" t="n"/>
      <c r="AA190" s="259" t="n"/>
      <c r="AB190" s="258" t="n"/>
      <c r="AC190" s="256" t="n"/>
      <c r="AD190" s="256" t="n"/>
      <c r="AE190" s="256" t="n"/>
      <c r="AF190" s="256" t="n"/>
      <c r="AG190" s="256" t="n"/>
      <c r="AH190" s="256">
        <f>IFERROR(IFERROR(V190,0)+IFERROR(AC190,0)+IFERROR(AD190,0)+IFERROR(AE190,0)+IFERROR(AF190,0)+IFERROR(AG190,0),0)</f>
        <v/>
      </c>
    </row>
    <row r="191" ht="15" customHeight="1" s="199">
      <c r="A191" s="104" t="n"/>
      <c r="B191" s="104" t="n"/>
      <c r="C191" s="104" t="n"/>
      <c r="D191" s="105" t="n"/>
      <c r="E191" s="105" t="n"/>
      <c r="F191" s="105" t="n"/>
      <c r="G191" s="106" t="n"/>
      <c r="H191" s="106" t="n"/>
      <c r="I191" s="106" t="n"/>
      <c r="J191" s="107" t="n"/>
      <c r="K191" s="105" t="n"/>
      <c r="L191" s="106" t="n"/>
      <c r="M191" s="106" t="n"/>
      <c r="N191" s="106" t="n"/>
      <c r="O191" s="106" t="n"/>
      <c r="P191" s="105" t="n"/>
      <c r="Q191" s="107" t="n"/>
      <c r="R191" s="105" t="n"/>
      <c r="S191" s="107" t="n"/>
      <c r="T191" s="108">
        <f>IFERROR(L191+M191+N191+O191,0)</f>
        <v/>
      </c>
      <c r="U191" s="108">
        <f>IFERROR(H191+IFERROR(I191,0)+T191+IFERROR(AH191,0),0)</f>
        <v/>
      </c>
      <c r="V191" s="256" t="n"/>
      <c r="W191" s="257" t="n"/>
      <c r="X191" s="256" t="n"/>
      <c r="Y191" s="258" t="n"/>
      <c r="Z191" s="259" t="n"/>
      <c r="AA191" s="259" t="n"/>
      <c r="AB191" s="258" t="n"/>
      <c r="AC191" s="256" t="n"/>
      <c r="AD191" s="256" t="n"/>
      <c r="AE191" s="256" t="n"/>
      <c r="AF191" s="256" t="n"/>
      <c r="AG191" s="256" t="n"/>
      <c r="AH191" s="256">
        <f>IFERROR(IFERROR(V191,0)+IFERROR(AC191,0)+IFERROR(AD191,0)+IFERROR(AE191,0)+IFERROR(AF191,0)+IFERROR(AG191,0),0)</f>
        <v/>
      </c>
    </row>
    <row r="192" ht="15" customHeight="1" s="199">
      <c r="A192" s="104" t="n"/>
      <c r="B192" s="104" t="n"/>
      <c r="C192" s="104" t="n"/>
      <c r="D192" s="105" t="n"/>
      <c r="E192" s="105" t="n"/>
      <c r="F192" s="105" t="n"/>
      <c r="G192" s="106" t="n"/>
      <c r="H192" s="106" t="n"/>
      <c r="I192" s="106" t="n"/>
      <c r="J192" s="107" t="n"/>
      <c r="K192" s="105" t="n"/>
      <c r="L192" s="106" t="n"/>
      <c r="M192" s="106" t="n"/>
      <c r="N192" s="106" t="n"/>
      <c r="O192" s="106" t="n"/>
      <c r="P192" s="105" t="n"/>
      <c r="Q192" s="107" t="n"/>
      <c r="R192" s="105" t="n"/>
      <c r="S192" s="107" t="n"/>
      <c r="T192" s="108">
        <f>IFERROR(L192+M192+N192+O192,0)</f>
        <v/>
      </c>
      <c r="U192" s="108">
        <f>IFERROR(H192+IFERROR(I192,0)+T192+IFERROR(AH192,0),0)</f>
        <v/>
      </c>
      <c r="V192" s="256" t="n"/>
      <c r="W192" s="257" t="n"/>
      <c r="X192" s="256" t="n"/>
      <c r="Y192" s="258" t="n"/>
      <c r="Z192" s="259" t="n"/>
      <c r="AA192" s="259" t="n"/>
      <c r="AB192" s="258" t="n"/>
      <c r="AC192" s="256" t="n"/>
      <c r="AD192" s="256" t="n"/>
      <c r="AE192" s="256" t="n"/>
      <c r="AF192" s="256" t="n"/>
      <c r="AG192" s="256" t="n"/>
      <c r="AH192" s="256">
        <f>IFERROR(IFERROR(V192,0)+IFERROR(AC192,0)+IFERROR(AD192,0)+IFERROR(AE192,0)+IFERROR(AF192,0)+IFERROR(AG192,0),0)</f>
        <v/>
      </c>
    </row>
    <row r="193" ht="15" customHeight="1" s="199">
      <c r="A193" s="104" t="n"/>
      <c r="B193" s="104" t="n"/>
      <c r="C193" s="104" t="n"/>
      <c r="D193" s="105" t="n"/>
      <c r="E193" s="105" t="n"/>
      <c r="F193" s="105" t="n"/>
      <c r="G193" s="106" t="n"/>
      <c r="H193" s="106" t="n"/>
      <c r="I193" s="106" t="n"/>
      <c r="J193" s="107" t="n"/>
      <c r="K193" s="105" t="n"/>
      <c r="L193" s="106" t="n"/>
      <c r="M193" s="106" t="n"/>
      <c r="N193" s="106" t="n"/>
      <c r="O193" s="106" t="n"/>
      <c r="P193" s="105" t="n"/>
      <c r="Q193" s="107" t="n"/>
      <c r="R193" s="105" t="n"/>
      <c r="S193" s="107" t="n"/>
      <c r="T193" s="108">
        <f>IFERROR(L193+M193+N193+O193,0)</f>
        <v/>
      </c>
      <c r="U193" s="108">
        <f>IFERROR(H193+IFERROR(I193,0)+T193+IFERROR(AH193,0),0)</f>
        <v/>
      </c>
      <c r="V193" s="256" t="n"/>
      <c r="W193" s="257" t="n"/>
      <c r="X193" s="256" t="n"/>
      <c r="Y193" s="258" t="n"/>
      <c r="Z193" s="259" t="n"/>
      <c r="AA193" s="259" t="n"/>
      <c r="AB193" s="258" t="n"/>
      <c r="AC193" s="256" t="n"/>
      <c r="AD193" s="256" t="n"/>
      <c r="AE193" s="256" t="n"/>
      <c r="AF193" s="256" t="n"/>
      <c r="AG193" s="256" t="n"/>
      <c r="AH193" s="256">
        <f>IFERROR(IFERROR(V193,0)+IFERROR(AC193,0)+IFERROR(AD193,0)+IFERROR(AE193,0)+IFERROR(AF193,0)+IFERROR(AG193,0),0)</f>
        <v/>
      </c>
    </row>
    <row r="194" ht="15" customHeight="1" s="199">
      <c r="A194" s="104" t="n"/>
      <c r="B194" s="104" t="n"/>
      <c r="C194" s="104" t="n"/>
      <c r="D194" s="105" t="n"/>
      <c r="E194" s="105" t="n"/>
      <c r="F194" s="105" t="n"/>
      <c r="G194" s="106" t="n"/>
      <c r="H194" s="106" t="n"/>
      <c r="I194" s="106" t="n"/>
      <c r="J194" s="107" t="n"/>
      <c r="K194" s="105" t="n"/>
      <c r="L194" s="106" t="n"/>
      <c r="M194" s="106" t="n"/>
      <c r="N194" s="106" t="n"/>
      <c r="O194" s="106" t="n"/>
      <c r="P194" s="105" t="n"/>
      <c r="Q194" s="107" t="n"/>
      <c r="R194" s="105" t="n"/>
      <c r="S194" s="107" t="n"/>
      <c r="T194" s="108">
        <f>IFERROR(L194+M194+N194+O194,0)</f>
        <v/>
      </c>
      <c r="U194" s="108">
        <f>IFERROR(H194+IFERROR(I194,0)+T194+IFERROR(AH194,0),0)</f>
        <v/>
      </c>
      <c r="V194" s="256" t="n"/>
      <c r="W194" s="257" t="n"/>
      <c r="X194" s="256" t="n"/>
      <c r="Y194" s="258" t="n"/>
      <c r="Z194" s="259" t="n"/>
      <c r="AA194" s="259" t="n"/>
      <c r="AB194" s="258" t="n"/>
      <c r="AC194" s="256" t="n"/>
      <c r="AD194" s="256" t="n"/>
      <c r="AE194" s="256" t="n"/>
      <c r="AF194" s="256" t="n"/>
      <c r="AG194" s="256" t="n"/>
      <c r="AH194" s="256">
        <f>IFERROR(IFERROR(V194,0)+IFERROR(AC194,0)+IFERROR(AD194,0)+IFERROR(AE194,0)+IFERROR(AF194,0)+IFERROR(AG194,0),0)</f>
        <v/>
      </c>
    </row>
    <row r="195" ht="15" customHeight="1" s="199">
      <c r="A195" s="104" t="n"/>
      <c r="B195" s="104" t="n"/>
      <c r="C195" s="104" t="n"/>
      <c r="D195" s="105" t="n"/>
      <c r="E195" s="105" t="n"/>
      <c r="F195" s="105" t="n"/>
      <c r="G195" s="106" t="n"/>
      <c r="H195" s="106" t="n"/>
      <c r="I195" s="106" t="n"/>
      <c r="J195" s="107" t="n"/>
      <c r="K195" s="105" t="n"/>
      <c r="L195" s="106" t="n"/>
      <c r="M195" s="106" t="n"/>
      <c r="N195" s="106" t="n"/>
      <c r="O195" s="106" t="n"/>
      <c r="P195" s="105" t="n"/>
      <c r="Q195" s="107" t="n"/>
      <c r="R195" s="105" t="n"/>
      <c r="S195" s="107" t="n"/>
      <c r="T195" s="108">
        <f>IFERROR(L195+M195+N195+O195,0)</f>
        <v/>
      </c>
      <c r="U195" s="108">
        <f>IFERROR(H195+IFERROR(I195,0)+T195+IFERROR(AH195,0),0)</f>
        <v/>
      </c>
      <c r="V195" s="256" t="n"/>
      <c r="W195" s="257" t="n"/>
      <c r="X195" s="256" t="n"/>
      <c r="Y195" s="258" t="n"/>
      <c r="Z195" s="259" t="n"/>
      <c r="AA195" s="259" t="n"/>
      <c r="AB195" s="258" t="n"/>
      <c r="AC195" s="256" t="n"/>
      <c r="AD195" s="256" t="n"/>
      <c r="AE195" s="256" t="n"/>
      <c r="AF195" s="256" t="n"/>
      <c r="AG195" s="256" t="n"/>
      <c r="AH195" s="256">
        <f>IFERROR(IFERROR(V195,0)+IFERROR(AC195,0)+IFERROR(AD195,0)+IFERROR(AE195,0)+IFERROR(AF195,0)+IFERROR(AG195,0),0)</f>
        <v/>
      </c>
    </row>
    <row r="196" ht="15" customHeight="1" s="199">
      <c r="A196" s="104" t="n"/>
      <c r="B196" s="104" t="n"/>
      <c r="C196" s="104" t="n"/>
      <c r="D196" s="105" t="n"/>
      <c r="E196" s="105" t="n"/>
      <c r="F196" s="105" t="n"/>
      <c r="G196" s="106" t="n"/>
      <c r="H196" s="106" t="n"/>
      <c r="I196" s="106" t="n"/>
      <c r="J196" s="107" t="n"/>
      <c r="K196" s="105" t="n"/>
      <c r="L196" s="106" t="n"/>
      <c r="M196" s="106" t="n"/>
      <c r="N196" s="106" t="n"/>
      <c r="O196" s="106" t="n"/>
      <c r="P196" s="105" t="n"/>
      <c r="Q196" s="107" t="n"/>
      <c r="R196" s="105" t="n"/>
      <c r="S196" s="107" t="n"/>
      <c r="T196" s="108">
        <f>IFERROR(L196+M196+N196+O196,0)</f>
        <v/>
      </c>
      <c r="U196" s="108">
        <f>IFERROR(H196+IFERROR(I196,0)+T196+IFERROR(AH196,0),0)</f>
        <v/>
      </c>
      <c r="V196" s="256" t="n"/>
      <c r="W196" s="257" t="n"/>
      <c r="X196" s="256" t="n"/>
      <c r="Y196" s="258" t="n"/>
      <c r="Z196" s="259" t="n"/>
      <c r="AA196" s="259" t="n"/>
      <c r="AB196" s="258" t="n"/>
      <c r="AC196" s="256" t="n"/>
      <c r="AD196" s="256" t="n"/>
      <c r="AE196" s="256" t="n"/>
      <c r="AF196" s="256" t="n"/>
      <c r="AG196" s="256" t="n"/>
      <c r="AH196" s="256">
        <f>IFERROR(IFERROR(V196,0)+IFERROR(AC196,0)+IFERROR(AD196,0)+IFERROR(AE196,0)+IFERROR(AF196,0)+IFERROR(AG196,0),0)</f>
        <v/>
      </c>
    </row>
    <row r="197" ht="15" customHeight="1" s="199">
      <c r="A197" s="104" t="n"/>
      <c r="B197" s="104" t="n"/>
      <c r="C197" s="104" t="n"/>
      <c r="D197" s="105" t="n"/>
      <c r="E197" s="105" t="n"/>
      <c r="F197" s="105" t="n"/>
      <c r="G197" s="106" t="n"/>
      <c r="H197" s="106" t="n"/>
      <c r="I197" s="106" t="n"/>
      <c r="J197" s="107" t="n"/>
      <c r="K197" s="105" t="n"/>
      <c r="L197" s="106" t="n"/>
      <c r="M197" s="106" t="n"/>
      <c r="N197" s="106" t="n"/>
      <c r="O197" s="106" t="n"/>
      <c r="P197" s="105" t="n"/>
      <c r="Q197" s="107" t="n"/>
      <c r="R197" s="105" t="n"/>
      <c r="S197" s="107" t="n"/>
      <c r="T197" s="108">
        <f>IFERROR(L197+M197+N197+O197,0)</f>
        <v/>
      </c>
      <c r="U197" s="108">
        <f>IFERROR(H197+IFERROR(I197,0)+T197+IFERROR(AH197,0),0)</f>
        <v/>
      </c>
      <c r="V197" s="256" t="n"/>
      <c r="W197" s="257" t="n"/>
      <c r="X197" s="256" t="n"/>
      <c r="Y197" s="258" t="n"/>
      <c r="Z197" s="259" t="n"/>
      <c r="AA197" s="259" t="n"/>
      <c r="AB197" s="258" t="n"/>
      <c r="AC197" s="256" t="n"/>
      <c r="AD197" s="256" t="n"/>
      <c r="AE197" s="256" t="n"/>
      <c r="AF197" s="256" t="n"/>
      <c r="AG197" s="256" t="n"/>
      <c r="AH197" s="256">
        <f>IFERROR(IFERROR(V197,0)+IFERROR(AC197,0)+IFERROR(AD197,0)+IFERROR(AE197,0)+IFERROR(AF197,0)+IFERROR(AG197,0),0)</f>
        <v/>
      </c>
    </row>
    <row r="198" ht="15" customHeight="1" s="199">
      <c r="A198" s="104" t="n"/>
      <c r="B198" s="104" t="n"/>
      <c r="C198" s="104" t="n"/>
      <c r="D198" s="105" t="n"/>
      <c r="E198" s="105" t="n"/>
      <c r="F198" s="105" t="n"/>
      <c r="G198" s="106" t="n"/>
      <c r="H198" s="106" t="n"/>
      <c r="I198" s="106" t="n"/>
      <c r="J198" s="107" t="n"/>
      <c r="K198" s="105" t="n"/>
      <c r="L198" s="106" t="n"/>
      <c r="M198" s="106" t="n"/>
      <c r="N198" s="106" t="n"/>
      <c r="O198" s="106" t="n"/>
      <c r="P198" s="105" t="n"/>
      <c r="Q198" s="107" t="n"/>
      <c r="R198" s="105" t="n"/>
      <c r="S198" s="107" t="n"/>
      <c r="T198" s="108">
        <f>IFERROR(L198+M198+N198+O198,0)</f>
        <v/>
      </c>
      <c r="U198" s="108">
        <f>IFERROR(H198+IFERROR(I198,0)+T198+IFERROR(AH198,0),0)</f>
        <v/>
      </c>
      <c r="V198" s="256" t="n"/>
      <c r="W198" s="257" t="n"/>
      <c r="X198" s="256" t="n"/>
      <c r="Y198" s="258" t="n"/>
      <c r="Z198" s="259" t="n"/>
      <c r="AA198" s="259" t="n"/>
      <c r="AB198" s="258" t="n"/>
      <c r="AC198" s="256" t="n"/>
      <c r="AD198" s="256" t="n"/>
      <c r="AE198" s="256" t="n"/>
      <c r="AF198" s="256" t="n"/>
      <c r="AG198" s="256" t="n"/>
      <c r="AH198" s="256">
        <f>IFERROR(IFERROR(V198,0)+IFERROR(AC198,0)+IFERROR(AD198,0)+IFERROR(AE198,0)+IFERROR(AF198,0)+IFERROR(AG198,0),0)</f>
        <v/>
      </c>
    </row>
    <row r="199" ht="15" customHeight="1" s="199">
      <c r="A199" s="104" t="n"/>
      <c r="B199" s="104" t="n"/>
      <c r="C199" s="104" t="n"/>
      <c r="D199" s="105" t="n"/>
      <c r="E199" s="105" t="n"/>
      <c r="F199" s="105" t="n"/>
      <c r="G199" s="106" t="n"/>
      <c r="H199" s="106" t="n"/>
      <c r="I199" s="106" t="n"/>
      <c r="J199" s="107" t="n"/>
      <c r="K199" s="105" t="n"/>
      <c r="L199" s="106" t="n"/>
      <c r="M199" s="106" t="n"/>
      <c r="N199" s="106" t="n"/>
      <c r="O199" s="106" t="n"/>
      <c r="P199" s="105" t="n"/>
      <c r="Q199" s="107" t="n"/>
      <c r="R199" s="105" t="n"/>
      <c r="S199" s="107" t="n"/>
      <c r="T199" s="108">
        <f>IFERROR(L199+M199+N199+O199,0)</f>
        <v/>
      </c>
      <c r="U199" s="108">
        <f>IFERROR(H199+IFERROR(I199,0)+T199+IFERROR(AH199,0),0)</f>
        <v/>
      </c>
      <c r="V199" s="256" t="n"/>
      <c r="W199" s="257" t="n"/>
      <c r="X199" s="256" t="n"/>
      <c r="Y199" s="258" t="n"/>
      <c r="Z199" s="259" t="n"/>
      <c r="AA199" s="259" t="n"/>
      <c r="AB199" s="258" t="n"/>
      <c r="AC199" s="256" t="n"/>
      <c r="AD199" s="256" t="n"/>
      <c r="AE199" s="256" t="n"/>
      <c r="AF199" s="256" t="n"/>
      <c r="AG199" s="256" t="n"/>
      <c r="AH199" s="256">
        <f>IFERROR(IFERROR(V199,0)+IFERROR(AC199,0)+IFERROR(AD199,0)+IFERROR(AE199,0)+IFERROR(AF199,0)+IFERROR(AG199,0),0)</f>
        <v/>
      </c>
    </row>
    <row r="200" ht="15" customHeight="1" s="199">
      <c r="A200" s="104" t="n"/>
      <c r="B200" s="104" t="n"/>
      <c r="C200" s="104" t="n"/>
      <c r="D200" s="105" t="n"/>
      <c r="E200" s="105" t="n"/>
      <c r="F200" s="105" t="n"/>
      <c r="G200" s="106" t="n"/>
      <c r="H200" s="106" t="n"/>
      <c r="I200" s="106" t="n"/>
      <c r="J200" s="107" t="n"/>
      <c r="K200" s="105" t="n"/>
      <c r="L200" s="106" t="n"/>
      <c r="M200" s="106" t="n"/>
      <c r="N200" s="106" t="n"/>
      <c r="O200" s="106" t="n"/>
      <c r="P200" s="105" t="n"/>
      <c r="Q200" s="107" t="n"/>
      <c r="R200" s="105" t="n"/>
      <c r="S200" s="107" t="n"/>
      <c r="T200" s="108">
        <f>IFERROR(L200+M200+N200+O200,0)</f>
        <v/>
      </c>
      <c r="U200" s="108">
        <f>IFERROR(H200+IFERROR(I200,0)+T200+IFERROR(AH200,0),0)</f>
        <v/>
      </c>
      <c r="V200" s="256" t="n"/>
      <c r="W200" s="257" t="n"/>
      <c r="X200" s="256" t="n"/>
      <c r="Y200" s="258" t="n"/>
      <c r="Z200" s="259" t="n"/>
      <c r="AA200" s="259" t="n"/>
      <c r="AB200" s="258" t="n"/>
      <c r="AC200" s="256" t="n"/>
      <c r="AD200" s="256" t="n"/>
      <c r="AE200" s="256" t="n"/>
      <c r="AF200" s="256" t="n"/>
      <c r="AG200" s="256" t="n"/>
      <c r="AH200" s="256">
        <f>IFERROR(IFERROR(V200,0)+IFERROR(AC200,0)+IFERROR(AD200,0)+IFERROR(AE200,0)+IFERROR(AF200,0)+IFERROR(AG200,0),0)</f>
        <v/>
      </c>
    </row>
    <row r="201" ht="15" customHeight="1" s="199">
      <c r="A201" s="104" t="n"/>
      <c r="B201" s="104" t="n"/>
      <c r="C201" s="104" t="n"/>
      <c r="D201" s="105" t="n"/>
      <c r="E201" s="105" t="n"/>
      <c r="F201" s="105" t="n"/>
      <c r="G201" s="106" t="n"/>
      <c r="H201" s="106" t="n"/>
      <c r="I201" s="106" t="n"/>
      <c r="J201" s="107" t="n"/>
      <c r="K201" s="105" t="n"/>
      <c r="L201" s="106" t="n"/>
      <c r="M201" s="106" t="n"/>
      <c r="N201" s="106" t="n"/>
      <c r="O201" s="106" t="n"/>
      <c r="P201" s="105" t="n"/>
      <c r="Q201" s="107" t="n"/>
      <c r="R201" s="105" t="n"/>
      <c r="S201" s="107" t="n"/>
      <c r="T201" s="108">
        <f>IFERROR(L201+M201+N201+O201,0)</f>
        <v/>
      </c>
      <c r="U201" s="108">
        <f>IFERROR(H201+IFERROR(I201,0)+T201+IFERROR(AH201,0),0)</f>
        <v/>
      </c>
      <c r="V201" s="256" t="n"/>
      <c r="W201" s="257" t="n"/>
      <c r="X201" s="256" t="n"/>
      <c r="Y201" s="258" t="n"/>
      <c r="Z201" s="259" t="n"/>
      <c r="AA201" s="259" t="n"/>
      <c r="AB201" s="258" t="n"/>
      <c r="AC201" s="256" t="n"/>
      <c r="AD201" s="256" t="n"/>
      <c r="AE201" s="256" t="n"/>
      <c r="AF201" s="256" t="n"/>
      <c r="AG201" s="256" t="n"/>
      <c r="AH201" s="256">
        <f>IFERROR(IFERROR(V201,0)+IFERROR(AC201,0)+IFERROR(AD201,0)+IFERROR(AE201,0)+IFERROR(AF201,0)+IFERROR(AG201,0),0)</f>
        <v/>
      </c>
    </row>
    <row r="202" ht="15" customHeight="1" s="199">
      <c r="A202" s="104" t="n"/>
      <c r="B202" s="104" t="n"/>
      <c r="C202" s="104" t="n"/>
      <c r="D202" s="105" t="n"/>
      <c r="E202" s="105" t="n"/>
      <c r="F202" s="105" t="n"/>
      <c r="G202" s="106" t="n"/>
      <c r="H202" s="106" t="n"/>
      <c r="I202" s="106" t="n"/>
      <c r="J202" s="107" t="n"/>
      <c r="K202" s="105" t="n"/>
      <c r="L202" s="106" t="n"/>
      <c r="M202" s="106" t="n"/>
      <c r="N202" s="106" t="n"/>
      <c r="O202" s="106" t="n"/>
      <c r="P202" s="105" t="n"/>
      <c r="Q202" s="107" t="n"/>
      <c r="R202" s="105" t="n"/>
      <c r="S202" s="107" t="n"/>
      <c r="T202" s="108">
        <f>IFERROR(L202+M202+N202+O202,0)</f>
        <v/>
      </c>
      <c r="U202" s="108">
        <f>IFERROR(H202+IFERROR(I202,0)+T202+IFERROR(AH202,0),0)</f>
        <v/>
      </c>
      <c r="V202" s="256" t="n"/>
      <c r="W202" s="257" t="n"/>
      <c r="X202" s="256" t="n"/>
      <c r="Y202" s="258" t="n"/>
      <c r="Z202" s="259" t="n"/>
      <c r="AA202" s="259" t="n"/>
      <c r="AB202" s="258" t="n"/>
      <c r="AC202" s="256" t="n"/>
      <c r="AD202" s="256" t="n"/>
      <c r="AE202" s="256" t="n"/>
      <c r="AF202" s="256" t="n"/>
      <c r="AG202" s="256" t="n"/>
      <c r="AH202" s="256">
        <f>IFERROR(IFERROR(V202,0)+IFERROR(AC202,0)+IFERROR(AD202,0)+IFERROR(AE202,0)+IFERROR(AF202,0)+IFERROR(AG202,0),0)</f>
        <v/>
      </c>
    </row>
    <row r="203" ht="15" customHeight="1" s="199">
      <c r="A203" s="104" t="n"/>
      <c r="B203" s="104" t="n"/>
      <c r="C203" s="104" t="n"/>
      <c r="D203" s="105" t="n"/>
      <c r="E203" s="105" t="n"/>
      <c r="F203" s="105" t="n"/>
      <c r="G203" s="106" t="n"/>
      <c r="H203" s="106" t="n"/>
      <c r="I203" s="106" t="n"/>
      <c r="J203" s="107" t="n"/>
      <c r="K203" s="105" t="n"/>
      <c r="L203" s="106" t="n"/>
      <c r="M203" s="106" t="n"/>
      <c r="N203" s="106" t="n"/>
      <c r="O203" s="106" t="n"/>
      <c r="P203" s="105" t="n"/>
      <c r="Q203" s="107" t="n"/>
      <c r="R203" s="105" t="n"/>
      <c r="S203" s="107" t="n"/>
      <c r="T203" s="108">
        <f>IFERROR(L203+M203+N203+O203,0)</f>
        <v/>
      </c>
      <c r="U203" s="108">
        <f>IFERROR(H203+IFERROR(I203,0)+T203+IFERROR(AH203,0),0)</f>
        <v/>
      </c>
      <c r="V203" s="256" t="n"/>
      <c r="W203" s="257" t="n"/>
      <c r="X203" s="256" t="n"/>
      <c r="Y203" s="258" t="n"/>
      <c r="Z203" s="259" t="n"/>
      <c r="AA203" s="259" t="n"/>
      <c r="AB203" s="258" t="n"/>
      <c r="AC203" s="256" t="n"/>
      <c r="AD203" s="256" t="n"/>
      <c r="AE203" s="256" t="n"/>
      <c r="AF203" s="256" t="n"/>
      <c r="AG203" s="256" t="n"/>
      <c r="AH203" s="256">
        <f>IFERROR(IFERROR(V203,0)+IFERROR(AC203,0)+IFERROR(AD203,0)+IFERROR(AE203,0)+IFERROR(AF203,0)+IFERROR(AG203,0),0)</f>
        <v/>
      </c>
    </row>
    <row r="204" ht="15" customHeight="1" s="199">
      <c r="A204" s="104" t="n"/>
      <c r="B204" s="104" t="n"/>
      <c r="C204" s="104" t="n"/>
      <c r="D204" s="105" t="n"/>
      <c r="E204" s="105" t="n"/>
      <c r="F204" s="105" t="n"/>
      <c r="G204" s="106" t="n"/>
      <c r="H204" s="106" t="n"/>
      <c r="I204" s="106" t="n"/>
      <c r="J204" s="107" t="n"/>
      <c r="K204" s="105" t="n"/>
      <c r="L204" s="106" t="n"/>
      <c r="M204" s="106" t="n"/>
      <c r="N204" s="106" t="n"/>
      <c r="O204" s="106" t="n"/>
      <c r="P204" s="105" t="n"/>
      <c r="Q204" s="107" t="n"/>
      <c r="R204" s="105" t="n"/>
      <c r="S204" s="107" t="n"/>
      <c r="T204" s="108">
        <f>IFERROR(L204+M204+N204+O204,0)</f>
        <v/>
      </c>
      <c r="U204" s="108">
        <f>IFERROR(H204+IFERROR(I204,0)+T204+IFERROR(AH204,0),0)</f>
        <v/>
      </c>
      <c r="V204" s="256" t="n"/>
      <c r="W204" s="257" t="n"/>
      <c r="X204" s="256" t="n"/>
      <c r="Y204" s="258" t="n"/>
      <c r="Z204" s="259" t="n"/>
      <c r="AA204" s="259" t="n"/>
      <c r="AB204" s="258" t="n"/>
      <c r="AC204" s="256" t="n"/>
      <c r="AD204" s="256" t="n"/>
      <c r="AE204" s="256" t="n"/>
      <c r="AF204" s="256" t="n"/>
      <c r="AG204" s="256" t="n"/>
      <c r="AH204" s="256">
        <f>IFERROR(IFERROR(V204,0)+IFERROR(AC204,0)+IFERROR(AD204,0)+IFERROR(AE204,0)+IFERROR(AF204,0)+IFERROR(AG204,0),0)</f>
        <v/>
      </c>
    </row>
    <row r="205" ht="15" customHeight="1" s="199">
      <c r="A205" s="104" t="n"/>
      <c r="B205" s="104" t="n"/>
      <c r="C205" s="104" t="n"/>
      <c r="D205" s="105" t="n"/>
      <c r="E205" s="105" t="n"/>
      <c r="F205" s="105" t="n"/>
      <c r="G205" s="106" t="n"/>
      <c r="H205" s="106" t="n"/>
      <c r="I205" s="106" t="n"/>
      <c r="J205" s="107" t="n"/>
      <c r="K205" s="105" t="n"/>
      <c r="L205" s="106" t="n"/>
      <c r="M205" s="106" t="n"/>
      <c r="N205" s="106" t="n"/>
      <c r="O205" s="106" t="n"/>
      <c r="P205" s="105" t="n"/>
      <c r="Q205" s="107" t="n"/>
      <c r="R205" s="105" t="n"/>
      <c r="S205" s="107" t="n"/>
      <c r="T205" s="108">
        <f>IFERROR(L205+M205+N205+O205,0)</f>
        <v/>
      </c>
      <c r="U205" s="108">
        <f>IFERROR(H205+IFERROR(I205,0)+T205+IFERROR(AH205,0),0)</f>
        <v/>
      </c>
      <c r="V205" s="256" t="n"/>
      <c r="W205" s="257" t="n"/>
      <c r="X205" s="256" t="n"/>
      <c r="Y205" s="258" t="n"/>
      <c r="Z205" s="259" t="n"/>
      <c r="AA205" s="259" t="n"/>
      <c r="AB205" s="258" t="n"/>
      <c r="AC205" s="256" t="n"/>
      <c r="AD205" s="256" t="n"/>
      <c r="AE205" s="256" t="n"/>
      <c r="AF205" s="256" t="n"/>
      <c r="AG205" s="256" t="n"/>
      <c r="AH205" s="256">
        <f>IFERROR(IFERROR(V205,0)+IFERROR(AC205,0)+IFERROR(AD205,0)+IFERROR(AE205,0)+IFERROR(AF205,0)+IFERROR(AG205,0),0)</f>
        <v/>
      </c>
    </row>
    <row r="206" ht="15" customHeight="1" s="199">
      <c r="A206" s="104" t="n"/>
      <c r="B206" s="104" t="n"/>
      <c r="C206" s="104" t="n"/>
      <c r="D206" s="105" t="n"/>
      <c r="E206" s="105" t="n"/>
      <c r="F206" s="105" t="n"/>
      <c r="G206" s="106" t="n"/>
      <c r="H206" s="106" t="n"/>
      <c r="I206" s="106" t="n"/>
      <c r="J206" s="107" t="n"/>
      <c r="K206" s="105" t="n"/>
      <c r="L206" s="106" t="n"/>
      <c r="M206" s="106" t="n"/>
      <c r="N206" s="106" t="n"/>
      <c r="O206" s="106" t="n"/>
      <c r="P206" s="105" t="n"/>
      <c r="Q206" s="107" t="n"/>
      <c r="R206" s="105" t="n"/>
      <c r="S206" s="107" t="n"/>
      <c r="T206" s="108">
        <f>IFERROR(L206+M206+N206+O206,0)</f>
        <v/>
      </c>
      <c r="U206" s="108">
        <f>IFERROR(H206+IFERROR(I206,0)+T206+IFERROR(AH206,0),0)</f>
        <v/>
      </c>
      <c r="V206" s="256" t="n"/>
      <c r="W206" s="257" t="n"/>
      <c r="X206" s="256" t="n"/>
      <c r="Y206" s="258" t="n"/>
      <c r="Z206" s="259" t="n"/>
      <c r="AA206" s="259" t="n"/>
      <c r="AB206" s="258" t="n"/>
      <c r="AC206" s="256" t="n"/>
      <c r="AD206" s="256" t="n"/>
      <c r="AE206" s="256" t="n"/>
      <c r="AF206" s="256" t="n"/>
      <c r="AG206" s="256" t="n"/>
      <c r="AH206" s="256">
        <f>IFERROR(IFERROR(V206,0)+IFERROR(AC206,0)+IFERROR(AD206,0)+IFERROR(AE206,0)+IFERROR(AF206,0)+IFERROR(AG206,0),0)</f>
        <v/>
      </c>
    </row>
    <row r="207" ht="15" customHeight="1" s="199">
      <c r="A207" s="104" t="n"/>
      <c r="B207" s="104" t="n"/>
      <c r="C207" s="104" t="n"/>
      <c r="D207" s="105" t="n"/>
      <c r="E207" s="105" t="n"/>
      <c r="F207" s="105" t="n"/>
      <c r="G207" s="106" t="n"/>
      <c r="H207" s="106" t="n"/>
      <c r="I207" s="106" t="n"/>
      <c r="J207" s="107" t="n"/>
      <c r="K207" s="105" t="n"/>
      <c r="L207" s="106" t="n"/>
      <c r="M207" s="106" t="n"/>
      <c r="N207" s="106" t="n"/>
      <c r="O207" s="106" t="n"/>
      <c r="P207" s="105" t="n"/>
      <c r="Q207" s="107" t="n"/>
      <c r="R207" s="105" t="n"/>
      <c r="S207" s="107" t="n"/>
      <c r="T207" s="108">
        <f>IFERROR(L207+M207+N207+O207,0)</f>
        <v/>
      </c>
      <c r="U207" s="108">
        <f>IFERROR(H207+IFERROR(I207,0)+T207+IFERROR(AH207,0),0)</f>
        <v/>
      </c>
      <c r="V207" s="256" t="n"/>
      <c r="W207" s="257" t="n"/>
      <c r="X207" s="256" t="n"/>
      <c r="Y207" s="258" t="n"/>
      <c r="Z207" s="259" t="n"/>
      <c r="AA207" s="259" t="n"/>
      <c r="AB207" s="258" t="n"/>
      <c r="AC207" s="256" t="n"/>
      <c r="AD207" s="256" t="n"/>
      <c r="AE207" s="256" t="n"/>
      <c r="AF207" s="256" t="n"/>
      <c r="AG207" s="256" t="n"/>
      <c r="AH207" s="256">
        <f>IFERROR(IFERROR(V207,0)+IFERROR(AC207,0)+IFERROR(AD207,0)+IFERROR(AE207,0)+IFERROR(AF207,0)+IFERROR(AG207,0),0)</f>
        <v/>
      </c>
    </row>
    <row r="208" ht="15" customHeight="1" s="199">
      <c r="A208" s="104" t="n"/>
      <c r="B208" s="104" t="n"/>
      <c r="C208" s="104" t="n"/>
      <c r="D208" s="105" t="n"/>
      <c r="E208" s="105" t="n"/>
      <c r="F208" s="105" t="n"/>
      <c r="G208" s="106" t="n"/>
      <c r="H208" s="106" t="n"/>
      <c r="I208" s="106" t="n"/>
      <c r="J208" s="107" t="n"/>
      <c r="K208" s="105" t="n"/>
      <c r="L208" s="106" t="n"/>
      <c r="M208" s="106" t="n"/>
      <c r="N208" s="106" t="n"/>
      <c r="O208" s="106" t="n"/>
      <c r="P208" s="105" t="n"/>
      <c r="Q208" s="107" t="n"/>
      <c r="R208" s="105" t="n"/>
      <c r="S208" s="107" t="n"/>
      <c r="T208" s="108">
        <f>IFERROR(L208+M208+N208+O208,0)</f>
        <v/>
      </c>
      <c r="U208" s="108">
        <f>IFERROR(H208+IFERROR(I208,0)+T208+IFERROR(AH208,0),0)</f>
        <v/>
      </c>
      <c r="V208" s="256" t="n"/>
      <c r="W208" s="257" t="n"/>
      <c r="X208" s="256" t="n"/>
      <c r="Y208" s="258" t="n"/>
      <c r="Z208" s="259" t="n"/>
      <c r="AA208" s="259" t="n"/>
      <c r="AB208" s="258" t="n"/>
      <c r="AC208" s="256" t="n"/>
      <c r="AD208" s="256" t="n"/>
      <c r="AE208" s="256" t="n"/>
      <c r="AF208" s="256" t="n"/>
      <c r="AG208" s="256" t="n"/>
      <c r="AH208" s="256">
        <f>IFERROR(IFERROR(V208,0)+IFERROR(AC208,0)+IFERROR(AD208,0)+IFERROR(AE208,0)+IFERROR(AF208,0)+IFERROR(AG208,0),0)</f>
        <v/>
      </c>
    </row>
    <row r="209" ht="15" customHeight="1" s="199">
      <c r="A209" s="104" t="n"/>
      <c r="B209" s="104" t="n"/>
      <c r="C209" s="104" t="n"/>
      <c r="D209" s="105" t="n"/>
      <c r="E209" s="105" t="n"/>
      <c r="F209" s="105" t="n"/>
      <c r="G209" s="106" t="n"/>
      <c r="H209" s="106" t="n"/>
      <c r="I209" s="106" t="n"/>
      <c r="J209" s="107" t="n"/>
      <c r="K209" s="105" t="n"/>
      <c r="L209" s="106" t="n"/>
      <c r="M209" s="106" t="n"/>
      <c r="N209" s="106" t="n"/>
      <c r="O209" s="106" t="n"/>
      <c r="P209" s="105" t="n"/>
      <c r="Q209" s="107" t="n"/>
      <c r="R209" s="105" t="n"/>
      <c r="S209" s="107" t="n"/>
      <c r="T209" s="108">
        <f>IFERROR(L209+M209+N209+O209,0)</f>
        <v/>
      </c>
      <c r="U209" s="108">
        <f>IFERROR(H209+IFERROR(I209,0)+T209+IFERROR(AH209,0),0)</f>
        <v/>
      </c>
      <c r="V209" s="256" t="n"/>
      <c r="W209" s="257" t="n"/>
      <c r="X209" s="256" t="n"/>
      <c r="Y209" s="258" t="n"/>
      <c r="Z209" s="259" t="n"/>
      <c r="AA209" s="259" t="n"/>
      <c r="AB209" s="258" t="n"/>
      <c r="AC209" s="256" t="n"/>
      <c r="AD209" s="256" t="n"/>
      <c r="AE209" s="256" t="n"/>
      <c r="AF209" s="256" t="n"/>
      <c r="AG209" s="256" t="n"/>
      <c r="AH209" s="256">
        <f>IFERROR(IFERROR(V209,0)+IFERROR(AC209,0)+IFERROR(AD209,0)+IFERROR(AE209,0)+IFERROR(AF209,0)+IFERROR(AG209,0),0)</f>
        <v/>
      </c>
    </row>
    <row r="210" ht="15" customHeight="1" s="199">
      <c r="A210" s="104" t="n"/>
      <c r="B210" s="104" t="n"/>
      <c r="C210" s="104" t="n"/>
      <c r="D210" s="105" t="n"/>
      <c r="E210" s="105" t="n"/>
      <c r="F210" s="105" t="n"/>
      <c r="G210" s="106" t="n"/>
      <c r="H210" s="106" t="n"/>
      <c r="I210" s="106" t="n"/>
      <c r="J210" s="107" t="n"/>
      <c r="K210" s="105" t="n"/>
      <c r="L210" s="106" t="n"/>
      <c r="M210" s="106" t="n"/>
      <c r="N210" s="106" t="n"/>
      <c r="O210" s="106" t="n"/>
      <c r="P210" s="105" t="n"/>
      <c r="Q210" s="107" t="n"/>
      <c r="R210" s="105" t="n"/>
      <c r="S210" s="107" t="n"/>
      <c r="T210" s="108">
        <f>IFERROR(L210+M210+N210+O210,0)</f>
        <v/>
      </c>
      <c r="U210" s="108">
        <f>IFERROR(H210+IFERROR(I210,0)+T210+IFERROR(AH210,0),0)</f>
        <v/>
      </c>
      <c r="V210" s="256" t="n"/>
      <c r="W210" s="257" t="n"/>
      <c r="X210" s="256" t="n"/>
      <c r="Y210" s="258" t="n"/>
      <c r="Z210" s="259" t="n"/>
      <c r="AA210" s="259" t="n"/>
      <c r="AB210" s="258" t="n"/>
      <c r="AC210" s="256" t="n"/>
      <c r="AD210" s="256" t="n"/>
      <c r="AE210" s="256" t="n"/>
      <c r="AF210" s="256" t="n"/>
      <c r="AG210" s="256" t="n"/>
      <c r="AH210" s="256">
        <f>IFERROR(IFERROR(V210,0)+IFERROR(AC210,0)+IFERROR(AD210,0)+IFERROR(AE210,0)+IFERROR(AF210,0)+IFERROR(AG210,0),0)</f>
        <v/>
      </c>
    </row>
    <row r="211" ht="15" customHeight="1" s="199">
      <c r="A211" s="104" t="n"/>
      <c r="B211" s="104" t="n"/>
      <c r="C211" s="104" t="n"/>
      <c r="D211" s="105" t="n"/>
      <c r="E211" s="105" t="n"/>
      <c r="F211" s="105" t="n"/>
      <c r="G211" s="106" t="n"/>
      <c r="H211" s="106" t="n"/>
      <c r="I211" s="106" t="n"/>
      <c r="J211" s="107" t="n"/>
      <c r="K211" s="105" t="n"/>
      <c r="L211" s="106" t="n"/>
      <c r="M211" s="106" t="n"/>
      <c r="N211" s="106" t="n"/>
      <c r="O211" s="106" t="n"/>
      <c r="P211" s="105" t="n"/>
      <c r="Q211" s="107" t="n"/>
      <c r="R211" s="105" t="n"/>
      <c r="S211" s="107" t="n"/>
      <c r="T211" s="108">
        <f>IFERROR(L211+M211+N211+O211,0)</f>
        <v/>
      </c>
      <c r="U211" s="108">
        <f>IFERROR(H211+IFERROR(I211,0)+T211+IFERROR(AH211,0),0)</f>
        <v/>
      </c>
      <c r="V211" s="256" t="n"/>
      <c r="W211" s="257" t="n"/>
      <c r="X211" s="256" t="n"/>
      <c r="Y211" s="258" t="n"/>
      <c r="Z211" s="259" t="n"/>
      <c r="AA211" s="259" t="n"/>
      <c r="AB211" s="258" t="n"/>
      <c r="AC211" s="256" t="n"/>
      <c r="AD211" s="256" t="n"/>
      <c r="AE211" s="256" t="n"/>
      <c r="AF211" s="256" t="n"/>
      <c r="AG211" s="256" t="n"/>
      <c r="AH211" s="256">
        <f>IFERROR(IFERROR(V211,0)+IFERROR(AC211,0)+IFERROR(AD211,0)+IFERROR(AE211,0)+IFERROR(AF211,0)+IFERROR(AG211,0),0)</f>
        <v/>
      </c>
    </row>
    <row r="212" ht="15" customHeight="1" s="199">
      <c r="A212" s="104" t="n"/>
      <c r="B212" s="104" t="n"/>
      <c r="C212" s="104" t="n"/>
      <c r="D212" s="105" t="n"/>
      <c r="E212" s="105" t="n"/>
      <c r="F212" s="105" t="n"/>
      <c r="G212" s="106" t="n"/>
      <c r="H212" s="106" t="n"/>
      <c r="I212" s="106" t="n"/>
      <c r="J212" s="107" t="n"/>
      <c r="K212" s="105" t="n"/>
      <c r="L212" s="106" t="n"/>
      <c r="M212" s="106" t="n"/>
      <c r="N212" s="106" t="n"/>
      <c r="O212" s="106" t="n"/>
      <c r="P212" s="105" t="n"/>
      <c r="Q212" s="107" t="n"/>
      <c r="R212" s="105" t="n"/>
      <c r="S212" s="107" t="n"/>
      <c r="T212" s="108">
        <f>IFERROR(L212+M212+N212+O212,0)</f>
        <v/>
      </c>
      <c r="U212" s="108">
        <f>IFERROR(H212+IFERROR(I212,0)+T212+IFERROR(AH212,0),0)</f>
        <v/>
      </c>
      <c r="V212" s="256" t="n"/>
      <c r="W212" s="257" t="n"/>
      <c r="X212" s="256" t="n"/>
      <c r="Y212" s="258" t="n"/>
      <c r="Z212" s="259" t="n"/>
      <c r="AA212" s="259" t="n"/>
      <c r="AB212" s="258" t="n"/>
      <c r="AC212" s="256" t="n"/>
      <c r="AD212" s="256" t="n"/>
      <c r="AE212" s="256" t="n"/>
      <c r="AF212" s="256" t="n"/>
      <c r="AG212" s="256" t="n"/>
      <c r="AH212" s="256">
        <f>IFERROR(IFERROR(V212,0)+IFERROR(AC212,0)+IFERROR(AD212,0)+IFERROR(AE212,0)+IFERROR(AF212,0)+IFERROR(AG212,0),0)</f>
        <v/>
      </c>
    </row>
    <row r="213" ht="15" customHeight="1" s="199">
      <c r="A213" s="104" t="n"/>
      <c r="B213" s="104" t="n"/>
      <c r="C213" s="104" t="n"/>
      <c r="D213" s="105" t="n"/>
      <c r="E213" s="105" t="n"/>
      <c r="F213" s="105" t="n"/>
      <c r="G213" s="106" t="n"/>
      <c r="H213" s="106" t="n"/>
      <c r="I213" s="106" t="n"/>
      <c r="J213" s="107" t="n"/>
      <c r="K213" s="105" t="n"/>
      <c r="L213" s="106" t="n"/>
      <c r="M213" s="106" t="n"/>
      <c r="N213" s="106" t="n"/>
      <c r="O213" s="106" t="n"/>
      <c r="P213" s="105" t="n"/>
      <c r="Q213" s="107" t="n"/>
      <c r="R213" s="105" t="n"/>
      <c r="S213" s="107" t="n"/>
      <c r="T213" s="108">
        <f>IFERROR(L213+M213+N213+O213,0)</f>
        <v/>
      </c>
      <c r="U213" s="108">
        <f>IFERROR(H213+IFERROR(I213,0)+T213+IFERROR(AH213,0),0)</f>
        <v/>
      </c>
      <c r="V213" s="256" t="n"/>
      <c r="W213" s="257" t="n"/>
      <c r="X213" s="256" t="n"/>
      <c r="Y213" s="258" t="n"/>
      <c r="Z213" s="259" t="n"/>
      <c r="AA213" s="259" t="n"/>
      <c r="AB213" s="258" t="n"/>
      <c r="AC213" s="256" t="n"/>
      <c r="AD213" s="256" t="n"/>
      <c r="AE213" s="256" t="n"/>
      <c r="AF213" s="256" t="n"/>
      <c r="AG213" s="256" t="n"/>
      <c r="AH213" s="256">
        <f>IFERROR(IFERROR(V213,0)+IFERROR(AC213,0)+IFERROR(AD213,0)+IFERROR(AE213,0)+IFERROR(AF213,0)+IFERROR(AG213,0),0)</f>
        <v/>
      </c>
    </row>
    <row r="214" ht="15" customHeight="1" s="199">
      <c r="A214" s="104" t="n"/>
      <c r="B214" s="104" t="n"/>
      <c r="C214" s="104" t="n"/>
      <c r="D214" s="105" t="n"/>
      <c r="E214" s="105" t="n"/>
      <c r="F214" s="105" t="n"/>
      <c r="G214" s="106" t="n"/>
      <c r="H214" s="106" t="n"/>
      <c r="I214" s="106" t="n"/>
      <c r="J214" s="107" t="n"/>
      <c r="K214" s="105" t="n"/>
      <c r="L214" s="106" t="n"/>
      <c r="M214" s="106" t="n"/>
      <c r="N214" s="106" t="n"/>
      <c r="O214" s="106" t="n"/>
      <c r="P214" s="105" t="n"/>
      <c r="Q214" s="107" t="n"/>
      <c r="R214" s="105" t="n"/>
      <c r="S214" s="107" t="n"/>
      <c r="T214" s="108">
        <f>IFERROR(L214+M214+N214+O214,0)</f>
        <v/>
      </c>
      <c r="U214" s="108">
        <f>IFERROR(H214+IFERROR(I214,0)+T214+IFERROR(AH214,0),0)</f>
        <v/>
      </c>
      <c r="V214" s="256" t="n"/>
      <c r="W214" s="257" t="n"/>
      <c r="X214" s="256" t="n"/>
      <c r="Y214" s="258" t="n"/>
      <c r="Z214" s="259" t="n"/>
      <c r="AA214" s="259" t="n"/>
      <c r="AB214" s="258" t="n"/>
      <c r="AC214" s="256" t="n"/>
      <c r="AD214" s="256" t="n"/>
      <c r="AE214" s="256" t="n"/>
      <c r="AF214" s="256" t="n"/>
      <c r="AG214" s="256" t="n"/>
      <c r="AH214" s="256">
        <f>IFERROR(IFERROR(V214,0)+IFERROR(AC214,0)+IFERROR(AD214,0)+IFERROR(AE214,0)+IFERROR(AF214,0)+IFERROR(AG214,0),0)</f>
        <v/>
      </c>
    </row>
    <row r="215" ht="15" customHeight="1" s="199">
      <c r="A215" s="104" t="n"/>
      <c r="B215" s="104" t="n"/>
      <c r="C215" s="104" t="n"/>
      <c r="D215" s="105" t="n"/>
      <c r="E215" s="105" t="n"/>
      <c r="F215" s="105" t="n"/>
      <c r="G215" s="106" t="n"/>
      <c r="H215" s="106" t="n"/>
      <c r="I215" s="106" t="n"/>
      <c r="J215" s="107" t="n"/>
      <c r="K215" s="105" t="n"/>
      <c r="L215" s="106" t="n"/>
      <c r="M215" s="106" t="n"/>
      <c r="N215" s="106" t="n"/>
      <c r="O215" s="106" t="n"/>
      <c r="P215" s="105" t="n"/>
      <c r="Q215" s="107" t="n"/>
      <c r="R215" s="105" t="n"/>
      <c r="S215" s="107" t="n"/>
      <c r="T215" s="108">
        <f>IFERROR(L215+M215+N215+O215,0)</f>
        <v/>
      </c>
      <c r="U215" s="108">
        <f>IFERROR(H215+IFERROR(I215,0)+T215+IFERROR(AH215,0),0)</f>
        <v/>
      </c>
      <c r="V215" s="256" t="n"/>
      <c r="W215" s="257" t="n"/>
      <c r="X215" s="256" t="n"/>
      <c r="Y215" s="258" t="n"/>
      <c r="Z215" s="259" t="n"/>
      <c r="AA215" s="259" t="n"/>
      <c r="AB215" s="258" t="n"/>
      <c r="AC215" s="256" t="n"/>
      <c r="AD215" s="256" t="n"/>
      <c r="AE215" s="256" t="n"/>
      <c r="AF215" s="256" t="n"/>
      <c r="AG215" s="256" t="n"/>
      <c r="AH215" s="256">
        <f>IFERROR(IFERROR(V215,0)+IFERROR(AC215,0)+IFERROR(AD215,0)+IFERROR(AE215,0)+IFERROR(AF215,0)+IFERROR(AG215,0),0)</f>
        <v/>
      </c>
    </row>
    <row r="216" ht="15" customHeight="1" s="199">
      <c r="A216" s="104" t="n"/>
      <c r="B216" s="104" t="n"/>
      <c r="C216" s="104" t="n"/>
      <c r="D216" s="105" t="n"/>
      <c r="E216" s="105" t="n"/>
      <c r="F216" s="105" t="n"/>
      <c r="G216" s="106" t="n"/>
      <c r="H216" s="106" t="n"/>
      <c r="I216" s="106" t="n"/>
      <c r="J216" s="107" t="n"/>
      <c r="K216" s="105" t="n"/>
      <c r="L216" s="106" t="n"/>
      <c r="M216" s="106" t="n"/>
      <c r="N216" s="106" t="n"/>
      <c r="O216" s="106" t="n"/>
      <c r="P216" s="105" t="n"/>
      <c r="Q216" s="107" t="n"/>
      <c r="R216" s="105" t="n"/>
      <c r="S216" s="107" t="n"/>
      <c r="T216" s="108">
        <f>IFERROR(L216+M216+N216+O216,0)</f>
        <v/>
      </c>
      <c r="U216" s="108">
        <f>IFERROR(H216+IFERROR(I216,0)+T216+IFERROR(AH216,0),0)</f>
        <v/>
      </c>
      <c r="V216" s="256" t="n"/>
      <c r="W216" s="257" t="n"/>
      <c r="X216" s="256" t="n"/>
      <c r="Y216" s="258" t="n"/>
      <c r="Z216" s="259" t="n"/>
      <c r="AA216" s="259" t="n"/>
      <c r="AB216" s="258" t="n"/>
      <c r="AC216" s="256" t="n"/>
      <c r="AD216" s="256" t="n"/>
      <c r="AE216" s="256" t="n"/>
      <c r="AF216" s="256" t="n"/>
      <c r="AG216" s="256" t="n"/>
      <c r="AH216" s="256">
        <f>IFERROR(IFERROR(V216,0)+IFERROR(AC216,0)+IFERROR(AD216,0)+IFERROR(AE216,0)+IFERROR(AF216,0)+IFERROR(AG216,0),0)</f>
        <v/>
      </c>
    </row>
    <row r="217" ht="15" customHeight="1" s="199">
      <c r="A217" s="104" t="n"/>
      <c r="B217" s="104" t="n"/>
      <c r="C217" s="104" t="n"/>
      <c r="D217" s="105" t="n"/>
      <c r="E217" s="105" t="n"/>
      <c r="F217" s="105" t="n"/>
      <c r="G217" s="106" t="n"/>
      <c r="H217" s="106" t="n"/>
      <c r="I217" s="106" t="n"/>
      <c r="J217" s="107" t="n"/>
      <c r="K217" s="105" t="n"/>
      <c r="L217" s="106" t="n"/>
      <c r="M217" s="106" t="n"/>
      <c r="N217" s="106" t="n"/>
      <c r="O217" s="106" t="n"/>
      <c r="P217" s="105" t="n"/>
      <c r="Q217" s="107" t="n"/>
      <c r="R217" s="105" t="n"/>
      <c r="S217" s="107" t="n"/>
      <c r="T217" s="108">
        <f>IFERROR(L217+M217+N217+O217,0)</f>
        <v/>
      </c>
      <c r="U217" s="108">
        <f>IFERROR(H217+IFERROR(I217,0)+T217+IFERROR(AH217,0),0)</f>
        <v/>
      </c>
      <c r="V217" s="256" t="n"/>
      <c r="W217" s="257" t="n"/>
      <c r="X217" s="256" t="n"/>
      <c r="Y217" s="258" t="n"/>
      <c r="Z217" s="259" t="n"/>
      <c r="AA217" s="259" t="n"/>
      <c r="AB217" s="258" t="n"/>
      <c r="AC217" s="256" t="n"/>
      <c r="AD217" s="256" t="n"/>
      <c r="AE217" s="256" t="n"/>
      <c r="AF217" s="256" t="n"/>
      <c r="AG217" s="256" t="n"/>
      <c r="AH217" s="256">
        <f>IFERROR(IFERROR(V217,0)+IFERROR(AC217,0)+IFERROR(AD217,0)+IFERROR(AE217,0)+IFERROR(AF217,0)+IFERROR(AG217,0),0)</f>
        <v/>
      </c>
    </row>
    <row r="218" ht="15" customHeight="1" s="199">
      <c r="A218" s="104" t="n"/>
      <c r="B218" s="104" t="n"/>
      <c r="C218" s="104" t="n"/>
      <c r="D218" s="105" t="n"/>
      <c r="E218" s="105" t="n"/>
      <c r="F218" s="105" t="n"/>
      <c r="G218" s="106" t="n"/>
      <c r="H218" s="106" t="n"/>
      <c r="I218" s="106" t="n"/>
      <c r="J218" s="107" t="n"/>
      <c r="K218" s="105" t="n"/>
      <c r="L218" s="106" t="n"/>
      <c r="M218" s="106" t="n"/>
      <c r="N218" s="106" t="n"/>
      <c r="O218" s="106" t="n"/>
      <c r="P218" s="105" t="n"/>
      <c r="Q218" s="107" t="n"/>
      <c r="R218" s="105" t="n"/>
      <c r="S218" s="107" t="n"/>
      <c r="T218" s="108">
        <f>IFERROR(L218+M218+N218+O218,0)</f>
        <v/>
      </c>
      <c r="U218" s="108">
        <f>IFERROR(H218+IFERROR(I218,0)+T218+IFERROR(AH218,0),0)</f>
        <v/>
      </c>
      <c r="V218" s="256" t="n"/>
      <c r="W218" s="257" t="n"/>
      <c r="X218" s="256" t="n"/>
      <c r="Y218" s="258" t="n"/>
      <c r="Z218" s="259" t="n"/>
      <c r="AA218" s="259" t="n"/>
      <c r="AB218" s="258" t="n"/>
      <c r="AC218" s="256" t="n"/>
      <c r="AD218" s="256" t="n"/>
      <c r="AE218" s="256" t="n"/>
      <c r="AF218" s="256" t="n"/>
      <c r="AG218" s="256" t="n"/>
      <c r="AH218" s="256">
        <f>IFERROR(IFERROR(V218,0)+IFERROR(AC218,0)+IFERROR(AD218,0)+IFERROR(AE218,0)+IFERROR(AF218,0)+IFERROR(AG218,0),0)</f>
        <v/>
      </c>
    </row>
    <row r="219" ht="15" customHeight="1" s="199">
      <c r="A219" s="104" t="n"/>
      <c r="B219" s="104" t="n"/>
      <c r="C219" s="104" t="n"/>
      <c r="D219" s="105" t="n"/>
      <c r="E219" s="105" t="n"/>
      <c r="F219" s="105" t="n"/>
      <c r="G219" s="106" t="n"/>
      <c r="H219" s="106" t="n"/>
      <c r="I219" s="106" t="n"/>
      <c r="J219" s="107" t="n"/>
      <c r="K219" s="105" t="n"/>
      <c r="L219" s="106" t="n"/>
      <c r="M219" s="106" t="n"/>
      <c r="N219" s="106" t="n"/>
      <c r="O219" s="106" t="n"/>
      <c r="P219" s="105" t="n"/>
      <c r="Q219" s="107" t="n"/>
      <c r="R219" s="105" t="n"/>
      <c r="S219" s="107" t="n"/>
      <c r="T219" s="108">
        <f>IFERROR(L219+M219+N219+O219,0)</f>
        <v/>
      </c>
      <c r="U219" s="108">
        <f>IFERROR(H219+IFERROR(I219,0)+T219+IFERROR(AH219,0),0)</f>
        <v/>
      </c>
      <c r="V219" s="256" t="n"/>
      <c r="W219" s="257" t="n"/>
      <c r="X219" s="256" t="n"/>
      <c r="Y219" s="258" t="n"/>
      <c r="Z219" s="259" t="n"/>
      <c r="AA219" s="259" t="n"/>
      <c r="AB219" s="258" t="n"/>
      <c r="AC219" s="256" t="n"/>
      <c r="AD219" s="256" t="n"/>
      <c r="AE219" s="256" t="n"/>
      <c r="AF219" s="256" t="n"/>
      <c r="AG219" s="256" t="n"/>
      <c r="AH219" s="256">
        <f>IFERROR(IFERROR(V219,0)+IFERROR(AC219,0)+IFERROR(AD219,0)+IFERROR(AE219,0)+IFERROR(AF219,0)+IFERROR(AG219,0),0)</f>
        <v/>
      </c>
    </row>
    <row r="220" ht="15" customHeight="1" s="199">
      <c r="A220" s="104" t="n"/>
      <c r="B220" s="104" t="n"/>
      <c r="C220" s="104" t="n"/>
      <c r="D220" s="105" t="n"/>
      <c r="E220" s="105" t="n"/>
      <c r="F220" s="105" t="n"/>
      <c r="G220" s="106" t="n"/>
      <c r="H220" s="106" t="n"/>
      <c r="I220" s="106" t="n"/>
      <c r="J220" s="107" t="n"/>
      <c r="K220" s="105" t="n"/>
      <c r="L220" s="106" t="n"/>
      <c r="M220" s="106" t="n"/>
      <c r="N220" s="106" t="n"/>
      <c r="O220" s="106" t="n"/>
      <c r="P220" s="105" t="n"/>
      <c r="Q220" s="107" t="n"/>
      <c r="R220" s="105" t="n"/>
      <c r="S220" s="107" t="n"/>
      <c r="T220" s="108">
        <f>IFERROR(L220+M220+N220+O220,0)</f>
        <v/>
      </c>
      <c r="U220" s="108">
        <f>IFERROR(H220+IFERROR(I220,0)+T220+IFERROR(AH220,0),0)</f>
        <v/>
      </c>
      <c r="V220" s="256" t="n"/>
      <c r="W220" s="257" t="n"/>
      <c r="X220" s="256" t="n"/>
      <c r="Y220" s="258" t="n"/>
      <c r="Z220" s="259" t="n"/>
      <c r="AA220" s="259" t="n"/>
      <c r="AB220" s="258" t="n"/>
      <c r="AC220" s="256" t="n"/>
      <c r="AD220" s="256" t="n"/>
      <c r="AE220" s="256" t="n"/>
      <c r="AF220" s="256" t="n"/>
      <c r="AG220" s="256" t="n"/>
      <c r="AH220" s="256">
        <f>IFERROR(IFERROR(V220,0)+IFERROR(AC220,0)+IFERROR(AD220,0)+IFERROR(AE220,0)+IFERROR(AF220,0)+IFERROR(AG220,0),0)</f>
        <v/>
      </c>
    </row>
    <row r="221" ht="15" customHeight="1" s="199">
      <c r="A221" s="104" t="n"/>
      <c r="B221" s="104" t="n"/>
      <c r="C221" s="104" t="n"/>
      <c r="D221" s="105" t="n"/>
      <c r="E221" s="105" t="n"/>
      <c r="F221" s="105" t="n"/>
      <c r="G221" s="106" t="n"/>
      <c r="H221" s="106" t="n"/>
      <c r="I221" s="106" t="n"/>
      <c r="J221" s="107" t="n"/>
      <c r="K221" s="105" t="n"/>
      <c r="L221" s="106" t="n"/>
      <c r="M221" s="106" t="n"/>
      <c r="N221" s="106" t="n"/>
      <c r="O221" s="106" t="n"/>
      <c r="P221" s="105" t="n"/>
      <c r="Q221" s="107" t="n"/>
      <c r="R221" s="105" t="n"/>
      <c r="S221" s="107" t="n"/>
      <c r="T221" s="108">
        <f>IFERROR(L221+M221+N221+O221,0)</f>
        <v/>
      </c>
      <c r="U221" s="108">
        <f>IFERROR(H221+IFERROR(I221,0)+T221+IFERROR(AH221,0),0)</f>
        <v/>
      </c>
      <c r="V221" s="256" t="n"/>
      <c r="W221" s="257" t="n"/>
      <c r="X221" s="256" t="n"/>
      <c r="Y221" s="258" t="n"/>
      <c r="Z221" s="259" t="n"/>
      <c r="AA221" s="259" t="n"/>
      <c r="AB221" s="258" t="n"/>
      <c r="AC221" s="256" t="n"/>
      <c r="AD221" s="256" t="n"/>
      <c r="AE221" s="256" t="n"/>
      <c r="AF221" s="256" t="n"/>
      <c r="AG221" s="256" t="n"/>
      <c r="AH221" s="256">
        <f>IFERROR(IFERROR(V221,0)+IFERROR(AC221,0)+IFERROR(AD221,0)+IFERROR(AE221,0)+IFERROR(AF221,0)+IFERROR(AG221,0),0)</f>
        <v/>
      </c>
    </row>
    <row r="222" ht="15" customHeight="1" s="199">
      <c r="A222" s="104" t="n"/>
      <c r="B222" s="104" t="n"/>
      <c r="C222" s="104" t="n"/>
      <c r="D222" s="105" t="n"/>
      <c r="E222" s="105" t="n"/>
      <c r="F222" s="105" t="n"/>
      <c r="G222" s="106" t="n"/>
      <c r="H222" s="106" t="n"/>
      <c r="I222" s="106" t="n"/>
      <c r="J222" s="107" t="n"/>
      <c r="K222" s="105" t="n"/>
      <c r="L222" s="106" t="n"/>
      <c r="M222" s="106" t="n"/>
      <c r="N222" s="106" t="n"/>
      <c r="O222" s="106" t="n"/>
      <c r="P222" s="105" t="n"/>
      <c r="Q222" s="107" t="n"/>
      <c r="R222" s="105" t="n"/>
      <c r="S222" s="107" t="n"/>
      <c r="T222" s="108">
        <f>IFERROR(L222+M222+N222+O222,0)</f>
        <v/>
      </c>
      <c r="U222" s="108">
        <f>IFERROR(H222+IFERROR(I222,0)+T222+IFERROR(AH222,0),0)</f>
        <v/>
      </c>
      <c r="V222" s="256" t="n"/>
      <c r="W222" s="257" t="n"/>
      <c r="X222" s="256" t="n"/>
      <c r="Y222" s="258" t="n"/>
      <c r="Z222" s="259" t="n"/>
      <c r="AA222" s="259" t="n"/>
      <c r="AB222" s="258" t="n"/>
      <c r="AC222" s="256" t="n"/>
      <c r="AD222" s="256" t="n"/>
      <c r="AE222" s="256" t="n"/>
      <c r="AF222" s="256" t="n"/>
      <c r="AG222" s="256" t="n"/>
      <c r="AH222" s="256">
        <f>IFERROR(IFERROR(V222,0)+IFERROR(AC222,0)+IFERROR(AD222,0)+IFERROR(AE222,0)+IFERROR(AF222,0)+IFERROR(AG222,0),0)</f>
        <v/>
      </c>
    </row>
    <row r="223" ht="15" customHeight="1" s="199">
      <c r="A223" s="104" t="n"/>
      <c r="B223" s="104" t="n"/>
      <c r="C223" s="104" t="n"/>
      <c r="D223" s="105" t="n"/>
      <c r="E223" s="105" t="n"/>
      <c r="F223" s="105" t="n"/>
      <c r="G223" s="106" t="n"/>
      <c r="H223" s="106" t="n"/>
      <c r="I223" s="106" t="n"/>
      <c r="J223" s="107" t="n"/>
      <c r="K223" s="105" t="n"/>
      <c r="L223" s="106" t="n"/>
      <c r="M223" s="106" t="n"/>
      <c r="N223" s="106" t="n"/>
      <c r="O223" s="106" t="n"/>
      <c r="P223" s="105" t="n"/>
      <c r="Q223" s="107" t="n"/>
      <c r="R223" s="105" t="n"/>
      <c r="S223" s="107" t="n"/>
      <c r="T223" s="108">
        <f>IFERROR(L223+M223+N223+O223,0)</f>
        <v/>
      </c>
      <c r="U223" s="108">
        <f>IFERROR(H223+IFERROR(I223,0)+T223+IFERROR(AH223,0),0)</f>
        <v/>
      </c>
      <c r="V223" s="256" t="n"/>
      <c r="W223" s="257" t="n"/>
      <c r="X223" s="256" t="n"/>
      <c r="Y223" s="258" t="n"/>
      <c r="Z223" s="259" t="n"/>
      <c r="AA223" s="259" t="n"/>
      <c r="AB223" s="258" t="n"/>
      <c r="AC223" s="256" t="n"/>
      <c r="AD223" s="256" t="n"/>
      <c r="AE223" s="256" t="n"/>
      <c r="AF223" s="256" t="n"/>
      <c r="AG223" s="256" t="n"/>
      <c r="AH223" s="256">
        <f>IFERROR(IFERROR(V223,0)+IFERROR(AC223,0)+IFERROR(AD223,0)+IFERROR(AE223,0)+IFERROR(AF223,0)+IFERROR(AG223,0),0)</f>
        <v/>
      </c>
    </row>
    <row r="224" ht="15" customHeight="1" s="199">
      <c r="A224" s="104" t="n"/>
      <c r="B224" s="104" t="n"/>
      <c r="C224" s="104" t="n"/>
      <c r="D224" s="105" t="n"/>
      <c r="E224" s="105" t="n"/>
      <c r="F224" s="105" t="n"/>
      <c r="G224" s="106" t="n"/>
      <c r="H224" s="106" t="n"/>
      <c r="I224" s="106" t="n"/>
      <c r="J224" s="107" t="n"/>
      <c r="K224" s="105" t="n"/>
      <c r="L224" s="106" t="n"/>
      <c r="M224" s="106" t="n"/>
      <c r="N224" s="106" t="n"/>
      <c r="O224" s="106" t="n"/>
      <c r="P224" s="105" t="n"/>
      <c r="Q224" s="107" t="n"/>
      <c r="R224" s="105" t="n"/>
      <c r="S224" s="107" t="n"/>
      <c r="T224" s="108">
        <f>IFERROR(L224+M224+N224+O224,0)</f>
        <v/>
      </c>
      <c r="U224" s="108">
        <f>IFERROR(H224+IFERROR(I224,0)+T224+IFERROR(AH224,0),0)</f>
        <v/>
      </c>
      <c r="V224" s="256" t="n"/>
      <c r="W224" s="257" t="n"/>
      <c r="X224" s="256" t="n"/>
      <c r="Y224" s="258" t="n"/>
      <c r="Z224" s="259" t="n"/>
      <c r="AA224" s="259" t="n"/>
      <c r="AB224" s="258" t="n"/>
      <c r="AC224" s="256" t="n"/>
      <c r="AD224" s="256" t="n"/>
      <c r="AE224" s="256" t="n"/>
      <c r="AF224" s="256" t="n"/>
      <c r="AG224" s="256" t="n"/>
      <c r="AH224" s="256">
        <f>IFERROR(IFERROR(V224,0)+IFERROR(AC224,0)+IFERROR(AD224,0)+IFERROR(AE224,0)+IFERROR(AF224,0)+IFERROR(AG224,0),0)</f>
        <v/>
      </c>
    </row>
    <row r="225" ht="15" customHeight="1" s="199">
      <c r="A225" s="104" t="n"/>
      <c r="B225" s="104" t="n"/>
      <c r="C225" s="104" t="n"/>
      <c r="D225" s="105" t="n"/>
      <c r="E225" s="105" t="n"/>
      <c r="F225" s="105" t="n"/>
      <c r="G225" s="106" t="n"/>
      <c r="H225" s="106" t="n"/>
      <c r="I225" s="106" t="n"/>
      <c r="J225" s="107" t="n"/>
      <c r="K225" s="105" t="n"/>
      <c r="L225" s="106" t="n"/>
      <c r="M225" s="106" t="n"/>
      <c r="N225" s="106" t="n"/>
      <c r="O225" s="106" t="n"/>
      <c r="P225" s="105" t="n"/>
      <c r="Q225" s="107" t="n"/>
      <c r="R225" s="105" t="n"/>
      <c r="S225" s="107" t="n"/>
      <c r="T225" s="108">
        <f>IFERROR(L225+M225+N225+O225,0)</f>
        <v/>
      </c>
      <c r="U225" s="108">
        <f>IFERROR(H225+IFERROR(I225,0)+T225+IFERROR(AH225,0),0)</f>
        <v/>
      </c>
      <c r="V225" s="256" t="n"/>
      <c r="W225" s="257" t="n"/>
      <c r="X225" s="256" t="n"/>
      <c r="Y225" s="258" t="n"/>
      <c r="Z225" s="259" t="n"/>
      <c r="AA225" s="259" t="n"/>
      <c r="AB225" s="258" t="n"/>
      <c r="AC225" s="256" t="n"/>
      <c r="AD225" s="256" t="n"/>
      <c r="AE225" s="256" t="n"/>
      <c r="AF225" s="256" t="n"/>
      <c r="AG225" s="256" t="n"/>
      <c r="AH225" s="256">
        <f>IFERROR(IFERROR(V225,0)+IFERROR(AC225,0)+IFERROR(AD225,0)+IFERROR(AE225,0)+IFERROR(AF225,0)+IFERROR(AG225,0),0)</f>
        <v/>
      </c>
    </row>
    <row r="226" ht="15" customHeight="1" s="199">
      <c r="A226" s="104" t="n"/>
      <c r="B226" s="104" t="n"/>
      <c r="C226" s="104" t="n"/>
      <c r="D226" s="105" t="n"/>
      <c r="E226" s="105" t="n"/>
      <c r="F226" s="105" t="n"/>
      <c r="G226" s="106" t="n"/>
      <c r="H226" s="106" t="n"/>
      <c r="I226" s="106" t="n"/>
      <c r="J226" s="107" t="n"/>
      <c r="K226" s="105" t="n"/>
      <c r="L226" s="106" t="n"/>
      <c r="M226" s="106" t="n"/>
      <c r="N226" s="106" t="n"/>
      <c r="O226" s="106" t="n"/>
      <c r="P226" s="105" t="n"/>
      <c r="Q226" s="107" t="n"/>
      <c r="R226" s="105" t="n"/>
      <c r="S226" s="107" t="n"/>
      <c r="T226" s="108">
        <f>IFERROR(L226+M226+N226+O226,0)</f>
        <v/>
      </c>
      <c r="U226" s="108">
        <f>IFERROR(H226+IFERROR(I226,0)+T226+IFERROR(AH226,0),0)</f>
        <v/>
      </c>
      <c r="V226" s="256" t="n"/>
      <c r="W226" s="257" t="n"/>
      <c r="X226" s="256" t="n"/>
      <c r="Y226" s="258" t="n"/>
      <c r="Z226" s="259" t="n"/>
      <c r="AA226" s="259" t="n"/>
      <c r="AB226" s="258" t="n"/>
      <c r="AC226" s="256" t="n"/>
      <c r="AD226" s="256" t="n"/>
      <c r="AE226" s="256" t="n"/>
      <c r="AF226" s="256" t="n"/>
      <c r="AG226" s="256" t="n"/>
      <c r="AH226" s="256">
        <f>IFERROR(IFERROR(V226,0)+IFERROR(AC226,0)+IFERROR(AD226,0)+IFERROR(AE226,0)+IFERROR(AF226,0)+IFERROR(AG226,0),0)</f>
        <v/>
      </c>
    </row>
    <row r="227" ht="15" customHeight="1" s="199">
      <c r="A227" s="104" t="n"/>
      <c r="B227" s="104" t="n"/>
      <c r="C227" s="104" t="n"/>
      <c r="D227" s="105" t="n"/>
      <c r="E227" s="105" t="n"/>
      <c r="F227" s="105" t="n"/>
      <c r="G227" s="106" t="n"/>
      <c r="H227" s="106" t="n"/>
      <c r="I227" s="106" t="n"/>
      <c r="J227" s="107" t="n"/>
      <c r="K227" s="105" t="n"/>
      <c r="L227" s="106" t="n"/>
      <c r="M227" s="106" t="n"/>
      <c r="N227" s="106" t="n"/>
      <c r="O227" s="106" t="n"/>
      <c r="P227" s="105" t="n"/>
      <c r="Q227" s="107" t="n"/>
      <c r="R227" s="105" t="n"/>
      <c r="S227" s="107" t="n"/>
      <c r="T227" s="108">
        <f>IFERROR(L227+M227+N227+O227,0)</f>
        <v/>
      </c>
      <c r="U227" s="108">
        <f>IFERROR(H227+IFERROR(I227,0)+T227+IFERROR(AH227,0),0)</f>
        <v/>
      </c>
      <c r="V227" s="256" t="n"/>
      <c r="W227" s="257" t="n"/>
      <c r="X227" s="256" t="n"/>
      <c r="Y227" s="258" t="n"/>
      <c r="Z227" s="259" t="n"/>
      <c r="AA227" s="259" t="n"/>
      <c r="AB227" s="258" t="n"/>
      <c r="AC227" s="256" t="n"/>
      <c r="AD227" s="256" t="n"/>
      <c r="AE227" s="256" t="n"/>
      <c r="AF227" s="256" t="n"/>
      <c r="AG227" s="256" t="n"/>
      <c r="AH227" s="256">
        <f>IFERROR(IFERROR(V227,0)+IFERROR(AC227,0)+IFERROR(AD227,0)+IFERROR(AE227,0)+IFERROR(AF227,0)+IFERROR(AG227,0),0)</f>
        <v/>
      </c>
    </row>
    <row r="228" ht="15" customHeight="1" s="199">
      <c r="A228" s="104" t="n"/>
      <c r="B228" s="104" t="n"/>
      <c r="C228" s="104" t="n"/>
      <c r="D228" s="105" t="n"/>
      <c r="E228" s="105" t="n"/>
      <c r="F228" s="105" t="n"/>
      <c r="G228" s="106" t="n"/>
      <c r="H228" s="106" t="n"/>
      <c r="I228" s="106" t="n"/>
      <c r="J228" s="107" t="n"/>
      <c r="K228" s="105" t="n"/>
      <c r="L228" s="106" t="n"/>
      <c r="M228" s="106" t="n"/>
      <c r="N228" s="106" t="n"/>
      <c r="O228" s="106" t="n"/>
      <c r="P228" s="105" t="n"/>
      <c r="Q228" s="107" t="n"/>
      <c r="R228" s="105" t="n"/>
      <c r="S228" s="107" t="n"/>
      <c r="T228" s="108">
        <f>IFERROR(L228+M228+N228+O228,0)</f>
        <v/>
      </c>
      <c r="U228" s="108">
        <f>IFERROR(H228+IFERROR(I228,0)+T228+IFERROR(AH228,0),0)</f>
        <v/>
      </c>
      <c r="V228" s="256" t="n"/>
      <c r="W228" s="257" t="n"/>
      <c r="X228" s="256" t="n"/>
      <c r="Y228" s="258" t="n"/>
      <c r="Z228" s="259" t="n"/>
      <c r="AA228" s="259" t="n"/>
      <c r="AB228" s="258" t="n"/>
      <c r="AC228" s="256" t="n"/>
      <c r="AD228" s="256" t="n"/>
      <c r="AE228" s="256" t="n"/>
      <c r="AF228" s="256" t="n"/>
      <c r="AG228" s="256" t="n"/>
      <c r="AH228" s="256">
        <f>IFERROR(IFERROR(V228,0)+IFERROR(AC228,0)+IFERROR(AD228,0)+IFERROR(AE228,0)+IFERROR(AF228,0)+IFERROR(AG228,0),0)</f>
        <v/>
      </c>
    </row>
    <row r="229" ht="15" customHeight="1" s="199">
      <c r="A229" s="104" t="n"/>
      <c r="B229" s="104" t="n"/>
      <c r="C229" s="104" t="n"/>
      <c r="D229" s="105" t="n"/>
      <c r="E229" s="105" t="n"/>
      <c r="F229" s="105" t="n"/>
      <c r="G229" s="106" t="n"/>
      <c r="H229" s="106" t="n"/>
      <c r="I229" s="106" t="n"/>
      <c r="J229" s="107" t="n"/>
      <c r="K229" s="105" t="n"/>
      <c r="L229" s="106" t="n"/>
      <c r="M229" s="106" t="n"/>
      <c r="N229" s="106" t="n"/>
      <c r="O229" s="106" t="n"/>
      <c r="P229" s="105" t="n"/>
      <c r="Q229" s="107" t="n"/>
      <c r="R229" s="105" t="n"/>
      <c r="S229" s="107" t="n"/>
      <c r="T229" s="108">
        <f>IFERROR(L229+M229+N229+O229,0)</f>
        <v/>
      </c>
      <c r="U229" s="108">
        <f>IFERROR(H229+IFERROR(I229,0)+T229+IFERROR(AH229,0),0)</f>
        <v/>
      </c>
      <c r="V229" s="256" t="n"/>
      <c r="W229" s="257" t="n"/>
      <c r="X229" s="256" t="n"/>
      <c r="Y229" s="258" t="n"/>
      <c r="Z229" s="259" t="n"/>
      <c r="AA229" s="259" t="n"/>
      <c r="AB229" s="258" t="n"/>
      <c r="AC229" s="256" t="n"/>
      <c r="AD229" s="256" t="n"/>
      <c r="AE229" s="256" t="n"/>
      <c r="AF229" s="256" t="n"/>
      <c r="AG229" s="256" t="n"/>
      <c r="AH229" s="256">
        <f>IFERROR(IFERROR(V229,0)+IFERROR(AC229,0)+IFERROR(AD229,0)+IFERROR(AE229,0)+IFERROR(AF229,0)+IFERROR(AG229,0),0)</f>
        <v/>
      </c>
    </row>
    <row r="230" ht="15" customHeight="1" s="199">
      <c r="A230" s="104" t="n"/>
      <c r="B230" s="104" t="n"/>
      <c r="C230" s="104" t="n"/>
      <c r="D230" s="105" t="n"/>
      <c r="E230" s="105" t="n"/>
      <c r="F230" s="105" t="n"/>
      <c r="G230" s="106" t="n"/>
      <c r="H230" s="106" t="n"/>
      <c r="I230" s="106" t="n"/>
      <c r="J230" s="107" t="n"/>
      <c r="K230" s="105" t="n"/>
      <c r="L230" s="106" t="n"/>
      <c r="M230" s="106" t="n"/>
      <c r="N230" s="106" t="n"/>
      <c r="O230" s="106" t="n"/>
      <c r="P230" s="105" t="n"/>
      <c r="Q230" s="107" t="n"/>
      <c r="R230" s="105" t="n"/>
      <c r="S230" s="107" t="n"/>
      <c r="T230" s="108">
        <f>IFERROR(L230+M230+N230+O230,0)</f>
        <v/>
      </c>
      <c r="U230" s="108">
        <f>IFERROR(H230+IFERROR(I230,0)+T230+IFERROR(AH230,0),0)</f>
        <v/>
      </c>
      <c r="V230" s="256" t="n"/>
      <c r="W230" s="257" t="n"/>
      <c r="X230" s="256" t="n"/>
      <c r="Y230" s="258" t="n"/>
      <c r="Z230" s="259" t="n"/>
      <c r="AA230" s="259" t="n"/>
      <c r="AB230" s="258" t="n"/>
      <c r="AC230" s="256" t="n"/>
      <c r="AD230" s="256" t="n"/>
      <c r="AE230" s="256" t="n"/>
      <c r="AF230" s="256" t="n"/>
      <c r="AG230" s="256" t="n"/>
      <c r="AH230" s="256">
        <f>IFERROR(IFERROR(V230,0)+IFERROR(AC230,0)+IFERROR(AD230,0)+IFERROR(AE230,0)+IFERROR(AF230,0)+IFERROR(AG230,0),0)</f>
        <v/>
      </c>
    </row>
    <row r="231" ht="15" customHeight="1" s="199">
      <c r="A231" s="104" t="n"/>
      <c r="B231" s="104" t="n"/>
      <c r="C231" s="104" t="n"/>
      <c r="D231" s="105" t="n"/>
      <c r="E231" s="105" t="n"/>
      <c r="F231" s="105" t="n"/>
      <c r="G231" s="106" t="n"/>
      <c r="H231" s="106" t="n"/>
      <c r="I231" s="106" t="n"/>
      <c r="J231" s="107" t="n"/>
      <c r="K231" s="105" t="n"/>
      <c r="L231" s="106" t="n"/>
      <c r="M231" s="106" t="n"/>
      <c r="N231" s="106" t="n"/>
      <c r="O231" s="106" t="n"/>
      <c r="P231" s="105" t="n"/>
      <c r="Q231" s="107" t="n"/>
      <c r="R231" s="105" t="n"/>
      <c r="S231" s="107" t="n"/>
      <c r="T231" s="108">
        <f>IFERROR(L231+M231+N231+O231,0)</f>
        <v/>
      </c>
      <c r="U231" s="108">
        <f>IFERROR(H231+IFERROR(I231,0)+T231+IFERROR(AH231,0),0)</f>
        <v/>
      </c>
      <c r="V231" s="256" t="n"/>
      <c r="W231" s="257" t="n"/>
      <c r="X231" s="256" t="n"/>
      <c r="Y231" s="258" t="n"/>
      <c r="Z231" s="259" t="n"/>
      <c r="AA231" s="259" t="n"/>
      <c r="AB231" s="258" t="n"/>
      <c r="AC231" s="256" t="n"/>
      <c r="AD231" s="256" t="n"/>
      <c r="AE231" s="256" t="n"/>
      <c r="AF231" s="256" t="n"/>
      <c r="AG231" s="256" t="n"/>
      <c r="AH231" s="256">
        <f>IFERROR(IFERROR(V231,0)+IFERROR(AC231,0)+IFERROR(AD231,0)+IFERROR(AE231,0)+IFERROR(AF231,0)+IFERROR(AG231,0),0)</f>
        <v/>
      </c>
    </row>
    <row r="232" ht="15" customHeight="1" s="199">
      <c r="A232" s="104" t="n"/>
      <c r="B232" s="104" t="n"/>
      <c r="C232" s="104" t="n"/>
      <c r="D232" s="105" t="n"/>
      <c r="E232" s="105" t="n"/>
      <c r="F232" s="105" t="n"/>
      <c r="G232" s="106" t="n"/>
      <c r="H232" s="106" t="n"/>
      <c r="I232" s="106" t="n"/>
      <c r="J232" s="107" t="n"/>
      <c r="K232" s="105" t="n"/>
      <c r="L232" s="106" t="n"/>
      <c r="M232" s="106" t="n"/>
      <c r="N232" s="106" t="n"/>
      <c r="O232" s="106" t="n"/>
      <c r="P232" s="105" t="n"/>
      <c r="Q232" s="107" t="n"/>
      <c r="R232" s="105" t="n"/>
      <c r="S232" s="107" t="n"/>
      <c r="T232" s="108">
        <f>IFERROR(L232+M232+N232+O232,0)</f>
        <v/>
      </c>
      <c r="U232" s="108">
        <f>IFERROR(H232+IFERROR(I232,0)+T232+IFERROR(AH232,0),0)</f>
        <v/>
      </c>
      <c r="V232" s="256" t="n"/>
      <c r="W232" s="257" t="n"/>
      <c r="X232" s="256" t="n"/>
      <c r="Y232" s="258" t="n"/>
      <c r="Z232" s="259" t="n"/>
      <c r="AA232" s="259" t="n"/>
      <c r="AB232" s="258" t="n"/>
      <c r="AC232" s="256" t="n"/>
      <c r="AD232" s="256" t="n"/>
      <c r="AE232" s="256" t="n"/>
      <c r="AF232" s="256" t="n"/>
      <c r="AG232" s="256" t="n"/>
      <c r="AH232" s="256">
        <f>IFERROR(IFERROR(V232,0)+IFERROR(AC232,0)+IFERROR(AD232,0)+IFERROR(AE232,0)+IFERROR(AF232,0)+IFERROR(AG232,0),0)</f>
        <v/>
      </c>
    </row>
    <row r="233" ht="15" customHeight="1" s="199">
      <c r="A233" s="104" t="n"/>
      <c r="B233" s="104" t="n"/>
      <c r="C233" s="104" t="n"/>
      <c r="D233" s="105" t="n"/>
      <c r="E233" s="105" t="n"/>
      <c r="F233" s="105" t="n"/>
      <c r="G233" s="106" t="n"/>
      <c r="H233" s="106" t="n"/>
      <c r="I233" s="106" t="n"/>
      <c r="J233" s="107" t="n"/>
      <c r="K233" s="105" t="n"/>
      <c r="L233" s="106" t="n"/>
      <c r="M233" s="106" t="n"/>
      <c r="N233" s="106" t="n"/>
      <c r="O233" s="106" t="n"/>
      <c r="P233" s="105" t="n"/>
      <c r="Q233" s="107" t="n"/>
      <c r="R233" s="105" t="n"/>
      <c r="S233" s="107" t="n"/>
      <c r="T233" s="108">
        <f>IFERROR(L233+M233+N233+O233,0)</f>
        <v/>
      </c>
      <c r="U233" s="108">
        <f>IFERROR(H233+IFERROR(I233,0)+T233+IFERROR(AH233,0),0)</f>
        <v/>
      </c>
      <c r="V233" s="256" t="n"/>
      <c r="W233" s="257" t="n"/>
      <c r="X233" s="256" t="n"/>
      <c r="Y233" s="258" t="n"/>
      <c r="Z233" s="259" t="n"/>
      <c r="AA233" s="259" t="n"/>
      <c r="AB233" s="258" t="n"/>
      <c r="AC233" s="256" t="n"/>
      <c r="AD233" s="256" t="n"/>
      <c r="AE233" s="256" t="n"/>
      <c r="AF233" s="256" t="n"/>
      <c r="AG233" s="256" t="n"/>
      <c r="AH233" s="256">
        <f>IFERROR(IFERROR(V233,0)+IFERROR(AC233,0)+IFERROR(AD233,0)+IFERROR(AE233,0)+IFERROR(AF233,0)+IFERROR(AG233,0),0)</f>
        <v/>
      </c>
    </row>
    <row r="234" ht="15" customHeight="1" s="199">
      <c r="A234" s="104" t="n"/>
      <c r="B234" s="104" t="n"/>
      <c r="C234" s="104" t="n"/>
      <c r="D234" s="105" t="n"/>
      <c r="E234" s="105" t="n"/>
      <c r="F234" s="105" t="n"/>
      <c r="G234" s="106" t="n"/>
      <c r="H234" s="106" t="n"/>
      <c r="I234" s="106" t="n"/>
      <c r="J234" s="107" t="n"/>
      <c r="K234" s="105" t="n"/>
      <c r="L234" s="106" t="n"/>
      <c r="M234" s="106" t="n"/>
      <c r="N234" s="106" t="n"/>
      <c r="O234" s="106" t="n"/>
      <c r="P234" s="105" t="n"/>
      <c r="Q234" s="107" t="n"/>
      <c r="R234" s="105" t="n"/>
      <c r="S234" s="107" t="n"/>
      <c r="T234" s="108">
        <f>IFERROR(L234+M234+N234+O234,0)</f>
        <v/>
      </c>
      <c r="U234" s="108">
        <f>IFERROR(H234+IFERROR(I234,0)+T234+IFERROR(AH234,0),0)</f>
        <v/>
      </c>
      <c r="V234" s="256" t="n"/>
      <c r="W234" s="257" t="n"/>
      <c r="X234" s="256" t="n"/>
      <c r="Y234" s="258" t="n"/>
      <c r="Z234" s="259" t="n"/>
      <c r="AA234" s="259" t="n"/>
      <c r="AB234" s="258" t="n"/>
      <c r="AC234" s="256" t="n"/>
      <c r="AD234" s="256" t="n"/>
      <c r="AE234" s="256" t="n"/>
      <c r="AF234" s="256" t="n"/>
      <c r="AG234" s="256" t="n"/>
      <c r="AH234" s="256">
        <f>IFERROR(IFERROR(V234,0)+IFERROR(AC234,0)+IFERROR(AD234,0)+IFERROR(AE234,0)+IFERROR(AF234,0)+IFERROR(AG234,0),0)</f>
        <v/>
      </c>
    </row>
    <row r="235" ht="15" customHeight="1" s="199">
      <c r="A235" s="104" t="n"/>
      <c r="B235" s="104" t="n"/>
      <c r="C235" s="104" t="n"/>
      <c r="D235" s="105" t="n"/>
      <c r="E235" s="105" t="n"/>
      <c r="F235" s="105" t="n"/>
      <c r="G235" s="106" t="n"/>
      <c r="H235" s="106" t="n"/>
      <c r="I235" s="106" t="n"/>
      <c r="J235" s="107" t="n"/>
      <c r="K235" s="105" t="n"/>
      <c r="L235" s="106" t="n"/>
      <c r="M235" s="106" t="n"/>
      <c r="N235" s="106" t="n"/>
      <c r="O235" s="106" t="n"/>
      <c r="P235" s="105" t="n"/>
      <c r="Q235" s="107" t="n"/>
      <c r="R235" s="105" t="n"/>
      <c r="S235" s="107" t="n"/>
      <c r="T235" s="108">
        <f>IFERROR(L235+M235+N235+O235,0)</f>
        <v/>
      </c>
      <c r="U235" s="108">
        <f>IFERROR(H235+IFERROR(I235,0)+T235+IFERROR(AH235,0),0)</f>
        <v/>
      </c>
      <c r="V235" s="256" t="n"/>
      <c r="W235" s="257" t="n"/>
      <c r="X235" s="256" t="n"/>
      <c r="Y235" s="258" t="n"/>
      <c r="Z235" s="259" t="n"/>
      <c r="AA235" s="259" t="n"/>
      <c r="AB235" s="258" t="n"/>
      <c r="AC235" s="256" t="n"/>
      <c r="AD235" s="256" t="n"/>
      <c r="AE235" s="256" t="n"/>
      <c r="AF235" s="256" t="n"/>
      <c r="AG235" s="256" t="n"/>
      <c r="AH235" s="256">
        <f>IFERROR(IFERROR(V235,0)+IFERROR(AC235,0)+IFERROR(AD235,0)+IFERROR(AE235,0)+IFERROR(AF235,0)+IFERROR(AG235,0),0)</f>
        <v/>
      </c>
    </row>
    <row r="236" ht="15" customHeight="1" s="199">
      <c r="A236" s="104" t="n"/>
      <c r="B236" s="104" t="n"/>
      <c r="C236" s="104" t="n"/>
      <c r="D236" s="105" t="n"/>
      <c r="E236" s="105" t="n"/>
      <c r="F236" s="105" t="n"/>
      <c r="G236" s="106" t="n"/>
      <c r="H236" s="106" t="n"/>
      <c r="I236" s="106" t="n"/>
      <c r="J236" s="107" t="n"/>
      <c r="K236" s="105" t="n"/>
      <c r="L236" s="106" t="n"/>
      <c r="M236" s="106" t="n"/>
      <c r="N236" s="106" t="n"/>
      <c r="O236" s="106" t="n"/>
      <c r="P236" s="105" t="n"/>
      <c r="Q236" s="107" t="n"/>
      <c r="R236" s="105" t="n"/>
      <c r="S236" s="107" t="n"/>
      <c r="T236" s="108">
        <f>IFERROR(L236+M236+N236+O236,0)</f>
        <v/>
      </c>
      <c r="U236" s="108">
        <f>IFERROR(H236+IFERROR(I236,0)+T236+IFERROR(AH236,0),0)</f>
        <v/>
      </c>
      <c r="V236" s="256" t="n"/>
      <c r="W236" s="257" t="n"/>
      <c r="X236" s="256" t="n"/>
      <c r="Y236" s="258" t="n"/>
      <c r="Z236" s="259" t="n"/>
      <c r="AA236" s="259" t="n"/>
      <c r="AB236" s="258" t="n"/>
      <c r="AC236" s="256" t="n"/>
      <c r="AD236" s="256" t="n"/>
      <c r="AE236" s="256" t="n"/>
      <c r="AF236" s="256" t="n"/>
      <c r="AG236" s="256" t="n"/>
      <c r="AH236" s="256">
        <f>IFERROR(IFERROR(V236,0)+IFERROR(AC236,0)+IFERROR(AD236,0)+IFERROR(AE236,0)+IFERROR(AF236,0)+IFERROR(AG236,0),0)</f>
        <v/>
      </c>
    </row>
    <row r="237" ht="15" customHeight="1" s="199">
      <c r="A237" s="104" t="n"/>
      <c r="B237" s="104" t="n"/>
      <c r="C237" s="104" t="n"/>
      <c r="D237" s="105" t="n"/>
      <c r="E237" s="105" t="n"/>
      <c r="F237" s="105" t="n"/>
      <c r="G237" s="106" t="n"/>
      <c r="H237" s="106" t="n"/>
      <c r="I237" s="106" t="n"/>
      <c r="J237" s="107" t="n"/>
      <c r="K237" s="105" t="n"/>
      <c r="L237" s="106" t="n"/>
      <c r="M237" s="106" t="n"/>
      <c r="N237" s="106" t="n"/>
      <c r="O237" s="106" t="n"/>
      <c r="P237" s="105" t="n"/>
      <c r="Q237" s="107" t="n"/>
      <c r="R237" s="105" t="n"/>
      <c r="S237" s="107" t="n"/>
      <c r="T237" s="108">
        <f>IFERROR(L237+M237+N237+O237,0)</f>
        <v/>
      </c>
      <c r="U237" s="108">
        <f>IFERROR(H237+IFERROR(I237,0)+T237+IFERROR(AH237,0),0)</f>
        <v/>
      </c>
      <c r="V237" s="256" t="n"/>
      <c r="W237" s="257" t="n"/>
      <c r="X237" s="256" t="n"/>
      <c r="Y237" s="258" t="n"/>
      <c r="Z237" s="259" t="n"/>
      <c r="AA237" s="259" t="n"/>
      <c r="AB237" s="258" t="n"/>
      <c r="AC237" s="256" t="n"/>
      <c r="AD237" s="256" t="n"/>
      <c r="AE237" s="256" t="n"/>
      <c r="AF237" s="256" t="n"/>
      <c r="AG237" s="256" t="n"/>
      <c r="AH237" s="256">
        <f>IFERROR(IFERROR(V237,0)+IFERROR(AC237,0)+IFERROR(AD237,0)+IFERROR(AE237,0)+IFERROR(AF237,0)+IFERROR(AG237,0),0)</f>
        <v/>
      </c>
    </row>
    <row r="238" ht="15" customHeight="1" s="199">
      <c r="A238" s="104" t="n"/>
      <c r="B238" s="104" t="n"/>
      <c r="C238" s="104" t="n"/>
      <c r="D238" s="105" t="n"/>
      <c r="E238" s="105" t="n"/>
      <c r="F238" s="105" t="n"/>
      <c r="G238" s="106" t="n"/>
      <c r="H238" s="106" t="n"/>
      <c r="I238" s="106" t="n"/>
      <c r="J238" s="107" t="n"/>
      <c r="K238" s="105" t="n"/>
      <c r="L238" s="106" t="n"/>
      <c r="M238" s="106" t="n"/>
      <c r="N238" s="106" t="n"/>
      <c r="O238" s="106" t="n"/>
      <c r="P238" s="105" t="n"/>
      <c r="Q238" s="107" t="n"/>
      <c r="R238" s="105" t="n"/>
      <c r="S238" s="107" t="n"/>
      <c r="T238" s="108">
        <f>IFERROR(L238+M238+N238+O238,0)</f>
        <v/>
      </c>
      <c r="U238" s="108">
        <f>IFERROR(H238+IFERROR(I238,0)+T238+IFERROR(AH238,0),0)</f>
        <v/>
      </c>
      <c r="V238" s="256" t="n"/>
      <c r="W238" s="257" t="n"/>
      <c r="X238" s="256" t="n"/>
      <c r="Y238" s="258" t="n"/>
      <c r="Z238" s="259" t="n"/>
      <c r="AA238" s="259" t="n"/>
      <c r="AB238" s="258" t="n"/>
      <c r="AC238" s="256" t="n"/>
      <c r="AD238" s="256" t="n"/>
      <c r="AE238" s="256" t="n"/>
      <c r="AF238" s="256" t="n"/>
      <c r="AG238" s="256" t="n"/>
      <c r="AH238" s="256">
        <f>IFERROR(IFERROR(V238,0)+IFERROR(AC238,0)+IFERROR(AD238,0)+IFERROR(AE238,0)+IFERROR(AF238,0)+IFERROR(AG238,0),0)</f>
        <v/>
      </c>
    </row>
    <row r="239" ht="15" customHeight="1" s="199">
      <c r="A239" s="104" t="n"/>
      <c r="B239" s="104" t="n"/>
      <c r="C239" s="104" t="n"/>
      <c r="D239" s="105" t="n"/>
      <c r="E239" s="105" t="n"/>
      <c r="F239" s="105" t="n"/>
      <c r="G239" s="106" t="n"/>
      <c r="H239" s="106" t="n"/>
      <c r="I239" s="106" t="n"/>
      <c r="J239" s="107" t="n"/>
      <c r="K239" s="105" t="n"/>
      <c r="L239" s="106" t="n"/>
      <c r="M239" s="106" t="n"/>
      <c r="N239" s="106" t="n"/>
      <c r="O239" s="106" t="n"/>
      <c r="P239" s="105" t="n"/>
      <c r="Q239" s="107" t="n"/>
      <c r="R239" s="105" t="n"/>
      <c r="S239" s="107" t="n"/>
      <c r="T239" s="108">
        <f>IFERROR(L239+M239+N239+O239,0)</f>
        <v/>
      </c>
      <c r="U239" s="108">
        <f>IFERROR(H239+IFERROR(I239,0)+T239+IFERROR(AH239,0),0)</f>
        <v/>
      </c>
      <c r="V239" s="256" t="n"/>
      <c r="W239" s="257" t="n"/>
      <c r="X239" s="256" t="n"/>
      <c r="Y239" s="258" t="n"/>
      <c r="Z239" s="259" t="n"/>
      <c r="AA239" s="259" t="n"/>
      <c r="AB239" s="258" t="n"/>
      <c r="AC239" s="256" t="n"/>
      <c r="AD239" s="256" t="n"/>
      <c r="AE239" s="256" t="n"/>
      <c r="AF239" s="256" t="n"/>
      <c r="AG239" s="256" t="n"/>
      <c r="AH239" s="256">
        <f>IFERROR(IFERROR(V239,0)+IFERROR(AC239,0)+IFERROR(AD239,0)+IFERROR(AE239,0)+IFERROR(AF239,0)+IFERROR(AG239,0),0)</f>
        <v/>
      </c>
    </row>
    <row r="240" ht="15" customHeight="1" s="199">
      <c r="A240" s="104" t="n"/>
      <c r="B240" s="104" t="n"/>
      <c r="C240" s="104" t="n"/>
      <c r="D240" s="105" t="n"/>
      <c r="E240" s="105" t="n"/>
      <c r="F240" s="105" t="n"/>
      <c r="G240" s="106" t="n"/>
      <c r="H240" s="106" t="n"/>
      <c r="I240" s="106" t="n"/>
      <c r="J240" s="107" t="n"/>
      <c r="K240" s="105" t="n"/>
      <c r="L240" s="106" t="n"/>
      <c r="M240" s="106" t="n"/>
      <c r="N240" s="106" t="n"/>
      <c r="O240" s="106" t="n"/>
      <c r="P240" s="105" t="n"/>
      <c r="Q240" s="107" t="n"/>
      <c r="R240" s="105" t="n"/>
      <c r="S240" s="107" t="n"/>
      <c r="T240" s="108">
        <f>IFERROR(L240+M240+N240+O240,0)</f>
        <v/>
      </c>
      <c r="U240" s="108">
        <f>IFERROR(H240+IFERROR(I240,0)+T240+IFERROR(AH240,0),0)</f>
        <v/>
      </c>
      <c r="V240" s="256" t="n"/>
      <c r="W240" s="257" t="n"/>
      <c r="X240" s="256" t="n"/>
      <c r="Y240" s="258" t="n"/>
      <c r="Z240" s="259" t="n"/>
      <c r="AA240" s="259" t="n"/>
      <c r="AB240" s="258" t="n"/>
      <c r="AC240" s="256" t="n"/>
      <c r="AD240" s="256" t="n"/>
      <c r="AE240" s="256" t="n"/>
      <c r="AF240" s="256" t="n"/>
      <c r="AG240" s="256" t="n"/>
      <c r="AH240" s="256">
        <f>IFERROR(IFERROR(V240,0)+IFERROR(AC240,0)+IFERROR(AD240,0)+IFERROR(AE240,0)+IFERROR(AF240,0)+IFERROR(AG240,0),0)</f>
        <v/>
      </c>
    </row>
    <row r="241" ht="15" customHeight="1" s="199">
      <c r="A241" s="104" t="n"/>
      <c r="B241" s="104" t="n"/>
      <c r="C241" s="104" t="n"/>
      <c r="D241" s="105" t="n"/>
      <c r="E241" s="105" t="n"/>
      <c r="F241" s="105" t="n"/>
      <c r="G241" s="106" t="n"/>
      <c r="H241" s="106" t="n"/>
      <c r="I241" s="106" t="n"/>
      <c r="J241" s="107" t="n"/>
      <c r="K241" s="105" t="n"/>
      <c r="L241" s="106" t="n"/>
      <c r="M241" s="106" t="n"/>
      <c r="N241" s="106" t="n"/>
      <c r="O241" s="106" t="n"/>
      <c r="P241" s="105" t="n"/>
      <c r="Q241" s="107" t="n"/>
      <c r="R241" s="105" t="n"/>
      <c r="S241" s="107" t="n"/>
      <c r="T241" s="108">
        <f>IFERROR(L241+M241+N241+O241,0)</f>
        <v/>
      </c>
      <c r="U241" s="108">
        <f>IFERROR(H241+IFERROR(I241,0)+T241+IFERROR(AH241,0),0)</f>
        <v/>
      </c>
      <c r="V241" s="256" t="n"/>
      <c r="W241" s="257" t="n"/>
      <c r="X241" s="256" t="n"/>
      <c r="Y241" s="258" t="n"/>
      <c r="Z241" s="259" t="n"/>
      <c r="AA241" s="259" t="n"/>
      <c r="AB241" s="258" t="n"/>
      <c r="AC241" s="256" t="n"/>
      <c r="AD241" s="256" t="n"/>
      <c r="AE241" s="256" t="n"/>
      <c r="AF241" s="256" t="n"/>
      <c r="AG241" s="256" t="n"/>
      <c r="AH241" s="256">
        <f>IFERROR(IFERROR(V241,0)+IFERROR(AC241,0)+IFERROR(AD241,0)+IFERROR(AE241,0)+IFERROR(AF241,0)+IFERROR(AG241,0),0)</f>
        <v/>
      </c>
    </row>
    <row r="242" ht="15" customHeight="1" s="199">
      <c r="A242" s="104" t="n"/>
      <c r="B242" s="104" t="n"/>
      <c r="C242" s="104" t="n"/>
      <c r="D242" s="105" t="n"/>
      <c r="E242" s="105" t="n"/>
      <c r="F242" s="105" t="n"/>
      <c r="G242" s="106" t="n"/>
      <c r="H242" s="106" t="n"/>
      <c r="I242" s="106" t="n"/>
      <c r="J242" s="107" t="n"/>
      <c r="K242" s="105" t="n"/>
      <c r="L242" s="106" t="n"/>
      <c r="M242" s="106" t="n"/>
      <c r="N242" s="106" t="n"/>
      <c r="O242" s="106" t="n"/>
      <c r="P242" s="105" t="n"/>
      <c r="Q242" s="107" t="n"/>
      <c r="R242" s="105" t="n"/>
      <c r="S242" s="107" t="n"/>
      <c r="T242" s="108">
        <f>IFERROR(L242+M242+N242+O242,0)</f>
        <v/>
      </c>
      <c r="U242" s="108">
        <f>IFERROR(H242+IFERROR(I242,0)+T242+IFERROR(AH242,0),0)</f>
        <v/>
      </c>
      <c r="V242" s="256" t="n"/>
      <c r="W242" s="257" t="n"/>
      <c r="X242" s="256" t="n"/>
      <c r="Y242" s="258" t="n"/>
      <c r="Z242" s="259" t="n"/>
      <c r="AA242" s="259" t="n"/>
      <c r="AB242" s="258" t="n"/>
      <c r="AC242" s="256" t="n"/>
      <c r="AD242" s="256" t="n"/>
      <c r="AE242" s="256" t="n"/>
      <c r="AF242" s="256" t="n"/>
      <c r="AG242" s="256" t="n"/>
      <c r="AH242" s="256">
        <f>IFERROR(IFERROR(V242,0)+IFERROR(AC242,0)+IFERROR(AD242,0)+IFERROR(AE242,0)+IFERROR(AF242,0)+IFERROR(AG242,0),0)</f>
        <v/>
      </c>
    </row>
    <row r="243" ht="15" customHeight="1" s="199">
      <c r="A243" s="104" t="n"/>
      <c r="B243" s="104" t="n"/>
      <c r="C243" s="104" t="n"/>
      <c r="D243" s="105" t="n"/>
      <c r="E243" s="105" t="n"/>
      <c r="F243" s="105" t="n"/>
      <c r="G243" s="106" t="n"/>
      <c r="H243" s="106" t="n"/>
      <c r="I243" s="106" t="n"/>
      <c r="J243" s="107" t="n"/>
      <c r="K243" s="105" t="n"/>
      <c r="L243" s="106" t="n"/>
      <c r="M243" s="106" t="n"/>
      <c r="N243" s="106" t="n"/>
      <c r="O243" s="106" t="n"/>
      <c r="P243" s="105" t="n"/>
      <c r="Q243" s="107" t="n"/>
      <c r="R243" s="105" t="n"/>
      <c r="S243" s="107" t="n"/>
      <c r="T243" s="108">
        <f>IFERROR(L243+M243+N243+O243,0)</f>
        <v/>
      </c>
      <c r="U243" s="108">
        <f>IFERROR(H243+IFERROR(I243,0)+T243+IFERROR(AH243,0),0)</f>
        <v/>
      </c>
      <c r="V243" s="256" t="n"/>
      <c r="W243" s="257" t="n"/>
      <c r="X243" s="256" t="n"/>
      <c r="Y243" s="258" t="n"/>
      <c r="Z243" s="259" t="n"/>
      <c r="AA243" s="259" t="n"/>
      <c r="AB243" s="258" t="n"/>
      <c r="AC243" s="256" t="n"/>
      <c r="AD243" s="256" t="n"/>
      <c r="AE243" s="256" t="n"/>
      <c r="AF243" s="256" t="n"/>
      <c r="AG243" s="256" t="n"/>
      <c r="AH243" s="256">
        <f>IFERROR(IFERROR(V243,0)+IFERROR(AC243,0)+IFERROR(AD243,0)+IFERROR(AE243,0)+IFERROR(AF243,0)+IFERROR(AG243,0),0)</f>
        <v/>
      </c>
    </row>
    <row r="244" ht="15" customHeight="1" s="199">
      <c r="A244" s="104" t="n"/>
      <c r="B244" s="104" t="n"/>
      <c r="C244" s="104" t="n"/>
      <c r="D244" s="105" t="n"/>
      <c r="E244" s="105" t="n"/>
      <c r="F244" s="105" t="n"/>
      <c r="G244" s="106" t="n"/>
      <c r="H244" s="106" t="n"/>
      <c r="I244" s="106" t="n"/>
      <c r="J244" s="107" t="n"/>
      <c r="K244" s="105" t="n"/>
      <c r="L244" s="106" t="n"/>
      <c r="M244" s="106" t="n"/>
      <c r="N244" s="106" t="n"/>
      <c r="O244" s="106" t="n"/>
      <c r="P244" s="105" t="n"/>
      <c r="Q244" s="107" t="n"/>
      <c r="R244" s="105" t="n"/>
      <c r="S244" s="107" t="n"/>
      <c r="T244" s="108">
        <f>IFERROR(L244+M244+N244+O244,0)</f>
        <v/>
      </c>
      <c r="U244" s="108">
        <f>IFERROR(H244+IFERROR(I244,0)+T244+IFERROR(AH244,0),0)</f>
        <v/>
      </c>
      <c r="V244" s="256" t="n"/>
      <c r="W244" s="257" t="n"/>
      <c r="X244" s="256" t="n"/>
      <c r="Y244" s="258" t="n"/>
      <c r="Z244" s="259" t="n"/>
      <c r="AA244" s="259" t="n"/>
      <c r="AB244" s="258" t="n"/>
      <c r="AC244" s="256" t="n"/>
      <c r="AD244" s="256" t="n"/>
      <c r="AE244" s="256" t="n"/>
      <c r="AF244" s="256" t="n"/>
      <c r="AG244" s="256" t="n"/>
      <c r="AH244" s="256">
        <f>IFERROR(IFERROR(V244,0)+IFERROR(AC244,0)+IFERROR(AD244,0)+IFERROR(AE244,0)+IFERROR(AF244,0)+IFERROR(AG244,0),0)</f>
        <v/>
      </c>
    </row>
    <row r="245" ht="15" customHeight="1" s="199">
      <c r="A245" s="104" t="n"/>
      <c r="B245" s="104" t="n"/>
      <c r="C245" s="104" t="n"/>
      <c r="D245" s="105" t="n"/>
      <c r="E245" s="105" t="n"/>
      <c r="F245" s="105" t="n"/>
      <c r="G245" s="106" t="n"/>
      <c r="H245" s="106" t="n"/>
      <c r="I245" s="106" t="n"/>
      <c r="J245" s="107" t="n"/>
      <c r="K245" s="105" t="n"/>
      <c r="L245" s="106" t="n"/>
      <c r="M245" s="106" t="n"/>
      <c r="N245" s="106" t="n"/>
      <c r="O245" s="106" t="n"/>
      <c r="P245" s="105" t="n"/>
      <c r="Q245" s="107" t="n"/>
      <c r="R245" s="105" t="n"/>
      <c r="S245" s="107" t="n"/>
      <c r="T245" s="108">
        <f>IFERROR(L245+M245+N245+O245,0)</f>
        <v/>
      </c>
      <c r="U245" s="108">
        <f>IFERROR(H245+IFERROR(I245,0)+T245+IFERROR(AH245,0),0)</f>
        <v/>
      </c>
      <c r="V245" s="256" t="n"/>
      <c r="W245" s="257" t="n"/>
      <c r="X245" s="256" t="n"/>
      <c r="Y245" s="258" t="n"/>
      <c r="Z245" s="259" t="n"/>
      <c r="AA245" s="259" t="n"/>
      <c r="AB245" s="258" t="n"/>
      <c r="AC245" s="256" t="n"/>
      <c r="AD245" s="256" t="n"/>
      <c r="AE245" s="256" t="n"/>
      <c r="AF245" s="256" t="n"/>
      <c r="AG245" s="256" t="n"/>
      <c r="AH245" s="256">
        <f>IFERROR(IFERROR(V245,0)+IFERROR(AC245,0)+IFERROR(AD245,0)+IFERROR(AE245,0)+IFERROR(AF245,0)+IFERROR(AG245,0),0)</f>
        <v/>
      </c>
    </row>
    <row r="246" ht="15" customHeight="1" s="199">
      <c r="A246" s="104" t="n"/>
      <c r="B246" s="104" t="n"/>
      <c r="C246" s="104" t="n"/>
      <c r="D246" s="105" t="n"/>
      <c r="E246" s="105" t="n"/>
      <c r="F246" s="105" t="n"/>
      <c r="G246" s="106" t="n"/>
      <c r="H246" s="106" t="n"/>
      <c r="I246" s="106" t="n"/>
      <c r="J246" s="107" t="n"/>
      <c r="K246" s="105" t="n"/>
      <c r="L246" s="106" t="n"/>
      <c r="M246" s="106" t="n"/>
      <c r="N246" s="106" t="n"/>
      <c r="O246" s="106" t="n"/>
      <c r="P246" s="105" t="n"/>
      <c r="Q246" s="107" t="n"/>
      <c r="R246" s="105" t="n"/>
      <c r="S246" s="107" t="n"/>
      <c r="T246" s="108">
        <f>IFERROR(L246+M246+N246+O246,0)</f>
        <v/>
      </c>
      <c r="U246" s="108">
        <f>IFERROR(H246+IFERROR(I246,0)+T246+IFERROR(AH246,0),0)</f>
        <v/>
      </c>
      <c r="V246" s="256" t="n"/>
      <c r="W246" s="257" t="n"/>
      <c r="X246" s="256" t="n"/>
      <c r="Y246" s="258" t="n"/>
      <c r="Z246" s="259" t="n"/>
      <c r="AA246" s="259" t="n"/>
      <c r="AB246" s="258" t="n"/>
      <c r="AC246" s="256" t="n"/>
      <c r="AD246" s="256" t="n"/>
      <c r="AE246" s="256" t="n"/>
      <c r="AF246" s="256" t="n"/>
      <c r="AG246" s="256" t="n"/>
      <c r="AH246" s="256">
        <f>IFERROR(IFERROR(V246,0)+IFERROR(AC246,0)+IFERROR(AD246,0)+IFERROR(AE246,0)+IFERROR(AF246,0)+IFERROR(AG246,0),0)</f>
        <v/>
      </c>
    </row>
    <row r="247" ht="15" customHeight="1" s="199">
      <c r="A247" s="104" t="n"/>
      <c r="B247" s="104" t="n"/>
      <c r="C247" s="104" t="n"/>
      <c r="D247" s="105" t="n"/>
      <c r="E247" s="105" t="n"/>
      <c r="F247" s="105" t="n"/>
      <c r="G247" s="106" t="n"/>
      <c r="H247" s="106" t="n"/>
      <c r="I247" s="106" t="n"/>
      <c r="J247" s="107" t="n"/>
      <c r="K247" s="105" t="n"/>
      <c r="L247" s="106" t="n"/>
      <c r="M247" s="106" t="n"/>
      <c r="N247" s="106" t="n"/>
      <c r="O247" s="106" t="n"/>
      <c r="P247" s="105" t="n"/>
      <c r="Q247" s="107" t="n"/>
      <c r="R247" s="105" t="n"/>
      <c r="S247" s="107" t="n"/>
      <c r="T247" s="108">
        <f>IFERROR(L247+M247+N247+O247,0)</f>
        <v/>
      </c>
      <c r="U247" s="108">
        <f>IFERROR(H247+IFERROR(I247,0)+T247+IFERROR(AH247,0),0)</f>
        <v/>
      </c>
      <c r="V247" s="256" t="n"/>
      <c r="W247" s="257" t="n"/>
      <c r="X247" s="256" t="n"/>
      <c r="Y247" s="258" t="n"/>
      <c r="Z247" s="259" t="n"/>
      <c r="AA247" s="259" t="n"/>
      <c r="AB247" s="258" t="n"/>
      <c r="AC247" s="256" t="n"/>
      <c r="AD247" s="256" t="n"/>
      <c r="AE247" s="256" t="n"/>
      <c r="AF247" s="256" t="n"/>
      <c r="AG247" s="256" t="n"/>
      <c r="AH247" s="256">
        <f>IFERROR(IFERROR(V247,0)+IFERROR(AC247,0)+IFERROR(AD247,0)+IFERROR(AE247,0)+IFERROR(AF247,0)+IFERROR(AG247,0),0)</f>
        <v/>
      </c>
    </row>
    <row r="248" ht="15" customHeight="1" s="199">
      <c r="A248" s="104" t="n"/>
      <c r="B248" s="104" t="n"/>
      <c r="C248" s="104" t="n"/>
      <c r="D248" s="105" t="n"/>
      <c r="E248" s="105" t="n"/>
      <c r="F248" s="105" t="n"/>
      <c r="G248" s="106" t="n"/>
      <c r="H248" s="106" t="n"/>
      <c r="I248" s="106" t="n"/>
      <c r="J248" s="107" t="n"/>
      <c r="K248" s="105" t="n"/>
      <c r="L248" s="106" t="n"/>
      <c r="M248" s="106" t="n"/>
      <c r="N248" s="106" t="n"/>
      <c r="O248" s="106" t="n"/>
      <c r="P248" s="105" t="n"/>
      <c r="Q248" s="107" t="n"/>
      <c r="R248" s="105" t="n"/>
      <c r="S248" s="107" t="n"/>
      <c r="T248" s="108">
        <f>IFERROR(L248+M248+N248+O248,0)</f>
        <v/>
      </c>
      <c r="U248" s="108">
        <f>IFERROR(H248+IFERROR(I248,0)+T248+IFERROR(AH248,0),0)</f>
        <v/>
      </c>
      <c r="V248" s="256" t="n"/>
      <c r="W248" s="257" t="n"/>
      <c r="X248" s="256" t="n"/>
      <c r="Y248" s="258" t="n"/>
      <c r="Z248" s="259" t="n"/>
      <c r="AA248" s="259" t="n"/>
      <c r="AB248" s="258" t="n"/>
      <c r="AC248" s="256" t="n"/>
      <c r="AD248" s="256" t="n"/>
      <c r="AE248" s="256" t="n"/>
      <c r="AF248" s="256" t="n"/>
      <c r="AG248" s="256" t="n"/>
      <c r="AH248" s="256">
        <f>IFERROR(IFERROR(V248,0)+IFERROR(AC248,0)+IFERROR(AD248,0)+IFERROR(AE248,0)+IFERROR(AF248,0)+IFERROR(AG248,0),0)</f>
        <v/>
      </c>
    </row>
    <row r="249" ht="15" customHeight="1" s="199">
      <c r="A249" s="104" t="n"/>
      <c r="B249" s="104" t="n"/>
      <c r="C249" s="104" t="n"/>
      <c r="D249" s="105" t="n"/>
      <c r="E249" s="105" t="n"/>
      <c r="F249" s="105" t="n"/>
      <c r="G249" s="106" t="n"/>
      <c r="H249" s="106" t="n"/>
      <c r="I249" s="106" t="n"/>
      <c r="J249" s="107" t="n"/>
      <c r="K249" s="105" t="n"/>
      <c r="L249" s="106" t="n"/>
      <c r="M249" s="106" t="n"/>
      <c r="N249" s="106" t="n"/>
      <c r="O249" s="106" t="n"/>
      <c r="P249" s="105" t="n"/>
      <c r="Q249" s="107" t="n"/>
      <c r="R249" s="105" t="n"/>
      <c r="S249" s="107" t="n"/>
      <c r="T249" s="108">
        <f>IFERROR(L249+M249+N249+O249,0)</f>
        <v/>
      </c>
      <c r="U249" s="108">
        <f>IFERROR(H249+IFERROR(I249,0)+T249+IFERROR(AH249,0),0)</f>
        <v/>
      </c>
      <c r="V249" s="256" t="n"/>
      <c r="W249" s="257" t="n"/>
      <c r="X249" s="256" t="n"/>
      <c r="Y249" s="258" t="n"/>
      <c r="Z249" s="259" t="n"/>
      <c r="AA249" s="259" t="n"/>
      <c r="AB249" s="258" t="n"/>
      <c r="AC249" s="256" t="n"/>
      <c r="AD249" s="256" t="n"/>
      <c r="AE249" s="256" t="n"/>
      <c r="AF249" s="256" t="n"/>
      <c r="AG249" s="256" t="n"/>
      <c r="AH249" s="256">
        <f>IFERROR(IFERROR(V249,0)+IFERROR(AC249,0)+IFERROR(AD249,0)+IFERROR(AE249,0)+IFERROR(AF249,0)+IFERROR(AG249,0),0)</f>
        <v/>
      </c>
    </row>
    <row r="250" ht="15" customHeight="1" s="199">
      <c r="A250" s="104" t="n"/>
      <c r="B250" s="104" t="n"/>
      <c r="C250" s="104" t="n"/>
      <c r="D250" s="105" t="n"/>
      <c r="E250" s="105" t="n"/>
      <c r="F250" s="105" t="n"/>
      <c r="G250" s="106" t="n"/>
      <c r="H250" s="106" t="n"/>
      <c r="I250" s="106" t="n"/>
      <c r="J250" s="107" t="n"/>
      <c r="K250" s="105" t="n"/>
      <c r="L250" s="106" t="n"/>
      <c r="M250" s="106" t="n"/>
      <c r="N250" s="106" t="n"/>
      <c r="O250" s="106" t="n"/>
      <c r="P250" s="105" t="n"/>
      <c r="Q250" s="107" t="n"/>
      <c r="R250" s="105" t="n"/>
      <c r="S250" s="107" t="n"/>
      <c r="T250" s="108">
        <f>IFERROR(L250+M250+N250+O250,0)</f>
        <v/>
      </c>
      <c r="U250" s="108">
        <f>IFERROR(H250+IFERROR(I250,0)+T250+IFERROR(AH250,0),0)</f>
        <v/>
      </c>
      <c r="V250" s="256" t="n"/>
      <c r="W250" s="257" t="n"/>
      <c r="X250" s="256" t="n"/>
      <c r="Y250" s="258" t="n"/>
      <c r="Z250" s="259" t="n"/>
      <c r="AA250" s="259" t="n"/>
      <c r="AB250" s="258" t="n"/>
      <c r="AC250" s="256" t="n"/>
      <c r="AD250" s="256" t="n"/>
      <c r="AE250" s="256" t="n"/>
      <c r="AF250" s="256" t="n"/>
      <c r="AG250" s="256" t="n"/>
      <c r="AH250" s="256">
        <f>IFERROR(IFERROR(V250,0)+IFERROR(AC250,0)+IFERROR(AD250,0)+IFERROR(AE250,0)+IFERROR(AF250,0)+IFERROR(AG250,0),0)</f>
        <v/>
      </c>
    </row>
    <row r="251" ht="15" customHeight="1" s="199">
      <c r="A251" s="104" t="n"/>
      <c r="B251" s="104" t="n"/>
      <c r="C251" s="104" t="n"/>
      <c r="D251" s="105" t="n"/>
      <c r="E251" s="105" t="n"/>
      <c r="F251" s="105" t="n"/>
      <c r="G251" s="106" t="n"/>
      <c r="H251" s="106" t="n"/>
      <c r="I251" s="106" t="n"/>
      <c r="J251" s="107" t="n"/>
      <c r="K251" s="105" t="n"/>
      <c r="L251" s="106" t="n"/>
      <c r="M251" s="106" t="n"/>
      <c r="N251" s="106" t="n"/>
      <c r="O251" s="106" t="n"/>
      <c r="P251" s="105" t="n"/>
      <c r="Q251" s="107" t="n"/>
      <c r="R251" s="105" t="n"/>
      <c r="S251" s="107" t="n"/>
      <c r="T251" s="108">
        <f>IFERROR(L251+M251+N251+O251,0)</f>
        <v/>
      </c>
      <c r="U251" s="108">
        <f>IFERROR(H251+IFERROR(I251,0)+T251+IFERROR(AH251,0),0)</f>
        <v/>
      </c>
      <c r="V251" s="256" t="n"/>
      <c r="W251" s="257" t="n"/>
      <c r="X251" s="256" t="n"/>
      <c r="Y251" s="258" t="n"/>
      <c r="Z251" s="259" t="n"/>
      <c r="AA251" s="259" t="n"/>
      <c r="AB251" s="258" t="n"/>
      <c r="AC251" s="256" t="n"/>
      <c r="AD251" s="256" t="n"/>
      <c r="AE251" s="256" t="n"/>
      <c r="AF251" s="256" t="n"/>
      <c r="AG251" s="256" t="n"/>
      <c r="AH251" s="256">
        <f>IFERROR(IFERROR(V251,0)+IFERROR(AC251,0)+IFERROR(AD251,0)+IFERROR(AE251,0)+IFERROR(AF251,0)+IFERROR(AG251,0),0)</f>
        <v/>
      </c>
    </row>
    <row r="252" ht="15" customHeight="1" s="199">
      <c r="A252" s="104" t="n"/>
      <c r="B252" s="104" t="n"/>
      <c r="C252" s="104" t="n"/>
      <c r="D252" s="105" t="n"/>
      <c r="E252" s="105" t="n"/>
      <c r="F252" s="105" t="n"/>
      <c r="G252" s="106" t="n"/>
      <c r="H252" s="106" t="n"/>
      <c r="I252" s="106" t="n"/>
      <c r="J252" s="107" t="n"/>
      <c r="K252" s="105" t="n"/>
      <c r="L252" s="106" t="n"/>
      <c r="M252" s="106" t="n"/>
      <c r="N252" s="106" t="n"/>
      <c r="O252" s="106" t="n"/>
      <c r="P252" s="105" t="n"/>
      <c r="Q252" s="107" t="n"/>
      <c r="R252" s="105" t="n"/>
      <c r="S252" s="107" t="n"/>
      <c r="T252" s="108">
        <f>IFERROR(L252+M252+N252+O252,0)</f>
        <v/>
      </c>
      <c r="U252" s="108">
        <f>IFERROR(H252+IFERROR(I252,0)+T252+IFERROR(AH252,0),0)</f>
        <v/>
      </c>
      <c r="V252" s="256" t="n"/>
      <c r="W252" s="257" t="n"/>
      <c r="X252" s="256" t="n"/>
      <c r="Y252" s="258" t="n"/>
      <c r="Z252" s="259" t="n"/>
      <c r="AA252" s="259" t="n"/>
      <c r="AB252" s="258" t="n"/>
      <c r="AC252" s="256" t="n"/>
      <c r="AD252" s="256" t="n"/>
      <c r="AE252" s="256" t="n"/>
      <c r="AF252" s="256" t="n"/>
      <c r="AG252" s="256" t="n"/>
      <c r="AH252" s="256">
        <f>IFERROR(IFERROR(V252,0)+IFERROR(AC252,0)+IFERROR(AD252,0)+IFERROR(AE252,0)+IFERROR(AF252,0)+IFERROR(AG252,0),0)</f>
        <v/>
      </c>
    </row>
    <row r="253" ht="15" customHeight="1" s="199">
      <c r="A253" s="104" t="n"/>
      <c r="B253" s="104" t="n"/>
      <c r="C253" s="104" t="n"/>
      <c r="D253" s="105" t="n"/>
      <c r="E253" s="105" t="n"/>
      <c r="F253" s="105" t="n"/>
      <c r="G253" s="106" t="n"/>
      <c r="H253" s="106" t="n"/>
      <c r="I253" s="106" t="n"/>
      <c r="J253" s="107" t="n"/>
      <c r="K253" s="105" t="n"/>
      <c r="L253" s="106" t="n"/>
      <c r="M253" s="106" t="n"/>
      <c r="N253" s="106" t="n"/>
      <c r="O253" s="106" t="n"/>
      <c r="P253" s="105" t="n"/>
      <c r="Q253" s="107" t="n"/>
      <c r="R253" s="105" t="n"/>
      <c r="S253" s="107" t="n"/>
      <c r="T253" s="108">
        <f>IFERROR(L253+M253+N253+O253,0)</f>
        <v/>
      </c>
      <c r="U253" s="108">
        <f>IFERROR(H253+IFERROR(I253,0)+T253+IFERROR(AH253,0),0)</f>
        <v/>
      </c>
      <c r="V253" s="256" t="n"/>
      <c r="W253" s="257" t="n"/>
      <c r="X253" s="256" t="n"/>
      <c r="Y253" s="258" t="n"/>
      <c r="Z253" s="259" t="n"/>
      <c r="AA253" s="259" t="n"/>
      <c r="AB253" s="258" t="n"/>
      <c r="AC253" s="256" t="n"/>
      <c r="AD253" s="256" t="n"/>
      <c r="AE253" s="256" t="n"/>
      <c r="AF253" s="256" t="n"/>
      <c r="AG253" s="256" t="n"/>
      <c r="AH253" s="256">
        <f>IFERROR(IFERROR(V253,0)+IFERROR(AC253,0)+IFERROR(AD253,0)+IFERROR(AE253,0)+IFERROR(AF253,0)+IFERROR(AG253,0),0)</f>
        <v/>
      </c>
    </row>
    <row r="254" ht="15" customHeight="1" s="199">
      <c r="A254" s="104" t="n"/>
      <c r="B254" s="104" t="n"/>
      <c r="C254" s="104" t="n"/>
      <c r="D254" s="105" t="n"/>
      <c r="E254" s="105" t="n"/>
      <c r="F254" s="105" t="n"/>
      <c r="G254" s="106" t="n"/>
      <c r="H254" s="106" t="n"/>
      <c r="I254" s="106" t="n"/>
      <c r="J254" s="107" t="n"/>
      <c r="K254" s="105" t="n"/>
      <c r="L254" s="106" t="n"/>
      <c r="M254" s="106" t="n"/>
      <c r="N254" s="106" t="n"/>
      <c r="O254" s="106" t="n"/>
      <c r="P254" s="105" t="n"/>
      <c r="Q254" s="107" t="n"/>
      <c r="R254" s="105" t="n"/>
      <c r="S254" s="107" t="n"/>
      <c r="T254" s="108">
        <f>IFERROR(L254+M254+N254+O254,0)</f>
        <v/>
      </c>
      <c r="U254" s="108">
        <f>IFERROR(H254+IFERROR(I254,0)+T254+IFERROR(AH254,0),0)</f>
        <v/>
      </c>
      <c r="V254" s="256" t="n"/>
      <c r="W254" s="257" t="n"/>
      <c r="X254" s="256" t="n"/>
      <c r="Y254" s="258" t="n"/>
      <c r="Z254" s="259" t="n"/>
      <c r="AA254" s="259" t="n"/>
      <c r="AB254" s="258" t="n"/>
      <c r="AC254" s="256" t="n"/>
      <c r="AD254" s="256" t="n"/>
      <c r="AE254" s="256" t="n"/>
      <c r="AF254" s="256" t="n"/>
      <c r="AG254" s="256" t="n"/>
      <c r="AH254" s="256">
        <f>IFERROR(IFERROR(V254,0)+IFERROR(AC254,0)+IFERROR(AD254,0)+IFERROR(AE254,0)+IFERROR(AF254,0)+IFERROR(AG254,0),0)</f>
        <v/>
      </c>
    </row>
    <row r="255" ht="15" customHeight="1" s="199">
      <c r="A255" s="104" t="n"/>
      <c r="B255" s="104" t="n"/>
      <c r="C255" s="104" t="n"/>
      <c r="D255" s="105" t="n"/>
      <c r="E255" s="105" t="n"/>
      <c r="F255" s="105" t="n"/>
      <c r="G255" s="106" t="n"/>
      <c r="H255" s="106" t="n"/>
      <c r="I255" s="106" t="n"/>
      <c r="J255" s="107" t="n"/>
      <c r="K255" s="105" t="n"/>
      <c r="L255" s="106" t="n"/>
      <c r="M255" s="106" t="n"/>
      <c r="N255" s="106" t="n"/>
      <c r="O255" s="106" t="n"/>
      <c r="P255" s="105" t="n"/>
      <c r="Q255" s="107" t="n"/>
      <c r="R255" s="105" t="n"/>
      <c r="S255" s="107" t="n"/>
      <c r="T255" s="108">
        <f>IFERROR(L255+M255+N255+O255,0)</f>
        <v/>
      </c>
      <c r="U255" s="108">
        <f>IFERROR(H255+IFERROR(I255,0)+T255+IFERROR(AH255,0),0)</f>
        <v/>
      </c>
      <c r="V255" s="256" t="n"/>
      <c r="W255" s="257" t="n"/>
      <c r="X255" s="256" t="n"/>
      <c r="Y255" s="258" t="n"/>
      <c r="Z255" s="259" t="n"/>
      <c r="AA255" s="259" t="n"/>
      <c r="AB255" s="258" t="n"/>
      <c r="AC255" s="256" t="n"/>
      <c r="AD255" s="256" t="n"/>
      <c r="AE255" s="256" t="n"/>
      <c r="AF255" s="256" t="n"/>
      <c r="AG255" s="256" t="n"/>
      <c r="AH255" s="256">
        <f>IFERROR(IFERROR(V255,0)+IFERROR(AC255,0)+IFERROR(AD255,0)+IFERROR(AE255,0)+IFERROR(AF255,0)+IFERROR(AG255,0),0)</f>
        <v/>
      </c>
    </row>
    <row r="256" ht="15" customHeight="1" s="199">
      <c r="A256" s="104" t="n"/>
      <c r="B256" s="104" t="n"/>
      <c r="C256" s="104" t="n"/>
      <c r="D256" s="105" t="n"/>
      <c r="E256" s="105" t="n"/>
      <c r="F256" s="105" t="n"/>
      <c r="G256" s="106" t="n"/>
      <c r="H256" s="106" t="n"/>
      <c r="I256" s="106" t="n"/>
      <c r="J256" s="107" t="n"/>
      <c r="K256" s="105" t="n"/>
      <c r="L256" s="106" t="n"/>
      <c r="M256" s="106" t="n"/>
      <c r="N256" s="106" t="n"/>
      <c r="O256" s="106" t="n"/>
      <c r="P256" s="105" t="n"/>
      <c r="Q256" s="107" t="n"/>
      <c r="R256" s="105" t="n"/>
      <c r="S256" s="107" t="n"/>
      <c r="T256" s="108">
        <f>IFERROR(L256+M256+N256+O256,0)</f>
        <v/>
      </c>
      <c r="U256" s="108">
        <f>IFERROR(H256+IFERROR(I256,0)+T256+IFERROR(AH256,0),0)</f>
        <v/>
      </c>
      <c r="V256" s="256" t="n"/>
      <c r="W256" s="257" t="n"/>
      <c r="X256" s="256" t="n"/>
      <c r="Y256" s="258" t="n"/>
      <c r="Z256" s="259" t="n"/>
      <c r="AA256" s="259" t="n"/>
      <c r="AB256" s="258" t="n"/>
      <c r="AC256" s="256" t="n"/>
      <c r="AD256" s="256" t="n"/>
      <c r="AE256" s="256" t="n"/>
      <c r="AF256" s="256" t="n"/>
      <c r="AG256" s="256" t="n"/>
      <c r="AH256" s="256">
        <f>IFERROR(IFERROR(V256,0)+IFERROR(AC256,0)+IFERROR(AD256,0)+IFERROR(AE256,0)+IFERROR(AF256,0)+IFERROR(AG256,0),0)</f>
        <v/>
      </c>
    </row>
    <row r="257" ht="15" customHeight="1" s="199">
      <c r="A257" s="104" t="n"/>
      <c r="B257" s="104" t="n"/>
      <c r="C257" s="104" t="n"/>
      <c r="D257" s="105" t="n"/>
      <c r="E257" s="105" t="n"/>
      <c r="F257" s="105" t="n"/>
      <c r="G257" s="106" t="n"/>
      <c r="H257" s="106" t="n"/>
      <c r="I257" s="106" t="n"/>
      <c r="J257" s="107" t="n"/>
      <c r="K257" s="105" t="n"/>
      <c r="L257" s="106" t="n"/>
      <c r="M257" s="106" t="n"/>
      <c r="N257" s="106" t="n"/>
      <c r="O257" s="106" t="n"/>
      <c r="P257" s="105" t="n"/>
      <c r="Q257" s="107" t="n"/>
      <c r="R257" s="105" t="n"/>
      <c r="S257" s="107" t="n"/>
      <c r="T257" s="108">
        <f>IFERROR(L257+M257+N257+O257,0)</f>
        <v/>
      </c>
      <c r="U257" s="108">
        <f>IFERROR(H257+IFERROR(I257,0)+T257+IFERROR(AH257,0),0)</f>
        <v/>
      </c>
      <c r="V257" s="256" t="n"/>
      <c r="W257" s="257" t="n"/>
      <c r="X257" s="256" t="n"/>
      <c r="Y257" s="258" t="n"/>
      <c r="Z257" s="259" t="n"/>
      <c r="AA257" s="259" t="n"/>
      <c r="AB257" s="258" t="n"/>
      <c r="AC257" s="256" t="n"/>
      <c r="AD257" s="256" t="n"/>
      <c r="AE257" s="256" t="n"/>
      <c r="AF257" s="256" t="n"/>
      <c r="AG257" s="256" t="n"/>
      <c r="AH257" s="256">
        <f>IFERROR(IFERROR(V257,0)+IFERROR(AC257,0)+IFERROR(AD257,0)+IFERROR(AE257,0)+IFERROR(AF257,0)+IFERROR(AG257,0),0)</f>
        <v/>
      </c>
    </row>
    <row r="258" ht="15" customHeight="1" s="199">
      <c r="A258" s="104" t="n"/>
      <c r="B258" s="104" t="n"/>
      <c r="C258" s="104" t="n"/>
      <c r="D258" s="105" t="n"/>
      <c r="E258" s="105" t="n"/>
      <c r="F258" s="105" t="n"/>
      <c r="G258" s="106" t="n"/>
      <c r="H258" s="106" t="n"/>
      <c r="I258" s="106" t="n"/>
      <c r="J258" s="107" t="n"/>
      <c r="K258" s="105" t="n"/>
      <c r="L258" s="106" t="n"/>
      <c r="M258" s="106" t="n"/>
      <c r="N258" s="106" t="n"/>
      <c r="O258" s="106" t="n"/>
      <c r="P258" s="105" t="n"/>
      <c r="Q258" s="107" t="n"/>
      <c r="R258" s="105" t="n"/>
      <c r="S258" s="107" t="n"/>
      <c r="T258" s="108">
        <f>IFERROR(L258+M258+N258+O258,0)</f>
        <v/>
      </c>
      <c r="U258" s="108">
        <f>IFERROR(H258+IFERROR(I258,0)+T258+IFERROR(AH258,0),0)</f>
        <v/>
      </c>
      <c r="V258" s="256" t="n"/>
      <c r="W258" s="257" t="n"/>
      <c r="X258" s="256" t="n"/>
      <c r="Y258" s="258" t="n"/>
      <c r="Z258" s="259" t="n"/>
      <c r="AA258" s="259" t="n"/>
      <c r="AB258" s="258" t="n"/>
      <c r="AC258" s="256" t="n"/>
      <c r="AD258" s="256" t="n"/>
      <c r="AE258" s="256" t="n"/>
      <c r="AF258" s="256" t="n"/>
      <c r="AG258" s="256" t="n"/>
      <c r="AH258" s="256">
        <f>IFERROR(IFERROR(V258,0)+IFERROR(AC258,0)+IFERROR(AD258,0)+IFERROR(AE258,0)+IFERROR(AF258,0)+IFERROR(AG258,0),0)</f>
        <v/>
      </c>
    </row>
    <row r="259" ht="15" customHeight="1" s="199">
      <c r="A259" s="104" t="n"/>
      <c r="B259" s="104" t="n"/>
      <c r="C259" s="104" t="n"/>
      <c r="D259" s="105" t="n"/>
      <c r="E259" s="105" t="n"/>
      <c r="F259" s="105" t="n"/>
      <c r="G259" s="106" t="n"/>
      <c r="H259" s="106" t="n"/>
      <c r="I259" s="106" t="n"/>
      <c r="J259" s="107" t="n"/>
      <c r="K259" s="105" t="n"/>
      <c r="L259" s="106" t="n"/>
      <c r="M259" s="106" t="n"/>
      <c r="N259" s="106" t="n"/>
      <c r="O259" s="106" t="n"/>
      <c r="P259" s="105" t="n"/>
      <c r="Q259" s="107" t="n"/>
      <c r="R259" s="105" t="n"/>
      <c r="S259" s="107" t="n"/>
      <c r="T259" s="108">
        <f>IFERROR(L259+M259+N259+O259,0)</f>
        <v/>
      </c>
      <c r="U259" s="108">
        <f>IFERROR(H259+IFERROR(I259,0)+T259+IFERROR(AH259,0),0)</f>
        <v/>
      </c>
      <c r="V259" s="256" t="n"/>
      <c r="W259" s="257" t="n"/>
      <c r="X259" s="256" t="n"/>
      <c r="Y259" s="258" t="n"/>
      <c r="Z259" s="259" t="n"/>
      <c r="AA259" s="259" t="n"/>
      <c r="AB259" s="258" t="n"/>
      <c r="AC259" s="256" t="n"/>
      <c r="AD259" s="256" t="n"/>
      <c r="AE259" s="256" t="n"/>
      <c r="AF259" s="256" t="n"/>
      <c r="AG259" s="256" t="n"/>
      <c r="AH259" s="256">
        <f>IFERROR(IFERROR(V259,0)+IFERROR(AC259,0)+IFERROR(AD259,0)+IFERROR(AE259,0)+IFERROR(AF259,0)+IFERROR(AG259,0),0)</f>
        <v/>
      </c>
    </row>
    <row r="260" ht="15" customHeight="1" s="199">
      <c r="A260" s="104" t="n"/>
      <c r="B260" s="104" t="n"/>
      <c r="C260" s="104" t="n"/>
      <c r="D260" s="105" t="n"/>
      <c r="E260" s="105" t="n"/>
      <c r="F260" s="105" t="n"/>
      <c r="G260" s="106" t="n"/>
      <c r="H260" s="106" t="n"/>
      <c r="I260" s="106" t="n"/>
      <c r="J260" s="107" t="n"/>
      <c r="K260" s="105" t="n"/>
      <c r="L260" s="106" t="n"/>
      <c r="M260" s="106" t="n"/>
      <c r="N260" s="106" t="n"/>
      <c r="O260" s="106" t="n"/>
      <c r="P260" s="105" t="n"/>
      <c r="Q260" s="107" t="n"/>
      <c r="R260" s="105" t="n"/>
      <c r="S260" s="107" t="n"/>
      <c r="T260" s="108">
        <f>IFERROR(L260+M260+N260+O260,0)</f>
        <v/>
      </c>
      <c r="U260" s="108">
        <f>IFERROR(H260+IFERROR(I260,0)+T260+IFERROR(AH260,0),0)</f>
        <v/>
      </c>
      <c r="V260" s="256" t="n"/>
      <c r="W260" s="257" t="n"/>
      <c r="X260" s="256" t="n"/>
      <c r="Y260" s="258" t="n"/>
      <c r="Z260" s="259" t="n"/>
      <c r="AA260" s="259" t="n"/>
      <c r="AB260" s="258" t="n"/>
      <c r="AC260" s="256" t="n"/>
      <c r="AD260" s="256" t="n"/>
      <c r="AE260" s="256" t="n"/>
      <c r="AF260" s="256" t="n"/>
      <c r="AG260" s="256" t="n"/>
      <c r="AH260" s="256">
        <f>IFERROR(IFERROR(V260,0)+IFERROR(AC260,0)+IFERROR(AD260,0)+IFERROR(AE260,0)+IFERROR(AF260,0)+IFERROR(AG260,0),0)</f>
        <v/>
      </c>
    </row>
    <row r="261" ht="15" customHeight="1" s="199">
      <c r="A261" s="104" t="n"/>
      <c r="B261" s="104" t="n"/>
      <c r="C261" s="104" t="n"/>
      <c r="D261" s="105" t="n"/>
      <c r="E261" s="105" t="n"/>
      <c r="F261" s="105" t="n"/>
      <c r="G261" s="106" t="n"/>
      <c r="H261" s="106" t="n"/>
      <c r="I261" s="106" t="n"/>
      <c r="J261" s="107" t="n"/>
      <c r="K261" s="105" t="n"/>
      <c r="L261" s="106" t="n"/>
      <c r="M261" s="106" t="n"/>
      <c r="N261" s="106" t="n"/>
      <c r="O261" s="106" t="n"/>
      <c r="P261" s="105" t="n"/>
      <c r="Q261" s="107" t="n"/>
      <c r="R261" s="105" t="n"/>
      <c r="S261" s="107" t="n"/>
      <c r="T261" s="108">
        <f>IFERROR(L261+M261+N261+O261,0)</f>
        <v/>
      </c>
      <c r="U261" s="108">
        <f>IFERROR(H261+IFERROR(I261,0)+T261+IFERROR(AH261,0),0)</f>
        <v/>
      </c>
      <c r="V261" s="256" t="n"/>
      <c r="W261" s="257" t="n"/>
      <c r="X261" s="256" t="n"/>
      <c r="Y261" s="258" t="n"/>
      <c r="Z261" s="259" t="n"/>
      <c r="AA261" s="259" t="n"/>
      <c r="AB261" s="258" t="n"/>
      <c r="AC261" s="256" t="n"/>
      <c r="AD261" s="256" t="n"/>
      <c r="AE261" s="256" t="n"/>
      <c r="AF261" s="256" t="n"/>
      <c r="AG261" s="256" t="n"/>
      <c r="AH261" s="256">
        <f>IFERROR(IFERROR(V261,0)+IFERROR(AC261,0)+IFERROR(AD261,0)+IFERROR(AE261,0)+IFERROR(AF261,0)+IFERROR(AG261,0),0)</f>
        <v/>
      </c>
    </row>
    <row r="262" ht="15" customHeight="1" s="199">
      <c r="A262" s="104" t="n"/>
      <c r="B262" s="104" t="n"/>
      <c r="C262" s="104" t="n"/>
      <c r="D262" s="105" t="n"/>
      <c r="E262" s="105" t="n"/>
      <c r="F262" s="105" t="n"/>
      <c r="G262" s="106" t="n"/>
      <c r="H262" s="106" t="n"/>
      <c r="I262" s="106" t="n"/>
      <c r="J262" s="107" t="n"/>
      <c r="K262" s="105" t="n"/>
      <c r="L262" s="106" t="n"/>
      <c r="M262" s="106" t="n"/>
      <c r="N262" s="106" t="n"/>
      <c r="O262" s="106" t="n"/>
      <c r="P262" s="105" t="n"/>
      <c r="Q262" s="107" t="n"/>
      <c r="R262" s="105" t="n"/>
      <c r="S262" s="107" t="n"/>
      <c r="T262" s="108">
        <f>IFERROR(L262+M262+N262+O262,0)</f>
        <v/>
      </c>
      <c r="U262" s="108">
        <f>IFERROR(H262+IFERROR(I262,0)+T262+IFERROR(AH262,0),0)</f>
        <v/>
      </c>
      <c r="V262" s="256" t="n"/>
      <c r="W262" s="257" t="n"/>
      <c r="X262" s="256" t="n"/>
      <c r="Y262" s="258" t="n"/>
      <c r="Z262" s="259" t="n"/>
      <c r="AA262" s="259" t="n"/>
      <c r="AB262" s="258" t="n"/>
      <c r="AC262" s="256" t="n"/>
      <c r="AD262" s="256" t="n"/>
      <c r="AE262" s="256" t="n"/>
      <c r="AF262" s="256" t="n"/>
      <c r="AG262" s="256" t="n"/>
      <c r="AH262" s="256">
        <f>IFERROR(IFERROR(V262,0)+IFERROR(AC262,0)+IFERROR(AD262,0)+IFERROR(AE262,0)+IFERROR(AF262,0)+IFERROR(AG262,0),0)</f>
        <v/>
      </c>
    </row>
    <row r="263" ht="15" customHeight="1" s="199">
      <c r="A263" s="104" t="n"/>
      <c r="B263" s="104" t="n"/>
      <c r="C263" s="104" t="n"/>
      <c r="D263" s="105" t="n"/>
      <c r="E263" s="105" t="n"/>
      <c r="F263" s="105" t="n"/>
      <c r="G263" s="106" t="n"/>
      <c r="H263" s="106" t="n"/>
      <c r="I263" s="106" t="n"/>
      <c r="J263" s="107" t="n"/>
      <c r="K263" s="105" t="n"/>
      <c r="L263" s="106" t="n"/>
      <c r="M263" s="106" t="n"/>
      <c r="N263" s="106" t="n"/>
      <c r="O263" s="106" t="n"/>
      <c r="P263" s="105" t="n"/>
      <c r="Q263" s="107" t="n"/>
      <c r="R263" s="105" t="n"/>
      <c r="S263" s="107" t="n"/>
      <c r="T263" s="108">
        <f>IFERROR(L263+M263+N263+O263,0)</f>
        <v/>
      </c>
      <c r="U263" s="108">
        <f>IFERROR(H263+IFERROR(I263,0)+T263+IFERROR(AH263,0),0)</f>
        <v/>
      </c>
      <c r="V263" s="256" t="n"/>
      <c r="W263" s="257" t="n"/>
      <c r="X263" s="256" t="n"/>
      <c r="Y263" s="258" t="n"/>
      <c r="Z263" s="259" t="n"/>
      <c r="AA263" s="259" t="n"/>
      <c r="AB263" s="258" t="n"/>
      <c r="AC263" s="256" t="n"/>
      <c r="AD263" s="256" t="n"/>
      <c r="AE263" s="256" t="n"/>
      <c r="AF263" s="256" t="n"/>
      <c r="AG263" s="256" t="n"/>
      <c r="AH263" s="256">
        <f>IFERROR(IFERROR(V263,0)+IFERROR(AC263,0)+IFERROR(AD263,0)+IFERROR(AE263,0)+IFERROR(AF263,0)+IFERROR(AG263,0),0)</f>
        <v/>
      </c>
    </row>
    <row r="264" ht="15" customHeight="1" s="199">
      <c r="A264" s="104" t="n"/>
      <c r="B264" s="104" t="n"/>
      <c r="C264" s="104" t="n"/>
      <c r="D264" s="105" t="n"/>
      <c r="E264" s="105" t="n"/>
      <c r="F264" s="105" t="n"/>
      <c r="G264" s="106" t="n"/>
      <c r="H264" s="106" t="n"/>
      <c r="I264" s="106" t="n"/>
      <c r="J264" s="107" t="n"/>
      <c r="K264" s="105" t="n"/>
      <c r="L264" s="106" t="n"/>
      <c r="M264" s="106" t="n"/>
      <c r="N264" s="106" t="n"/>
      <c r="O264" s="106" t="n"/>
      <c r="P264" s="105" t="n"/>
      <c r="Q264" s="107" t="n"/>
      <c r="R264" s="105" t="n"/>
      <c r="S264" s="107" t="n"/>
      <c r="T264" s="108">
        <f>IFERROR(L264+M264+N264+O264,0)</f>
        <v/>
      </c>
      <c r="U264" s="108">
        <f>IFERROR(H264+IFERROR(I264,0)+T264+IFERROR(AH264,0),0)</f>
        <v/>
      </c>
      <c r="V264" s="256" t="n"/>
      <c r="W264" s="257" t="n"/>
      <c r="X264" s="256" t="n"/>
      <c r="Y264" s="258" t="n"/>
      <c r="Z264" s="259" t="n"/>
      <c r="AA264" s="259" t="n"/>
      <c r="AB264" s="258" t="n"/>
      <c r="AC264" s="256" t="n"/>
      <c r="AD264" s="256" t="n"/>
      <c r="AE264" s="256" t="n"/>
      <c r="AF264" s="256" t="n"/>
      <c r="AG264" s="256" t="n"/>
      <c r="AH264" s="256">
        <f>IFERROR(IFERROR(V264,0)+IFERROR(AC264,0)+IFERROR(AD264,0)+IFERROR(AE264,0)+IFERROR(AF264,0)+IFERROR(AG264,0),0)</f>
        <v/>
      </c>
    </row>
    <row r="265" ht="15" customHeight="1" s="199">
      <c r="A265" s="104" t="n"/>
      <c r="B265" s="104" t="n"/>
      <c r="C265" s="104" t="n"/>
      <c r="D265" s="105" t="n"/>
      <c r="E265" s="105" t="n"/>
      <c r="F265" s="105" t="n"/>
      <c r="G265" s="106" t="n"/>
      <c r="H265" s="106" t="n"/>
      <c r="I265" s="106" t="n"/>
      <c r="J265" s="107" t="n"/>
      <c r="K265" s="105" t="n"/>
      <c r="L265" s="106" t="n"/>
      <c r="M265" s="106" t="n"/>
      <c r="N265" s="106" t="n"/>
      <c r="O265" s="106" t="n"/>
      <c r="P265" s="105" t="n"/>
      <c r="Q265" s="107" t="n"/>
      <c r="R265" s="105" t="n"/>
      <c r="S265" s="107" t="n"/>
      <c r="T265" s="108">
        <f>IFERROR(L265+M265+N265+O265,0)</f>
        <v/>
      </c>
      <c r="U265" s="108">
        <f>IFERROR(H265+IFERROR(I265,0)+T265+IFERROR(AH265,0),0)</f>
        <v/>
      </c>
      <c r="V265" s="256" t="n"/>
      <c r="W265" s="257" t="n"/>
      <c r="X265" s="256" t="n"/>
      <c r="Y265" s="258" t="n"/>
      <c r="Z265" s="259" t="n"/>
      <c r="AA265" s="259" t="n"/>
      <c r="AB265" s="258" t="n"/>
      <c r="AC265" s="256" t="n"/>
      <c r="AD265" s="256" t="n"/>
      <c r="AE265" s="256" t="n"/>
      <c r="AF265" s="256" t="n"/>
      <c r="AG265" s="256" t="n"/>
      <c r="AH265" s="256">
        <f>IFERROR(IFERROR(V265,0)+IFERROR(AC265,0)+IFERROR(AD265,0)+IFERROR(AE265,0)+IFERROR(AF265,0)+IFERROR(AG265,0),0)</f>
        <v/>
      </c>
    </row>
    <row r="266" ht="15" customHeight="1" s="199">
      <c r="A266" s="104" t="n"/>
      <c r="B266" s="104" t="n"/>
      <c r="C266" s="104" t="n"/>
      <c r="D266" s="105" t="n"/>
      <c r="E266" s="105" t="n"/>
      <c r="F266" s="105" t="n"/>
      <c r="G266" s="106" t="n"/>
      <c r="H266" s="106" t="n"/>
      <c r="I266" s="106" t="n"/>
      <c r="J266" s="107" t="n"/>
      <c r="K266" s="105" t="n"/>
      <c r="L266" s="106" t="n"/>
      <c r="M266" s="106" t="n"/>
      <c r="N266" s="106" t="n"/>
      <c r="O266" s="106" t="n"/>
      <c r="P266" s="105" t="n"/>
      <c r="Q266" s="107" t="n"/>
      <c r="R266" s="105" t="n"/>
      <c r="S266" s="107" t="n"/>
      <c r="T266" s="108">
        <f>IFERROR(L266+M266+N266+O266,0)</f>
        <v/>
      </c>
      <c r="U266" s="108">
        <f>IFERROR(H266+IFERROR(I266,0)+T266+IFERROR(AH266,0),0)</f>
        <v/>
      </c>
      <c r="V266" s="256" t="n"/>
      <c r="W266" s="257" t="n"/>
      <c r="X266" s="256" t="n"/>
      <c r="Y266" s="258" t="n"/>
      <c r="Z266" s="259" t="n"/>
      <c r="AA266" s="259" t="n"/>
      <c r="AB266" s="258" t="n"/>
      <c r="AC266" s="256" t="n"/>
      <c r="AD266" s="256" t="n"/>
      <c r="AE266" s="256" t="n"/>
      <c r="AF266" s="256" t="n"/>
      <c r="AG266" s="256" t="n"/>
      <c r="AH266" s="256">
        <f>IFERROR(IFERROR(V266,0)+IFERROR(AC266,0)+IFERROR(AD266,0)+IFERROR(AE266,0)+IFERROR(AF266,0)+IFERROR(AG266,0),0)</f>
        <v/>
      </c>
    </row>
    <row r="267" ht="15" customHeight="1" s="199">
      <c r="A267" s="104" t="n"/>
      <c r="B267" s="104" t="n"/>
      <c r="C267" s="104" t="n"/>
      <c r="D267" s="105" t="n"/>
      <c r="E267" s="105" t="n"/>
      <c r="F267" s="105" t="n"/>
      <c r="G267" s="106" t="n"/>
      <c r="H267" s="106" t="n"/>
      <c r="I267" s="106" t="n"/>
      <c r="J267" s="107" t="n"/>
      <c r="K267" s="105" t="n"/>
      <c r="L267" s="106" t="n"/>
      <c r="M267" s="106" t="n"/>
      <c r="N267" s="106" t="n"/>
      <c r="O267" s="106" t="n"/>
      <c r="P267" s="105" t="n"/>
      <c r="Q267" s="107" t="n"/>
      <c r="R267" s="105" t="n"/>
      <c r="S267" s="107" t="n"/>
      <c r="T267" s="108">
        <f>IFERROR(L267+M267+N267+O267,0)</f>
        <v/>
      </c>
      <c r="U267" s="108">
        <f>IFERROR(H267+IFERROR(I267,0)+T267+IFERROR(AH267,0),0)</f>
        <v/>
      </c>
      <c r="V267" s="256" t="n"/>
      <c r="W267" s="257" t="n"/>
      <c r="X267" s="256" t="n"/>
      <c r="Y267" s="258" t="n"/>
      <c r="Z267" s="259" t="n"/>
      <c r="AA267" s="259" t="n"/>
      <c r="AB267" s="258" t="n"/>
      <c r="AC267" s="256" t="n"/>
      <c r="AD267" s="256" t="n"/>
      <c r="AE267" s="256" t="n"/>
      <c r="AF267" s="256" t="n"/>
      <c r="AG267" s="256" t="n"/>
      <c r="AH267" s="256">
        <f>IFERROR(IFERROR(V267,0)+IFERROR(AC267,0)+IFERROR(AD267,0)+IFERROR(AE267,0)+IFERROR(AF267,0)+IFERROR(AG267,0),0)</f>
        <v/>
      </c>
    </row>
    <row r="268" ht="15" customHeight="1" s="199">
      <c r="A268" s="104" t="n"/>
      <c r="B268" s="104" t="n"/>
      <c r="C268" s="104" t="n"/>
      <c r="D268" s="105" t="n"/>
      <c r="E268" s="105" t="n"/>
      <c r="F268" s="105" t="n"/>
      <c r="G268" s="106" t="n"/>
      <c r="H268" s="106" t="n"/>
      <c r="I268" s="106" t="n"/>
      <c r="J268" s="107" t="n"/>
      <c r="K268" s="105" t="n"/>
      <c r="L268" s="106" t="n"/>
      <c r="M268" s="106" t="n"/>
      <c r="N268" s="106" t="n"/>
      <c r="O268" s="106" t="n"/>
      <c r="P268" s="105" t="n"/>
      <c r="Q268" s="107" t="n"/>
      <c r="R268" s="105" t="n"/>
      <c r="S268" s="107" t="n"/>
      <c r="T268" s="108">
        <f>IFERROR(L268+M268+N268+O268,0)</f>
        <v/>
      </c>
      <c r="U268" s="108">
        <f>IFERROR(H268+IFERROR(I268,0)+T268+IFERROR(AH268,0),0)</f>
        <v/>
      </c>
      <c r="V268" s="256" t="n"/>
      <c r="W268" s="257" t="n"/>
      <c r="X268" s="256" t="n"/>
      <c r="Y268" s="258" t="n"/>
      <c r="Z268" s="259" t="n"/>
      <c r="AA268" s="259" t="n"/>
      <c r="AB268" s="258" t="n"/>
      <c r="AC268" s="256" t="n"/>
      <c r="AD268" s="256" t="n"/>
      <c r="AE268" s="256" t="n"/>
      <c r="AF268" s="256" t="n"/>
      <c r="AG268" s="256" t="n"/>
      <c r="AH268" s="256">
        <f>IFERROR(IFERROR(V268,0)+IFERROR(AC268,0)+IFERROR(AD268,0)+IFERROR(AE268,0)+IFERROR(AF268,0)+IFERROR(AG268,0),0)</f>
        <v/>
      </c>
    </row>
    <row r="269" ht="15" customHeight="1" s="199">
      <c r="A269" s="104" t="n"/>
      <c r="B269" s="104" t="n"/>
      <c r="C269" s="104" t="n"/>
      <c r="D269" s="105" t="n"/>
      <c r="E269" s="105" t="n"/>
      <c r="F269" s="105" t="n"/>
      <c r="G269" s="106" t="n"/>
      <c r="H269" s="106" t="n"/>
      <c r="I269" s="106" t="n"/>
      <c r="J269" s="107" t="n"/>
      <c r="K269" s="105" t="n"/>
      <c r="L269" s="106" t="n"/>
      <c r="M269" s="106" t="n"/>
      <c r="N269" s="106" t="n"/>
      <c r="O269" s="106" t="n"/>
      <c r="P269" s="105" t="n"/>
      <c r="Q269" s="107" t="n"/>
      <c r="R269" s="105" t="n"/>
      <c r="S269" s="107" t="n"/>
      <c r="T269" s="108">
        <f>IFERROR(L269+M269+N269+O269,0)</f>
        <v/>
      </c>
      <c r="U269" s="108">
        <f>IFERROR(H269+IFERROR(I269,0)+T269+IFERROR(AH269,0),0)</f>
        <v/>
      </c>
      <c r="V269" s="256" t="n"/>
      <c r="W269" s="257" t="n"/>
      <c r="X269" s="256" t="n"/>
      <c r="Y269" s="258" t="n"/>
      <c r="Z269" s="259" t="n"/>
      <c r="AA269" s="259" t="n"/>
      <c r="AB269" s="258" t="n"/>
      <c r="AC269" s="256" t="n"/>
      <c r="AD269" s="256" t="n"/>
      <c r="AE269" s="256" t="n"/>
      <c r="AF269" s="256" t="n"/>
      <c r="AG269" s="256" t="n"/>
      <c r="AH269" s="256">
        <f>IFERROR(IFERROR(V269,0)+IFERROR(AC269,0)+IFERROR(AD269,0)+IFERROR(AE269,0)+IFERROR(AF269,0)+IFERROR(AG269,0),0)</f>
        <v/>
      </c>
    </row>
    <row r="270" ht="15" customHeight="1" s="199">
      <c r="A270" s="104" t="n"/>
      <c r="B270" s="104" t="n"/>
      <c r="C270" s="104" t="n"/>
      <c r="D270" s="105" t="n"/>
      <c r="E270" s="105" t="n"/>
      <c r="F270" s="105" t="n"/>
      <c r="G270" s="106" t="n"/>
      <c r="H270" s="106" t="n"/>
      <c r="I270" s="106" t="n"/>
      <c r="J270" s="107" t="n"/>
      <c r="K270" s="105" t="n"/>
      <c r="L270" s="106" t="n"/>
      <c r="M270" s="106" t="n"/>
      <c r="N270" s="106" t="n"/>
      <c r="O270" s="106" t="n"/>
      <c r="P270" s="105" t="n"/>
      <c r="Q270" s="107" t="n"/>
      <c r="R270" s="105" t="n"/>
      <c r="S270" s="107" t="n"/>
      <c r="T270" s="108">
        <f>IFERROR(L270+M270+N270+O270,0)</f>
        <v/>
      </c>
      <c r="U270" s="108">
        <f>IFERROR(H270+IFERROR(I270,0)+T270+IFERROR(AH270,0),0)</f>
        <v/>
      </c>
      <c r="V270" s="256" t="n"/>
      <c r="W270" s="257" t="n"/>
      <c r="X270" s="256" t="n"/>
      <c r="Y270" s="258" t="n"/>
      <c r="Z270" s="259" t="n"/>
      <c r="AA270" s="259" t="n"/>
      <c r="AB270" s="258" t="n"/>
      <c r="AC270" s="256" t="n"/>
      <c r="AD270" s="256" t="n"/>
      <c r="AE270" s="256" t="n"/>
      <c r="AF270" s="256" t="n"/>
      <c r="AG270" s="256" t="n"/>
      <c r="AH270" s="256">
        <f>IFERROR(IFERROR(V270,0)+IFERROR(AC270,0)+IFERROR(AD270,0)+IFERROR(AE270,0)+IFERROR(AF270,0)+IFERROR(AG270,0),0)</f>
        <v/>
      </c>
    </row>
    <row r="271" ht="15" customHeight="1" s="199">
      <c r="A271" s="104" t="n"/>
      <c r="B271" s="104" t="n"/>
      <c r="C271" s="104" t="n"/>
      <c r="D271" s="105" t="n"/>
      <c r="E271" s="105" t="n"/>
      <c r="F271" s="105" t="n"/>
      <c r="G271" s="106" t="n"/>
      <c r="H271" s="106" t="n"/>
      <c r="I271" s="106" t="n"/>
      <c r="J271" s="107" t="n"/>
      <c r="K271" s="105" t="n"/>
      <c r="L271" s="106" t="n"/>
      <c r="M271" s="106" t="n"/>
      <c r="N271" s="106" t="n"/>
      <c r="O271" s="106" t="n"/>
      <c r="P271" s="105" t="n"/>
      <c r="Q271" s="107" t="n"/>
      <c r="R271" s="105" t="n"/>
      <c r="S271" s="107" t="n"/>
      <c r="T271" s="108">
        <f>IFERROR(L271+M271+N271+O271,0)</f>
        <v/>
      </c>
      <c r="U271" s="108">
        <f>IFERROR(H271+IFERROR(I271,0)+T271+IFERROR(AH271,0),0)</f>
        <v/>
      </c>
      <c r="V271" s="256" t="n"/>
      <c r="W271" s="257" t="n"/>
      <c r="X271" s="256" t="n"/>
      <c r="Y271" s="258" t="n"/>
      <c r="Z271" s="259" t="n"/>
      <c r="AA271" s="259" t="n"/>
      <c r="AB271" s="258" t="n"/>
      <c r="AC271" s="256" t="n"/>
      <c r="AD271" s="256" t="n"/>
      <c r="AE271" s="256" t="n"/>
      <c r="AF271" s="256" t="n"/>
      <c r="AG271" s="256" t="n"/>
      <c r="AH271" s="256">
        <f>IFERROR(IFERROR(V271,0)+IFERROR(AC271,0)+IFERROR(AD271,0)+IFERROR(AE271,0)+IFERROR(AF271,0)+IFERROR(AG271,0),0)</f>
        <v/>
      </c>
    </row>
    <row r="272" ht="15" customHeight="1" s="199">
      <c r="A272" s="104" t="n"/>
      <c r="B272" s="104" t="n"/>
      <c r="C272" s="104" t="n"/>
      <c r="D272" s="105" t="n"/>
      <c r="E272" s="105" t="n"/>
      <c r="F272" s="105" t="n"/>
      <c r="G272" s="106" t="n"/>
      <c r="H272" s="106" t="n"/>
      <c r="I272" s="106" t="n"/>
      <c r="J272" s="107" t="n"/>
      <c r="K272" s="105" t="n"/>
      <c r="L272" s="106" t="n"/>
      <c r="M272" s="106" t="n"/>
      <c r="N272" s="106" t="n"/>
      <c r="O272" s="106" t="n"/>
      <c r="P272" s="105" t="n"/>
      <c r="Q272" s="107" t="n"/>
      <c r="R272" s="105" t="n"/>
      <c r="S272" s="107" t="n"/>
      <c r="T272" s="108">
        <f>IFERROR(L272+M272+N272+O272,0)</f>
        <v/>
      </c>
      <c r="U272" s="108">
        <f>IFERROR(H272+IFERROR(I272,0)+T272+IFERROR(AH272,0),0)</f>
        <v/>
      </c>
      <c r="V272" s="256" t="n"/>
      <c r="W272" s="257" t="n"/>
      <c r="X272" s="256" t="n"/>
      <c r="Y272" s="258" t="n"/>
      <c r="Z272" s="259" t="n"/>
      <c r="AA272" s="259" t="n"/>
      <c r="AB272" s="258" t="n"/>
      <c r="AC272" s="256" t="n"/>
      <c r="AD272" s="256" t="n"/>
      <c r="AE272" s="256" t="n"/>
      <c r="AF272" s="256" t="n"/>
      <c r="AG272" s="256" t="n"/>
      <c r="AH272" s="256">
        <f>IFERROR(IFERROR(V272,0)+IFERROR(AC272,0)+IFERROR(AD272,0)+IFERROR(AE272,0)+IFERROR(AF272,0)+IFERROR(AG272,0),0)</f>
        <v/>
      </c>
    </row>
    <row r="273" ht="15" customHeight="1" s="199">
      <c r="A273" s="104" t="n"/>
      <c r="B273" s="104" t="n"/>
      <c r="C273" s="104" t="n"/>
      <c r="D273" s="105" t="n"/>
      <c r="E273" s="105" t="n"/>
      <c r="F273" s="105" t="n"/>
      <c r="G273" s="106" t="n"/>
      <c r="H273" s="106" t="n"/>
      <c r="I273" s="106" t="n"/>
      <c r="J273" s="107" t="n"/>
      <c r="K273" s="105" t="n"/>
      <c r="L273" s="106" t="n"/>
      <c r="M273" s="106" t="n"/>
      <c r="N273" s="106" t="n"/>
      <c r="O273" s="106" t="n"/>
      <c r="P273" s="105" t="n"/>
      <c r="Q273" s="107" t="n"/>
      <c r="R273" s="105" t="n"/>
      <c r="S273" s="107" t="n"/>
      <c r="T273" s="108">
        <f>IFERROR(L273+M273+N273+O273,0)</f>
        <v/>
      </c>
      <c r="U273" s="108">
        <f>IFERROR(H273+IFERROR(I273,0)+T273+IFERROR(AH273,0),0)</f>
        <v/>
      </c>
      <c r="V273" s="256" t="n"/>
      <c r="W273" s="257" t="n"/>
      <c r="X273" s="256" t="n"/>
      <c r="Y273" s="258" t="n"/>
      <c r="Z273" s="259" t="n"/>
      <c r="AA273" s="259" t="n"/>
      <c r="AB273" s="258" t="n"/>
      <c r="AC273" s="256" t="n"/>
      <c r="AD273" s="256" t="n"/>
      <c r="AE273" s="256" t="n"/>
      <c r="AF273" s="256" t="n"/>
      <c r="AG273" s="256" t="n"/>
      <c r="AH273" s="256">
        <f>IFERROR(IFERROR(V273,0)+IFERROR(AC273,0)+IFERROR(AD273,0)+IFERROR(AE273,0)+IFERROR(AF273,0)+IFERROR(AG273,0),0)</f>
        <v/>
      </c>
    </row>
    <row r="274" ht="15" customHeight="1" s="199">
      <c r="A274" s="104" t="n"/>
      <c r="B274" s="104" t="n"/>
      <c r="C274" s="104" t="n"/>
      <c r="D274" s="105" t="n"/>
      <c r="E274" s="105" t="n"/>
      <c r="F274" s="105" t="n"/>
      <c r="G274" s="106" t="n"/>
      <c r="H274" s="106" t="n"/>
      <c r="I274" s="106" t="n"/>
      <c r="J274" s="107" t="n"/>
      <c r="K274" s="105" t="n"/>
      <c r="L274" s="106" t="n"/>
      <c r="M274" s="106" t="n"/>
      <c r="N274" s="106" t="n"/>
      <c r="O274" s="106" t="n"/>
      <c r="P274" s="105" t="n"/>
      <c r="Q274" s="107" t="n"/>
      <c r="R274" s="105" t="n"/>
      <c r="S274" s="107" t="n"/>
      <c r="T274" s="108">
        <f>IFERROR(L274+M274+N274+O274,0)</f>
        <v/>
      </c>
      <c r="U274" s="108">
        <f>IFERROR(H274+IFERROR(I274,0)+T274+IFERROR(AH274,0),0)</f>
        <v/>
      </c>
      <c r="V274" s="256" t="n"/>
      <c r="W274" s="257" t="n"/>
      <c r="X274" s="256" t="n"/>
      <c r="Y274" s="258" t="n"/>
      <c r="Z274" s="259" t="n"/>
      <c r="AA274" s="259" t="n"/>
      <c r="AB274" s="258" t="n"/>
      <c r="AC274" s="256" t="n"/>
      <c r="AD274" s="256" t="n"/>
      <c r="AE274" s="256" t="n"/>
      <c r="AF274" s="256" t="n"/>
      <c r="AG274" s="256" t="n"/>
      <c r="AH274" s="256">
        <f>IFERROR(IFERROR(V274,0)+IFERROR(AC274,0)+IFERROR(AD274,0)+IFERROR(AE274,0)+IFERROR(AF274,0)+IFERROR(AG274,0),0)</f>
        <v/>
      </c>
    </row>
    <row r="275" ht="15" customHeight="1" s="199">
      <c r="A275" s="104" t="n"/>
      <c r="B275" s="104" t="n"/>
      <c r="C275" s="104" t="n"/>
      <c r="D275" s="105" t="n"/>
      <c r="E275" s="105" t="n"/>
      <c r="F275" s="105" t="n"/>
      <c r="G275" s="106" t="n"/>
      <c r="H275" s="106" t="n"/>
      <c r="I275" s="106" t="n"/>
      <c r="J275" s="107" t="n"/>
      <c r="K275" s="105" t="n"/>
      <c r="L275" s="106" t="n"/>
      <c r="M275" s="106" t="n"/>
      <c r="N275" s="106" t="n"/>
      <c r="O275" s="106" t="n"/>
      <c r="P275" s="105" t="n"/>
      <c r="Q275" s="107" t="n"/>
      <c r="R275" s="105" t="n"/>
      <c r="S275" s="107" t="n"/>
      <c r="T275" s="108">
        <f>IFERROR(L275+M275+N275+O275,0)</f>
        <v/>
      </c>
      <c r="U275" s="108">
        <f>IFERROR(H275+IFERROR(I275,0)+T275+IFERROR(AH275,0),0)</f>
        <v/>
      </c>
      <c r="V275" s="256" t="n"/>
      <c r="W275" s="257" t="n"/>
      <c r="X275" s="256" t="n"/>
      <c r="Y275" s="258" t="n"/>
      <c r="Z275" s="259" t="n"/>
      <c r="AA275" s="259" t="n"/>
      <c r="AB275" s="258" t="n"/>
      <c r="AC275" s="256" t="n"/>
      <c r="AD275" s="256" t="n"/>
      <c r="AE275" s="256" t="n"/>
      <c r="AF275" s="256" t="n"/>
      <c r="AG275" s="256" t="n"/>
      <c r="AH275" s="256">
        <f>IFERROR(IFERROR(V275,0)+IFERROR(AC275,0)+IFERROR(AD275,0)+IFERROR(AE275,0)+IFERROR(AF275,0)+IFERROR(AG275,0),0)</f>
        <v/>
      </c>
    </row>
    <row r="276" ht="15" customHeight="1" s="199">
      <c r="A276" s="104" t="n"/>
      <c r="B276" s="104" t="n"/>
      <c r="C276" s="104" t="n"/>
      <c r="D276" s="105" t="n"/>
      <c r="E276" s="105" t="n"/>
      <c r="F276" s="105" t="n"/>
      <c r="G276" s="106" t="n"/>
      <c r="H276" s="106" t="n"/>
      <c r="I276" s="106" t="n"/>
      <c r="J276" s="107" t="n"/>
      <c r="K276" s="105" t="n"/>
      <c r="L276" s="106" t="n"/>
      <c r="M276" s="106" t="n"/>
      <c r="N276" s="106" t="n"/>
      <c r="O276" s="106" t="n"/>
      <c r="P276" s="105" t="n"/>
      <c r="Q276" s="107" t="n"/>
      <c r="R276" s="105" t="n"/>
      <c r="S276" s="107" t="n"/>
      <c r="T276" s="108">
        <f>IFERROR(L276+M276+N276+O276,0)</f>
        <v/>
      </c>
      <c r="U276" s="108">
        <f>IFERROR(H276+IFERROR(I276,0)+T276+IFERROR(AH276,0),0)</f>
        <v/>
      </c>
      <c r="V276" s="256" t="n"/>
      <c r="W276" s="257" t="n"/>
      <c r="X276" s="256" t="n"/>
      <c r="Y276" s="258" t="n"/>
      <c r="Z276" s="259" t="n"/>
      <c r="AA276" s="259" t="n"/>
      <c r="AB276" s="258" t="n"/>
      <c r="AC276" s="256" t="n"/>
      <c r="AD276" s="256" t="n"/>
      <c r="AE276" s="256" t="n"/>
      <c r="AF276" s="256" t="n"/>
      <c r="AG276" s="256" t="n"/>
      <c r="AH276" s="256">
        <f>IFERROR(IFERROR(V276,0)+IFERROR(AC276,0)+IFERROR(AD276,0)+IFERROR(AE276,0)+IFERROR(AF276,0)+IFERROR(AG276,0),0)</f>
        <v/>
      </c>
    </row>
    <row r="277" ht="15" customHeight="1" s="199">
      <c r="A277" s="104" t="n"/>
      <c r="B277" s="104" t="n"/>
      <c r="C277" s="104" t="n"/>
      <c r="D277" s="105" t="n"/>
      <c r="E277" s="105" t="n"/>
      <c r="F277" s="105" t="n"/>
      <c r="G277" s="106" t="n"/>
      <c r="H277" s="106" t="n"/>
      <c r="I277" s="106" t="n"/>
      <c r="J277" s="107" t="n"/>
      <c r="K277" s="105" t="n"/>
      <c r="L277" s="106" t="n"/>
      <c r="M277" s="106" t="n"/>
      <c r="N277" s="106" t="n"/>
      <c r="O277" s="106" t="n"/>
      <c r="P277" s="105" t="n"/>
      <c r="Q277" s="107" t="n"/>
      <c r="R277" s="105" t="n"/>
      <c r="S277" s="107" t="n"/>
      <c r="T277" s="108">
        <f>IFERROR(L277+M277+N277+O277,0)</f>
        <v/>
      </c>
      <c r="U277" s="108">
        <f>IFERROR(H277+IFERROR(I277,0)+T277+IFERROR(AH277,0),0)</f>
        <v/>
      </c>
      <c r="V277" s="256" t="n"/>
      <c r="W277" s="257" t="n"/>
      <c r="X277" s="256" t="n"/>
      <c r="Y277" s="258" t="n"/>
      <c r="Z277" s="259" t="n"/>
      <c r="AA277" s="259" t="n"/>
      <c r="AB277" s="258" t="n"/>
      <c r="AC277" s="256" t="n"/>
      <c r="AD277" s="256" t="n"/>
      <c r="AE277" s="256" t="n"/>
      <c r="AF277" s="256" t="n"/>
      <c r="AG277" s="256" t="n"/>
      <c r="AH277" s="256">
        <f>IFERROR(IFERROR(V277,0)+IFERROR(AC277,0)+IFERROR(AD277,0)+IFERROR(AE277,0)+IFERROR(AF277,0)+IFERROR(AG277,0),0)</f>
        <v/>
      </c>
    </row>
    <row r="278" ht="15" customHeight="1" s="199">
      <c r="A278" s="104" t="n"/>
      <c r="B278" s="104" t="n"/>
      <c r="C278" s="104" t="n"/>
      <c r="D278" s="105" t="n"/>
      <c r="E278" s="105" t="n"/>
      <c r="F278" s="105" t="n"/>
      <c r="G278" s="106" t="n"/>
      <c r="H278" s="106" t="n"/>
      <c r="I278" s="106" t="n"/>
      <c r="J278" s="107" t="n"/>
      <c r="K278" s="105" t="n"/>
      <c r="L278" s="106" t="n"/>
      <c r="M278" s="106" t="n"/>
      <c r="N278" s="106" t="n"/>
      <c r="O278" s="106" t="n"/>
      <c r="P278" s="105" t="n"/>
      <c r="Q278" s="107" t="n"/>
      <c r="R278" s="105" t="n"/>
      <c r="S278" s="107" t="n"/>
      <c r="T278" s="108">
        <f>IFERROR(L278+M278+N278+O278,0)</f>
        <v/>
      </c>
      <c r="U278" s="108">
        <f>IFERROR(H278+IFERROR(I278,0)+T278+IFERROR(AH278,0),0)</f>
        <v/>
      </c>
      <c r="V278" s="256" t="n"/>
      <c r="W278" s="257" t="n"/>
      <c r="X278" s="256" t="n"/>
      <c r="Y278" s="258" t="n"/>
      <c r="Z278" s="259" t="n"/>
      <c r="AA278" s="259" t="n"/>
      <c r="AB278" s="258" t="n"/>
      <c r="AC278" s="256" t="n"/>
      <c r="AD278" s="256" t="n"/>
      <c r="AE278" s="256" t="n"/>
      <c r="AF278" s="256" t="n"/>
      <c r="AG278" s="256" t="n"/>
      <c r="AH278" s="256">
        <f>IFERROR(IFERROR(V278,0)+IFERROR(AC278,0)+IFERROR(AD278,0)+IFERROR(AE278,0)+IFERROR(AF278,0)+IFERROR(AG278,0),0)</f>
        <v/>
      </c>
    </row>
    <row r="279" ht="15" customHeight="1" s="199">
      <c r="A279" s="104" t="n"/>
      <c r="B279" s="104" t="n"/>
      <c r="C279" s="104" t="n"/>
      <c r="D279" s="105" t="n"/>
      <c r="E279" s="105" t="n"/>
      <c r="F279" s="105" t="n"/>
      <c r="G279" s="106" t="n"/>
      <c r="H279" s="106" t="n"/>
      <c r="I279" s="106" t="n"/>
      <c r="J279" s="107" t="n"/>
      <c r="K279" s="105" t="n"/>
      <c r="L279" s="106" t="n"/>
      <c r="M279" s="106" t="n"/>
      <c r="N279" s="106" t="n"/>
      <c r="O279" s="106" t="n"/>
      <c r="P279" s="105" t="n"/>
      <c r="Q279" s="107" t="n"/>
      <c r="R279" s="105" t="n"/>
      <c r="S279" s="107" t="n"/>
      <c r="T279" s="108">
        <f>IFERROR(L279+M279+N279+O279,0)</f>
        <v/>
      </c>
      <c r="U279" s="108">
        <f>IFERROR(H279+IFERROR(I279,0)+T279+IFERROR(AH279,0),0)</f>
        <v/>
      </c>
      <c r="V279" s="256" t="n"/>
      <c r="W279" s="257" t="n"/>
      <c r="X279" s="256" t="n"/>
      <c r="Y279" s="258" t="n"/>
      <c r="Z279" s="259" t="n"/>
      <c r="AA279" s="259" t="n"/>
      <c r="AB279" s="258" t="n"/>
      <c r="AC279" s="256" t="n"/>
      <c r="AD279" s="256" t="n"/>
      <c r="AE279" s="256" t="n"/>
      <c r="AF279" s="256" t="n"/>
      <c r="AG279" s="256" t="n"/>
      <c r="AH279" s="256">
        <f>IFERROR(IFERROR(V279,0)+IFERROR(AC279,0)+IFERROR(AD279,0)+IFERROR(AE279,0)+IFERROR(AF279,0)+IFERROR(AG279,0),0)</f>
        <v/>
      </c>
    </row>
    <row r="280" ht="15" customHeight="1" s="199">
      <c r="A280" s="104" t="n"/>
      <c r="B280" s="104" t="n"/>
      <c r="C280" s="104" t="n"/>
      <c r="D280" s="105" t="n"/>
      <c r="E280" s="105" t="n"/>
      <c r="F280" s="105" t="n"/>
      <c r="G280" s="106" t="n"/>
      <c r="H280" s="106" t="n"/>
      <c r="I280" s="106" t="n"/>
      <c r="J280" s="107" t="n"/>
      <c r="K280" s="105" t="n"/>
      <c r="L280" s="106" t="n"/>
      <c r="M280" s="106" t="n"/>
      <c r="N280" s="106" t="n"/>
      <c r="O280" s="106" t="n"/>
      <c r="P280" s="105" t="n"/>
      <c r="Q280" s="107" t="n"/>
      <c r="R280" s="105" t="n"/>
      <c r="S280" s="107" t="n"/>
      <c r="T280" s="108">
        <f>IFERROR(L280+M280+N280+O280,0)</f>
        <v/>
      </c>
      <c r="U280" s="108">
        <f>IFERROR(H280+IFERROR(I280,0)+T280+IFERROR(AH280,0),0)</f>
        <v/>
      </c>
      <c r="V280" s="256" t="n"/>
      <c r="W280" s="257" t="n"/>
      <c r="X280" s="256" t="n"/>
      <c r="Y280" s="258" t="n"/>
      <c r="Z280" s="259" t="n"/>
      <c r="AA280" s="259" t="n"/>
      <c r="AB280" s="258" t="n"/>
      <c r="AC280" s="256" t="n"/>
      <c r="AD280" s="256" t="n"/>
      <c r="AE280" s="256" t="n"/>
      <c r="AF280" s="256" t="n"/>
      <c r="AG280" s="256" t="n"/>
      <c r="AH280" s="256">
        <f>IFERROR(IFERROR(V280,0)+IFERROR(AC280,0)+IFERROR(AD280,0)+IFERROR(AE280,0)+IFERROR(AF280,0)+IFERROR(AG280,0),0)</f>
        <v/>
      </c>
    </row>
    <row r="281" ht="15" customHeight="1" s="199">
      <c r="A281" s="104" t="n"/>
      <c r="B281" s="104" t="n"/>
      <c r="C281" s="104" t="n"/>
      <c r="D281" s="105" t="n"/>
      <c r="E281" s="105" t="n"/>
      <c r="F281" s="105" t="n"/>
      <c r="G281" s="106" t="n"/>
      <c r="H281" s="106" t="n"/>
      <c r="I281" s="106" t="n"/>
      <c r="J281" s="107" t="n"/>
      <c r="K281" s="105" t="n"/>
      <c r="L281" s="106" t="n"/>
      <c r="M281" s="106" t="n"/>
      <c r="N281" s="106" t="n"/>
      <c r="O281" s="106" t="n"/>
      <c r="P281" s="105" t="n"/>
      <c r="Q281" s="107" t="n"/>
      <c r="R281" s="105" t="n"/>
      <c r="S281" s="107" t="n"/>
      <c r="T281" s="108">
        <f>IFERROR(L281+M281+N281+O281,0)</f>
        <v/>
      </c>
      <c r="U281" s="108">
        <f>IFERROR(H281+IFERROR(I281,0)+T281+IFERROR(AH281,0),0)</f>
        <v/>
      </c>
      <c r="V281" s="256" t="n"/>
      <c r="W281" s="257" t="n"/>
      <c r="X281" s="256" t="n"/>
      <c r="Y281" s="258" t="n"/>
      <c r="Z281" s="259" t="n"/>
      <c r="AA281" s="259" t="n"/>
      <c r="AB281" s="258" t="n"/>
      <c r="AC281" s="256" t="n"/>
      <c r="AD281" s="256" t="n"/>
      <c r="AE281" s="256" t="n"/>
      <c r="AF281" s="256" t="n"/>
      <c r="AG281" s="256" t="n"/>
      <c r="AH281" s="256">
        <f>IFERROR(IFERROR(V281,0)+IFERROR(AC281,0)+IFERROR(AD281,0)+IFERROR(AE281,0)+IFERROR(AF281,0)+IFERROR(AG281,0),0)</f>
        <v/>
      </c>
    </row>
    <row r="282" ht="15" customHeight="1" s="199">
      <c r="A282" s="104" t="n"/>
      <c r="B282" s="104" t="n"/>
      <c r="C282" s="104" t="n"/>
      <c r="D282" s="105" t="n"/>
      <c r="E282" s="105" t="n"/>
      <c r="F282" s="105" t="n"/>
      <c r="G282" s="106" t="n"/>
      <c r="H282" s="106" t="n"/>
      <c r="I282" s="106" t="n"/>
      <c r="J282" s="107" t="n"/>
      <c r="K282" s="105" t="n"/>
      <c r="L282" s="106" t="n"/>
      <c r="M282" s="106" t="n"/>
      <c r="N282" s="106" t="n"/>
      <c r="O282" s="106" t="n"/>
      <c r="P282" s="105" t="n"/>
      <c r="Q282" s="107" t="n"/>
      <c r="R282" s="105" t="n"/>
      <c r="S282" s="107" t="n"/>
      <c r="T282" s="108">
        <f>IFERROR(L282+M282+N282+O282,0)</f>
        <v/>
      </c>
      <c r="U282" s="108">
        <f>IFERROR(H282+IFERROR(I282,0)+T282+IFERROR(AH282,0),0)</f>
        <v/>
      </c>
      <c r="V282" s="256" t="n"/>
      <c r="W282" s="257" t="n"/>
      <c r="X282" s="256" t="n"/>
      <c r="Y282" s="258" t="n"/>
      <c r="Z282" s="259" t="n"/>
      <c r="AA282" s="259" t="n"/>
      <c r="AB282" s="258" t="n"/>
      <c r="AC282" s="256" t="n"/>
      <c r="AD282" s="256" t="n"/>
      <c r="AE282" s="256" t="n"/>
      <c r="AF282" s="256" t="n"/>
      <c r="AG282" s="256" t="n"/>
      <c r="AH282" s="256">
        <f>IFERROR(IFERROR(V282,0)+IFERROR(AC282,0)+IFERROR(AD282,0)+IFERROR(AE282,0)+IFERROR(AF282,0)+IFERROR(AG282,0),0)</f>
        <v/>
      </c>
    </row>
    <row r="283" ht="15" customHeight="1" s="199">
      <c r="A283" s="104" t="n"/>
      <c r="B283" s="104" t="n"/>
      <c r="C283" s="104" t="n"/>
      <c r="D283" s="105" t="n"/>
      <c r="E283" s="105" t="n"/>
      <c r="F283" s="105" t="n"/>
      <c r="G283" s="106" t="n"/>
      <c r="H283" s="106" t="n"/>
      <c r="I283" s="106" t="n"/>
      <c r="J283" s="107" t="n"/>
      <c r="K283" s="105" t="n"/>
      <c r="L283" s="106" t="n"/>
      <c r="M283" s="106" t="n"/>
      <c r="N283" s="106" t="n"/>
      <c r="O283" s="106" t="n"/>
      <c r="P283" s="105" t="n"/>
      <c r="Q283" s="107" t="n"/>
      <c r="R283" s="105" t="n"/>
      <c r="S283" s="107" t="n"/>
      <c r="T283" s="108">
        <f>IFERROR(L283+M283+N283+O283,0)</f>
        <v/>
      </c>
      <c r="U283" s="108">
        <f>IFERROR(H283+IFERROR(I283,0)+T283+IFERROR(AH283,0),0)</f>
        <v/>
      </c>
      <c r="V283" s="256" t="n"/>
      <c r="W283" s="257" t="n"/>
      <c r="X283" s="256" t="n"/>
      <c r="Y283" s="258" t="n"/>
      <c r="Z283" s="259" t="n"/>
      <c r="AA283" s="259" t="n"/>
      <c r="AB283" s="258" t="n"/>
      <c r="AC283" s="256" t="n"/>
      <c r="AD283" s="256" t="n"/>
      <c r="AE283" s="256" t="n"/>
      <c r="AF283" s="256" t="n"/>
      <c r="AG283" s="256" t="n"/>
      <c r="AH283" s="256">
        <f>IFERROR(IFERROR(V283,0)+IFERROR(AC283,0)+IFERROR(AD283,0)+IFERROR(AE283,0)+IFERROR(AF283,0)+IFERROR(AG283,0),0)</f>
        <v/>
      </c>
    </row>
    <row r="284" ht="15" customHeight="1" s="199">
      <c r="A284" s="104" t="n"/>
      <c r="B284" s="104" t="n"/>
      <c r="C284" s="104" t="n"/>
      <c r="D284" s="105" t="n"/>
      <c r="E284" s="105" t="n"/>
      <c r="F284" s="105" t="n"/>
      <c r="G284" s="106" t="n"/>
      <c r="H284" s="106" t="n"/>
      <c r="I284" s="106" t="n"/>
      <c r="J284" s="107" t="n"/>
      <c r="K284" s="105" t="n"/>
      <c r="L284" s="106" t="n"/>
      <c r="M284" s="106" t="n"/>
      <c r="N284" s="106" t="n"/>
      <c r="O284" s="106" t="n"/>
      <c r="P284" s="105" t="n"/>
      <c r="Q284" s="107" t="n"/>
      <c r="R284" s="105" t="n"/>
      <c r="S284" s="107" t="n"/>
      <c r="T284" s="108">
        <f>IFERROR(L284+M284+N284+O284,0)</f>
        <v/>
      </c>
      <c r="U284" s="108">
        <f>IFERROR(H284+IFERROR(I284,0)+T284+IFERROR(AH284,0),0)</f>
        <v/>
      </c>
      <c r="V284" s="256" t="n"/>
      <c r="W284" s="257" t="n"/>
      <c r="X284" s="256" t="n"/>
      <c r="Y284" s="258" t="n"/>
      <c r="Z284" s="259" t="n"/>
      <c r="AA284" s="259" t="n"/>
      <c r="AB284" s="258" t="n"/>
      <c r="AC284" s="256" t="n"/>
      <c r="AD284" s="256" t="n"/>
      <c r="AE284" s="256" t="n"/>
      <c r="AF284" s="256" t="n"/>
      <c r="AG284" s="256" t="n"/>
      <c r="AH284" s="256">
        <f>IFERROR(IFERROR(V284,0)+IFERROR(AC284,0)+IFERROR(AD284,0)+IFERROR(AE284,0)+IFERROR(AF284,0)+IFERROR(AG284,0),0)</f>
        <v/>
      </c>
    </row>
    <row r="285" ht="15" customHeight="1" s="199">
      <c r="A285" s="104" t="n"/>
      <c r="B285" s="104" t="n"/>
      <c r="C285" s="104" t="n"/>
      <c r="D285" s="105" t="n"/>
      <c r="E285" s="105" t="n"/>
      <c r="F285" s="105" t="n"/>
      <c r="G285" s="106" t="n"/>
      <c r="H285" s="106" t="n"/>
      <c r="I285" s="106" t="n"/>
      <c r="J285" s="107" t="n"/>
      <c r="K285" s="105" t="n"/>
      <c r="L285" s="106" t="n"/>
      <c r="M285" s="106" t="n"/>
      <c r="N285" s="106" t="n"/>
      <c r="O285" s="106" t="n"/>
      <c r="P285" s="105" t="n"/>
      <c r="Q285" s="107" t="n"/>
      <c r="R285" s="105" t="n"/>
      <c r="S285" s="107" t="n"/>
      <c r="T285" s="108">
        <f>IFERROR(L285+M285+N285+O285,0)</f>
        <v/>
      </c>
      <c r="U285" s="108">
        <f>IFERROR(H285+IFERROR(I285,0)+T285+IFERROR(AH285,0),0)</f>
        <v/>
      </c>
      <c r="V285" s="256" t="n"/>
      <c r="W285" s="257" t="n"/>
      <c r="X285" s="256" t="n"/>
      <c r="Y285" s="258" t="n"/>
      <c r="Z285" s="259" t="n"/>
      <c r="AA285" s="259" t="n"/>
      <c r="AB285" s="258" t="n"/>
      <c r="AC285" s="256" t="n"/>
      <c r="AD285" s="256" t="n"/>
      <c r="AE285" s="256" t="n"/>
      <c r="AF285" s="256" t="n"/>
      <c r="AG285" s="256" t="n"/>
      <c r="AH285" s="256">
        <f>IFERROR(IFERROR(V285,0)+IFERROR(AC285,0)+IFERROR(AD285,0)+IFERROR(AE285,0)+IFERROR(AF285,0)+IFERROR(AG285,0),0)</f>
        <v/>
      </c>
    </row>
    <row r="286" ht="15" customHeight="1" s="199">
      <c r="A286" s="104" t="n"/>
      <c r="B286" s="104" t="n"/>
      <c r="C286" s="104" t="n"/>
      <c r="D286" s="105" t="n"/>
      <c r="E286" s="105" t="n"/>
      <c r="F286" s="105" t="n"/>
      <c r="G286" s="106" t="n"/>
      <c r="H286" s="106" t="n"/>
      <c r="I286" s="106" t="n"/>
      <c r="J286" s="107" t="n"/>
      <c r="K286" s="105" t="n"/>
      <c r="L286" s="106" t="n"/>
      <c r="M286" s="106" t="n"/>
      <c r="N286" s="106" t="n"/>
      <c r="O286" s="106" t="n"/>
      <c r="P286" s="105" t="n"/>
      <c r="Q286" s="107" t="n"/>
      <c r="R286" s="105" t="n"/>
      <c r="S286" s="107" t="n"/>
      <c r="T286" s="108">
        <f>IFERROR(L286+M286+N286+O286,0)</f>
        <v/>
      </c>
      <c r="U286" s="108">
        <f>IFERROR(H286+IFERROR(I286,0)+T286+IFERROR(AH286,0),0)</f>
        <v/>
      </c>
      <c r="V286" s="256" t="n"/>
      <c r="W286" s="257" t="n"/>
      <c r="X286" s="256" t="n"/>
      <c r="Y286" s="258" t="n"/>
      <c r="Z286" s="259" t="n"/>
      <c r="AA286" s="259" t="n"/>
      <c r="AB286" s="258" t="n"/>
      <c r="AC286" s="256" t="n"/>
      <c r="AD286" s="256" t="n"/>
      <c r="AE286" s="256" t="n"/>
      <c r="AF286" s="256" t="n"/>
      <c r="AG286" s="256" t="n"/>
      <c r="AH286" s="256">
        <f>IFERROR(IFERROR(V286,0)+IFERROR(AC286,0)+IFERROR(AD286,0)+IFERROR(AE286,0)+IFERROR(AF286,0)+IFERROR(AG286,0),0)</f>
        <v/>
      </c>
    </row>
    <row r="287" ht="15" customHeight="1" s="199">
      <c r="A287" s="104" t="n"/>
      <c r="B287" s="104" t="n"/>
      <c r="C287" s="104" t="n"/>
      <c r="D287" s="105" t="n"/>
      <c r="E287" s="105" t="n"/>
      <c r="F287" s="105" t="n"/>
      <c r="G287" s="106" t="n"/>
      <c r="H287" s="106" t="n"/>
      <c r="I287" s="106" t="n"/>
      <c r="J287" s="107" t="n"/>
      <c r="K287" s="105" t="n"/>
      <c r="L287" s="106" t="n"/>
      <c r="M287" s="106" t="n"/>
      <c r="N287" s="106" t="n"/>
      <c r="O287" s="106" t="n"/>
      <c r="P287" s="105" t="n"/>
      <c r="Q287" s="107" t="n"/>
      <c r="R287" s="105" t="n"/>
      <c r="S287" s="107" t="n"/>
      <c r="T287" s="108">
        <f>IFERROR(L287+M287+N287+O287,0)</f>
        <v/>
      </c>
      <c r="U287" s="108">
        <f>IFERROR(H287+IFERROR(I287,0)+T287+IFERROR(AH287,0),0)</f>
        <v/>
      </c>
      <c r="V287" s="256" t="n"/>
      <c r="W287" s="257" t="n"/>
      <c r="X287" s="256" t="n"/>
      <c r="Y287" s="258" t="n"/>
      <c r="Z287" s="259" t="n"/>
      <c r="AA287" s="259" t="n"/>
      <c r="AB287" s="258" t="n"/>
      <c r="AC287" s="256" t="n"/>
      <c r="AD287" s="256" t="n"/>
      <c r="AE287" s="256" t="n"/>
      <c r="AF287" s="256" t="n"/>
      <c r="AG287" s="256" t="n"/>
      <c r="AH287" s="256">
        <f>IFERROR(IFERROR(V287,0)+IFERROR(AC287,0)+IFERROR(AD287,0)+IFERROR(AE287,0)+IFERROR(AF287,0)+IFERROR(AG287,0),0)</f>
        <v/>
      </c>
    </row>
    <row r="288" ht="15" customHeight="1" s="199">
      <c r="A288" s="104" t="n"/>
      <c r="B288" s="104" t="n"/>
      <c r="C288" s="104" t="n"/>
      <c r="D288" s="105" t="n"/>
      <c r="E288" s="105" t="n"/>
      <c r="F288" s="105" t="n"/>
      <c r="G288" s="106" t="n"/>
      <c r="H288" s="106" t="n"/>
      <c r="I288" s="106" t="n"/>
      <c r="J288" s="107" t="n"/>
      <c r="K288" s="105" t="n"/>
      <c r="L288" s="106" t="n"/>
      <c r="M288" s="106" t="n"/>
      <c r="N288" s="106" t="n"/>
      <c r="O288" s="106" t="n"/>
      <c r="P288" s="105" t="n"/>
      <c r="Q288" s="107" t="n"/>
      <c r="R288" s="105" t="n"/>
      <c r="S288" s="107" t="n"/>
      <c r="T288" s="108">
        <f>IFERROR(L288+M288+N288+O288,0)</f>
        <v/>
      </c>
      <c r="U288" s="108">
        <f>IFERROR(H288+IFERROR(I288,0)+T288+IFERROR(AH288,0),0)</f>
        <v/>
      </c>
      <c r="V288" s="256" t="n"/>
      <c r="W288" s="257" t="n"/>
      <c r="X288" s="256" t="n"/>
      <c r="Y288" s="258" t="n"/>
      <c r="Z288" s="259" t="n"/>
      <c r="AA288" s="259" t="n"/>
      <c r="AB288" s="258" t="n"/>
      <c r="AC288" s="256" t="n"/>
      <c r="AD288" s="256" t="n"/>
      <c r="AE288" s="256" t="n"/>
      <c r="AF288" s="256" t="n"/>
      <c r="AG288" s="256" t="n"/>
      <c r="AH288" s="256">
        <f>IFERROR(IFERROR(V288,0)+IFERROR(AC288,0)+IFERROR(AD288,0)+IFERROR(AE288,0)+IFERROR(AF288,0)+IFERROR(AG288,0),0)</f>
        <v/>
      </c>
    </row>
    <row r="289" ht="15" customHeight="1" s="199">
      <c r="A289" s="104" t="n"/>
      <c r="B289" s="104" t="n"/>
      <c r="C289" s="104" t="n"/>
      <c r="D289" s="105" t="n"/>
      <c r="E289" s="105" t="n"/>
      <c r="F289" s="105" t="n"/>
      <c r="G289" s="106" t="n"/>
      <c r="H289" s="106" t="n"/>
      <c r="I289" s="106" t="n"/>
      <c r="J289" s="107" t="n"/>
      <c r="K289" s="105" t="n"/>
      <c r="L289" s="106" t="n"/>
      <c r="M289" s="106" t="n"/>
      <c r="N289" s="106" t="n"/>
      <c r="O289" s="106" t="n"/>
      <c r="P289" s="105" t="n"/>
      <c r="Q289" s="107" t="n"/>
      <c r="R289" s="105" t="n"/>
      <c r="S289" s="107" t="n"/>
      <c r="T289" s="108">
        <f>IFERROR(L289+M289+N289+O289,0)</f>
        <v/>
      </c>
      <c r="U289" s="108">
        <f>IFERROR(H289+IFERROR(I289,0)+T289+IFERROR(AH289,0),0)</f>
        <v/>
      </c>
      <c r="V289" s="256" t="n"/>
      <c r="W289" s="257" t="n"/>
      <c r="X289" s="256" t="n"/>
      <c r="Y289" s="258" t="n"/>
      <c r="Z289" s="259" t="n"/>
      <c r="AA289" s="259" t="n"/>
      <c r="AB289" s="258" t="n"/>
      <c r="AC289" s="256" t="n"/>
      <c r="AD289" s="256" t="n"/>
      <c r="AE289" s="256" t="n"/>
      <c r="AF289" s="256" t="n"/>
      <c r="AG289" s="256" t="n"/>
      <c r="AH289" s="256">
        <f>IFERROR(IFERROR(V289,0)+IFERROR(AC289,0)+IFERROR(AD289,0)+IFERROR(AE289,0)+IFERROR(AF289,0)+IFERROR(AG289,0),0)</f>
        <v/>
      </c>
    </row>
    <row r="290" ht="15" customHeight="1" s="199">
      <c r="A290" s="104" t="n"/>
      <c r="B290" s="104" t="n"/>
      <c r="C290" s="104" t="n"/>
      <c r="D290" s="105" t="n"/>
      <c r="E290" s="105" t="n"/>
      <c r="F290" s="105" t="n"/>
      <c r="G290" s="106" t="n"/>
      <c r="H290" s="106" t="n"/>
      <c r="I290" s="106" t="n"/>
      <c r="J290" s="107" t="n"/>
      <c r="K290" s="105" t="n"/>
      <c r="L290" s="106" t="n"/>
      <c r="M290" s="106" t="n"/>
      <c r="N290" s="106" t="n"/>
      <c r="O290" s="106" t="n"/>
      <c r="P290" s="105" t="n"/>
      <c r="Q290" s="107" t="n"/>
      <c r="R290" s="105" t="n"/>
      <c r="S290" s="107" t="n"/>
      <c r="T290" s="108">
        <f>IFERROR(L290+M290+N290+O290,0)</f>
        <v/>
      </c>
      <c r="U290" s="108">
        <f>IFERROR(H290+IFERROR(I290,0)+T290+IFERROR(AH290,0),0)</f>
        <v/>
      </c>
      <c r="V290" s="256" t="n"/>
      <c r="W290" s="257" t="n"/>
      <c r="X290" s="256" t="n"/>
      <c r="Y290" s="258" t="n"/>
      <c r="Z290" s="259" t="n"/>
      <c r="AA290" s="259" t="n"/>
      <c r="AB290" s="258" t="n"/>
      <c r="AC290" s="256" t="n"/>
      <c r="AD290" s="256" t="n"/>
      <c r="AE290" s="256" t="n"/>
      <c r="AF290" s="256" t="n"/>
      <c r="AG290" s="256" t="n"/>
      <c r="AH290" s="256">
        <f>IFERROR(IFERROR(V290,0)+IFERROR(AC290,0)+IFERROR(AD290,0)+IFERROR(AE290,0)+IFERROR(AF290,0)+IFERROR(AG290,0),0)</f>
        <v/>
      </c>
    </row>
    <row r="291" ht="15" customHeight="1" s="199">
      <c r="A291" s="104" t="n"/>
      <c r="B291" s="104" t="n"/>
      <c r="C291" s="104" t="n"/>
      <c r="D291" s="105" t="n"/>
      <c r="E291" s="105" t="n"/>
      <c r="F291" s="105" t="n"/>
      <c r="G291" s="106" t="n"/>
      <c r="H291" s="106" t="n"/>
      <c r="I291" s="106" t="n"/>
      <c r="J291" s="107" t="n"/>
      <c r="K291" s="105" t="n"/>
      <c r="L291" s="106" t="n"/>
      <c r="M291" s="106" t="n"/>
      <c r="N291" s="106" t="n"/>
      <c r="O291" s="106" t="n"/>
      <c r="P291" s="105" t="n"/>
      <c r="Q291" s="107" t="n"/>
      <c r="R291" s="105" t="n"/>
      <c r="S291" s="107" t="n"/>
      <c r="T291" s="108">
        <f>IFERROR(L291+M291+N291+O291,0)</f>
        <v/>
      </c>
      <c r="U291" s="108">
        <f>IFERROR(H291+IFERROR(I291,0)+T291+IFERROR(AH291,0),0)</f>
        <v/>
      </c>
      <c r="V291" s="256" t="n"/>
      <c r="W291" s="257" t="n"/>
      <c r="X291" s="256" t="n"/>
      <c r="Y291" s="258" t="n"/>
      <c r="Z291" s="259" t="n"/>
      <c r="AA291" s="259" t="n"/>
      <c r="AB291" s="258" t="n"/>
      <c r="AC291" s="256" t="n"/>
      <c r="AD291" s="256" t="n"/>
      <c r="AE291" s="256" t="n"/>
      <c r="AF291" s="256" t="n"/>
      <c r="AG291" s="256" t="n"/>
      <c r="AH291" s="256">
        <f>IFERROR(IFERROR(V291,0)+IFERROR(AC291,0)+IFERROR(AD291,0)+IFERROR(AE291,0)+IFERROR(AF291,0)+IFERROR(AG291,0),0)</f>
        <v/>
      </c>
    </row>
    <row r="292" ht="15" customHeight="1" s="199">
      <c r="A292" s="104" t="n"/>
      <c r="B292" s="104" t="n"/>
      <c r="C292" s="104" t="n"/>
      <c r="D292" s="105" t="n"/>
      <c r="E292" s="105" t="n"/>
      <c r="F292" s="105" t="n"/>
      <c r="G292" s="106" t="n"/>
      <c r="H292" s="106" t="n"/>
      <c r="I292" s="106" t="n"/>
      <c r="J292" s="107" t="n"/>
      <c r="K292" s="105" t="n"/>
      <c r="L292" s="106" t="n"/>
      <c r="M292" s="106" t="n"/>
      <c r="N292" s="106" t="n"/>
      <c r="O292" s="106" t="n"/>
      <c r="P292" s="105" t="n"/>
      <c r="Q292" s="107" t="n"/>
      <c r="R292" s="105" t="n"/>
      <c r="S292" s="107" t="n"/>
      <c r="T292" s="108">
        <f>IFERROR(L292+M292+N292+O292,0)</f>
        <v/>
      </c>
      <c r="U292" s="108">
        <f>IFERROR(H292+IFERROR(I292,0)+T292+IFERROR(AH292,0),0)</f>
        <v/>
      </c>
      <c r="V292" s="256" t="n"/>
      <c r="W292" s="257" t="n"/>
      <c r="X292" s="256" t="n"/>
      <c r="Y292" s="258" t="n"/>
      <c r="Z292" s="259" t="n"/>
      <c r="AA292" s="259" t="n"/>
      <c r="AB292" s="258" t="n"/>
      <c r="AC292" s="256" t="n"/>
      <c r="AD292" s="256" t="n"/>
      <c r="AE292" s="256" t="n"/>
      <c r="AF292" s="256" t="n"/>
      <c r="AG292" s="256" t="n"/>
      <c r="AH292" s="256">
        <f>IFERROR(IFERROR(V292,0)+IFERROR(AC292,0)+IFERROR(AD292,0)+IFERROR(AE292,0)+IFERROR(AF292,0)+IFERROR(AG292,0),0)</f>
        <v/>
      </c>
    </row>
    <row r="293" ht="15" customHeight="1" s="199">
      <c r="A293" s="104" t="n"/>
      <c r="B293" s="104" t="n"/>
      <c r="C293" s="104" t="n"/>
      <c r="D293" s="105" t="n"/>
      <c r="E293" s="105" t="n"/>
      <c r="F293" s="105" t="n"/>
      <c r="G293" s="106" t="n"/>
      <c r="H293" s="106" t="n"/>
      <c r="I293" s="106" t="n"/>
      <c r="J293" s="107" t="n"/>
      <c r="K293" s="105" t="n"/>
      <c r="L293" s="106" t="n"/>
      <c r="M293" s="106" t="n"/>
      <c r="N293" s="106" t="n"/>
      <c r="O293" s="106" t="n"/>
      <c r="P293" s="105" t="n"/>
      <c r="Q293" s="107" t="n"/>
      <c r="R293" s="105" t="n"/>
      <c r="S293" s="107" t="n"/>
      <c r="T293" s="108">
        <f>IFERROR(L293+M293+N293+O293,0)</f>
        <v/>
      </c>
      <c r="U293" s="108">
        <f>IFERROR(H293+IFERROR(I293,0)+T293+IFERROR(AH293,0),0)</f>
        <v/>
      </c>
      <c r="V293" s="256" t="n"/>
      <c r="W293" s="257" t="n"/>
      <c r="X293" s="256" t="n"/>
      <c r="Y293" s="258" t="n"/>
      <c r="Z293" s="259" t="n"/>
      <c r="AA293" s="259" t="n"/>
      <c r="AB293" s="258" t="n"/>
      <c r="AC293" s="256" t="n"/>
      <c r="AD293" s="256" t="n"/>
      <c r="AE293" s="256" t="n"/>
      <c r="AF293" s="256" t="n"/>
      <c r="AG293" s="256" t="n"/>
      <c r="AH293" s="256">
        <f>IFERROR(IFERROR(V293,0)+IFERROR(AC293,0)+IFERROR(AD293,0)+IFERROR(AE293,0)+IFERROR(AF293,0)+IFERROR(AG293,0),0)</f>
        <v/>
      </c>
    </row>
    <row r="294" ht="15" customHeight="1" s="199">
      <c r="A294" s="104" t="n"/>
      <c r="B294" s="104" t="n"/>
      <c r="C294" s="104" t="n"/>
      <c r="D294" s="105" t="n"/>
      <c r="E294" s="105" t="n"/>
      <c r="F294" s="105" t="n"/>
      <c r="G294" s="106" t="n"/>
      <c r="H294" s="106" t="n"/>
      <c r="I294" s="106" t="n"/>
      <c r="J294" s="107" t="n"/>
      <c r="K294" s="105" t="n"/>
      <c r="L294" s="106" t="n"/>
      <c r="M294" s="106" t="n"/>
      <c r="N294" s="106" t="n"/>
      <c r="O294" s="106" t="n"/>
      <c r="P294" s="105" t="n"/>
      <c r="Q294" s="107" t="n"/>
      <c r="R294" s="105" t="n"/>
      <c r="S294" s="107" t="n"/>
      <c r="T294" s="108">
        <f>IFERROR(L294+M294+N294+O294,0)</f>
        <v/>
      </c>
      <c r="U294" s="108">
        <f>IFERROR(H294+IFERROR(I294,0)+T294+IFERROR(AH294,0),0)</f>
        <v/>
      </c>
      <c r="V294" s="256" t="n"/>
      <c r="W294" s="257" t="n"/>
      <c r="X294" s="256" t="n"/>
      <c r="Y294" s="258" t="n"/>
      <c r="Z294" s="259" t="n"/>
      <c r="AA294" s="259" t="n"/>
      <c r="AB294" s="258" t="n"/>
      <c r="AC294" s="256" t="n"/>
      <c r="AD294" s="256" t="n"/>
      <c r="AE294" s="256" t="n"/>
      <c r="AF294" s="256" t="n"/>
      <c r="AG294" s="256" t="n"/>
      <c r="AH294" s="256">
        <f>IFERROR(IFERROR(V294,0)+IFERROR(AC294,0)+IFERROR(AD294,0)+IFERROR(AE294,0)+IFERROR(AF294,0)+IFERROR(AG294,0),0)</f>
        <v/>
      </c>
    </row>
    <row r="295" ht="15" customHeight="1" s="199">
      <c r="A295" s="104" t="n"/>
      <c r="B295" s="104" t="n"/>
      <c r="C295" s="104" t="n"/>
      <c r="D295" s="105" t="n"/>
      <c r="E295" s="105" t="n"/>
      <c r="F295" s="105" t="n"/>
      <c r="G295" s="106" t="n"/>
      <c r="H295" s="106" t="n"/>
      <c r="I295" s="106" t="n"/>
      <c r="J295" s="107" t="n"/>
      <c r="K295" s="105" t="n"/>
      <c r="L295" s="106" t="n"/>
      <c r="M295" s="106" t="n"/>
      <c r="N295" s="106" t="n"/>
      <c r="O295" s="106" t="n"/>
      <c r="P295" s="105" t="n"/>
      <c r="Q295" s="107" t="n"/>
      <c r="R295" s="105" t="n"/>
      <c r="S295" s="107" t="n"/>
      <c r="T295" s="108">
        <f>IFERROR(L295+M295+N295+O295,0)</f>
        <v/>
      </c>
      <c r="U295" s="108">
        <f>IFERROR(H295+IFERROR(I295,0)+T295+IFERROR(AH295,0),0)</f>
        <v/>
      </c>
      <c r="V295" s="256" t="n"/>
      <c r="W295" s="257" t="n"/>
      <c r="X295" s="256" t="n"/>
      <c r="Y295" s="258" t="n"/>
      <c r="Z295" s="259" t="n"/>
      <c r="AA295" s="259" t="n"/>
      <c r="AB295" s="258" t="n"/>
      <c r="AC295" s="256" t="n"/>
      <c r="AD295" s="256" t="n"/>
      <c r="AE295" s="256" t="n"/>
      <c r="AF295" s="256" t="n"/>
      <c r="AG295" s="256" t="n"/>
      <c r="AH295" s="256">
        <f>IFERROR(IFERROR(V295,0)+IFERROR(AC295,0)+IFERROR(AD295,0)+IFERROR(AE295,0)+IFERROR(AF295,0)+IFERROR(AG295,0),0)</f>
        <v/>
      </c>
    </row>
    <row r="296" ht="15" customHeight="1" s="199">
      <c r="A296" s="104" t="n"/>
      <c r="B296" s="104" t="n"/>
      <c r="C296" s="104" t="n"/>
      <c r="D296" s="105" t="n"/>
      <c r="E296" s="105" t="n"/>
      <c r="F296" s="105" t="n"/>
      <c r="G296" s="106" t="n"/>
      <c r="H296" s="106" t="n"/>
      <c r="I296" s="106" t="n"/>
      <c r="J296" s="107" t="n"/>
      <c r="K296" s="105" t="n"/>
      <c r="L296" s="106" t="n"/>
      <c r="M296" s="106" t="n"/>
      <c r="N296" s="106" t="n"/>
      <c r="O296" s="106" t="n"/>
      <c r="P296" s="105" t="n"/>
      <c r="Q296" s="107" t="n"/>
      <c r="R296" s="105" t="n"/>
      <c r="S296" s="107" t="n"/>
      <c r="T296" s="108">
        <f>IFERROR(L296+M296+N296+O296,0)</f>
        <v/>
      </c>
      <c r="U296" s="108">
        <f>IFERROR(H296+IFERROR(I296,0)+T296+IFERROR(AH296,0),0)</f>
        <v/>
      </c>
      <c r="V296" s="256" t="n"/>
      <c r="W296" s="257" t="n"/>
      <c r="X296" s="256" t="n"/>
      <c r="Y296" s="258" t="n"/>
      <c r="Z296" s="259" t="n"/>
      <c r="AA296" s="259" t="n"/>
      <c r="AB296" s="258" t="n"/>
      <c r="AC296" s="256" t="n"/>
      <c r="AD296" s="256" t="n"/>
      <c r="AE296" s="256" t="n"/>
      <c r="AF296" s="256" t="n"/>
      <c r="AG296" s="256" t="n"/>
      <c r="AH296" s="256">
        <f>IFERROR(IFERROR(V296,0)+IFERROR(AC296,0)+IFERROR(AD296,0)+IFERROR(AE296,0)+IFERROR(AF296,0)+IFERROR(AG296,0),0)</f>
        <v/>
      </c>
    </row>
    <row r="297" ht="15" customHeight="1" s="199">
      <c r="A297" s="104" t="n"/>
      <c r="B297" s="104" t="n"/>
      <c r="C297" s="104" t="n"/>
      <c r="D297" s="105" t="n"/>
      <c r="E297" s="105" t="n"/>
      <c r="F297" s="105" t="n"/>
      <c r="G297" s="106" t="n"/>
      <c r="H297" s="106" t="n"/>
      <c r="I297" s="106" t="n"/>
      <c r="J297" s="107" t="n"/>
      <c r="K297" s="105" t="n"/>
      <c r="L297" s="106" t="n"/>
      <c r="M297" s="106" t="n"/>
      <c r="N297" s="106" t="n"/>
      <c r="O297" s="106" t="n"/>
      <c r="P297" s="105" t="n"/>
      <c r="Q297" s="107" t="n"/>
      <c r="R297" s="105" t="n"/>
      <c r="S297" s="107" t="n"/>
      <c r="T297" s="108">
        <f>IFERROR(L297+M297+N297+O297,0)</f>
        <v/>
      </c>
      <c r="U297" s="108">
        <f>IFERROR(H297+IFERROR(I297,0)+T297+IFERROR(AH297,0),0)</f>
        <v/>
      </c>
      <c r="V297" s="256" t="n"/>
      <c r="W297" s="257" t="n"/>
      <c r="X297" s="256" t="n"/>
      <c r="Y297" s="258" t="n"/>
      <c r="Z297" s="259" t="n"/>
      <c r="AA297" s="259" t="n"/>
      <c r="AB297" s="258" t="n"/>
      <c r="AC297" s="256" t="n"/>
      <c r="AD297" s="256" t="n"/>
      <c r="AE297" s="256" t="n"/>
      <c r="AF297" s="256" t="n"/>
      <c r="AG297" s="256" t="n"/>
      <c r="AH297" s="256">
        <f>IFERROR(IFERROR(V297,0)+IFERROR(AC297,0)+IFERROR(AD297,0)+IFERROR(AE297,0)+IFERROR(AF297,0)+IFERROR(AG297,0),0)</f>
        <v/>
      </c>
    </row>
    <row r="298" ht="15" customHeight="1" s="199">
      <c r="A298" s="104" t="n"/>
      <c r="B298" s="104" t="n"/>
      <c r="C298" s="104" t="n"/>
      <c r="D298" s="105" t="n"/>
      <c r="E298" s="105" t="n"/>
      <c r="F298" s="105" t="n"/>
      <c r="G298" s="106" t="n"/>
      <c r="H298" s="106" t="n"/>
      <c r="I298" s="106" t="n"/>
      <c r="J298" s="107" t="n"/>
      <c r="K298" s="105" t="n"/>
      <c r="L298" s="106" t="n"/>
      <c r="M298" s="106" t="n"/>
      <c r="N298" s="106" t="n"/>
      <c r="O298" s="106" t="n"/>
      <c r="P298" s="105" t="n"/>
      <c r="Q298" s="107" t="n"/>
      <c r="R298" s="105" t="n"/>
      <c r="S298" s="107" t="n"/>
      <c r="T298" s="108">
        <f>IFERROR(L298+M298+N298+O298,0)</f>
        <v/>
      </c>
      <c r="U298" s="108">
        <f>IFERROR(H298+IFERROR(I298,0)+T298+IFERROR(AH298,0),0)</f>
        <v/>
      </c>
      <c r="V298" s="256" t="n"/>
      <c r="W298" s="257" t="n"/>
      <c r="X298" s="256" t="n"/>
      <c r="Y298" s="258" t="n"/>
      <c r="Z298" s="259" t="n"/>
      <c r="AA298" s="259" t="n"/>
      <c r="AB298" s="258" t="n"/>
      <c r="AC298" s="256" t="n"/>
      <c r="AD298" s="256" t="n"/>
      <c r="AE298" s="256" t="n"/>
      <c r="AF298" s="256" t="n"/>
      <c r="AG298" s="256" t="n"/>
      <c r="AH298" s="256">
        <f>IFERROR(IFERROR(V298,0)+IFERROR(AC298,0)+IFERROR(AD298,0)+IFERROR(AE298,0)+IFERROR(AF298,0)+IFERROR(AG298,0),0)</f>
        <v/>
      </c>
    </row>
    <row r="299" ht="15" customHeight="1" s="199">
      <c r="A299" s="104" t="n"/>
      <c r="B299" s="104" t="n"/>
      <c r="C299" s="104" t="n"/>
      <c r="D299" s="105" t="n"/>
      <c r="E299" s="105" t="n"/>
      <c r="F299" s="105" t="n"/>
      <c r="G299" s="106" t="n"/>
      <c r="H299" s="106" t="n"/>
      <c r="I299" s="106" t="n"/>
      <c r="J299" s="107" t="n"/>
      <c r="K299" s="105" t="n"/>
      <c r="L299" s="106" t="n"/>
      <c r="M299" s="106" t="n"/>
      <c r="N299" s="106" t="n"/>
      <c r="O299" s="106" t="n"/>
      <c r="P299" s="105" t="n"/>
      <c r="Q299" s="107" t="n"/>
      <c r="R299" s="105" t="n"/>
      <c r="S299" s="107" t="n"/>
      <c r="T299" s="108">
        <f>IFERROR(L299+M299+N299+O299,0)</f>
        <v/>
      </c>
      <c r="U299" s="108">
        <f>IFERROR(H299+IFERROR(I299,0)+T299+IFERROR(AH299,0),0)</f>
        <v/>
      </c>
      <c r="V299" s="256" t="n"/>
      <c r="W299" s="257" t="n"/>
      <c r="X299" s="256" t="n"/>
      <c r="Y299" s="258" t="n"/>
      <c r="Z299" s="259" t="n"/>
      <c r="AA299" s="259" t="n"/>
      <c r="AB299" s="258" t="n"/>
      <c r="AC299" s="256" t="n"/>
      <c r="AD299" s="256" t="n"/>
      <c r="AE299" s="256" t="n"/>
      <c r="AF299" s="256" t="n"/>
      <c r="AG299" s="256" t="n"/>
      <c r="AH299" s="256">
        <f>IFERROR(IFERROR(V299,0)+IFERROR(AC299,0)+IFERROR(AD299,0)+IFERROR(AE299,0)+IFERROR(AF299,0)+IFERROR(AG299,0),0)</f>
        <v/>
      </c>
    </row>
    <row r="300" ht="15" customHeight="1" s="199">
      <c r="A300" s="104" t="n"/>
      <c r="B300" s="104" t="n"/>
      <c r="C300" s="104" t="n"/>
      <c r="D300" s="105" t="n"/>
      <c r="E300" s="105" t="n"/>
      <c r="F300" s="105" t="n"/>
      <c r="G300" s="106" t="n"/>
      <c r="H300" s="106" t="n"/>
      <c r="I300" s="106" t="n"/>
      <c r="J300" s="107" t="n"/>
      <c r="K300" s="105" t="n"/>
      <c r="L300" s="106" t="n"/>
      <c r="M300" s="106" t="n"/>
      <c r="N300" s="106" t="n"/>
      <c r="O300" s="106" t="n"/>
      <c r="P300" s="105" t="n"/>
      <c r="Q300" s="107" t="n"/>
      <c r="R300" s="105" t="n"/>
      <c r="S300" s="107" t="n"/>
      <c r="T300" s="108">
        <f>IFERROR(L300+M300+N300+O300,0)</f>
        <v/>
      </c>
      <c r="U300" s="108">
        <f>IFERROR(H300+IFERROR(I300,0)+T300+IFERROR(AH300,0),0)</f>
        <v/>
      </c>
      <c r="V300" s="256" t="n"/>
      <c r="W300" s="257" t="n"/>
      <c r="X300" s="256" t="n"/>
      <c r="Y300" s="258" t="n"/>
      <c r="Z300" s="259" t="n"/>
      <c r="AA300" s="259" t="n"/>
      <c r="AB300" s="258" t="n"/>
      <c r="AC300" s="256" t="n"/>
      <c r="AD300" s="256" t="n"/>
      <c r="AE300" s="256" t="n"/>
      <c r="AF300" s="256" t="n"/>
      <c r="AG300" s="256" t="n"/>
      <c r="AH300" s="256">
        <f>IFERROR(IFERROR(V300,0)+IFERROR(AC300,0)+IFERROR(AD300,0)+IFERROR(AE300,0)+IFERROR(AF300,0)+IFERROR(AG300,0),0)</f>
        <v/>
      </c>
    </row>
    <row r="301" ht="15" customHeight="1" s="199">
      <c r="A301" s="104" t="n"/>
      <c r="B301" s="104" t="n"/>
      <c r="C301" s="104" t="n"/>
      <c r="D301" s="105" t="n"/>
      <c r="E301" s="105" t="n"/>
      <c r="F301" s="105" t="n"/>
      <c r="G301" s="106" t="n"/>
      <c r="H301" s="106" t="n"/>
      <c r="I301" s="106" t="n"/>
      <c r="J301" s="107" t="n"/>
      <c r="K301" s="105" t="n"/>
      <c r="L301" s="106" t="n"/>
      <c r="M301" s="106" t="n"/>
      <c r="N301" s="106" t="n"/>
      <c r="O301" s="106" t="n"/>
      <c r="P301" s="105" t="n"/>
      <c r="Q301" s="107" t="n"/>
      <c r="R301" s="105" t="n"/>
      <c r="S301" s="107" t="n"/>
      <c r="T301" s="108">
        <f>IFERROR(L301+M301+N301+O301,0)</f>
        <v/>
      </c>
      <c r="U301" s="108">
        <f>IFERROR(H301+IFERROR(I301,0)+T301+IFERROR(AH301,0),0)</f>
        <v/>
      </c>
      <c r="V301" s="256" t="n"/>
      <c r="W301" s="257" t="n"/>
      <c r="X301" s="256" t="n"/>
      <c r="Y301" s="258" t="n"/>
      <c r="Z301" s="259" t="n"/>
      <c r="AA301" s="259" t="n"/>
      <c r="AB301" s="258" t="n"/>
      <c r="AC301" s="256" t="n"/>
      <c r="AD301" s="256" t="n"/>
      <c r="AE301" s="256" t="n"/>
      <c r="AF301" s="256" t="n"/>
      <c r="AG301" s="256" t="n"/>
      <c r="AH301" s="256">
        <f>IFERROR(IFERROR(V301,0)+IFERROR(AC301,0)+IFERROR(AD301,0)+IFERROR(AE301,0)+IFERROR(AF301,0)+IFERROR(AG301,0),0)</f>
        <v/>
      </c>
    </row>
    <row r="302" ht="15" customHeight="1" s="199">
      <c r="A302" s="104" t="n"/>
      <c r="B302" s="104" t="n"/>
      <c r="C302" s="104" t="n"/>
      <c r="D302" s="105" t="n"/>
      <c r="E302" s="105" t="n"/>
      <c r="F302" s="105" t="n"/>
      <c r="G302" s="106" t="n"/>
      <c r="H302" s="106" t="n"/>
      <c r="I302" s="106" t="n"/>
      <c r="J302" s="107" t="n"/>
      <c r="K302" s="105" t="n"/>
      <c r="L302" s="106" t="n"/>
      <c r="M302" s="106" t="n"/>
      <c r="N302" s="106" t="n"/>
      <c r="O302" s="106" t="n"/>
      <c r="P302" s="105" t="n"/>
      <c r="Q302" s="107" t="n"/>
      <c r="R302" s="105" t="n"/>
      <c r="S302" s="107" t="n"/>
      <c r="T302" s="108">
        <f>IFERROR(L302+M302+N302+O302,0)</f>
        <v/>
      </c>
      <c r="U302" s="108">
        <f>IFERROR(H302+IFERROR(I302,0)+T302+IFERROR(AH302,0),0)</f>
        <v/>
      </c>
      <c r="V302" s="256" t="n"/>
      <c r="W302" s="257" t="n"/>
      <c r="X302" s="256" t="n"/>
      <c r="Y302" s="258" t="n"/>
      <c r="Z302" s="259" t="n"/>
      <c r="AA302" s="259" t="n"/>
      <c r="AB302" s="258" t="n"/>
      <c r="AC302" s="256" t="n"/>
      <c r="AD302" s="256" t="n"/>
      <c r="AE302" s="256" t="n"/>
      <c r="AF302" s="256" t="n"/>
      <c r="AG302" s="256" t="n"/>
      <c r="AH302" s="256">
        <f>IFERROR(IFERROR(V302,0)+IFERROR(AC302,0)+IFERROR(AD302,0)+IFERROR(AE302,0)+IFERROR(AF302,0)+IFERROR(AG302,0),0)</f>
        <v/>
      </c>
    </row>
    <row r="303" ht="15" customHeight="1" s="199">
      <c r="A303" s="104" t="n"/>
      <c r="B303" s="104" t="n"/>
      <c r="C303" s="104" t="n"/>
      <c r="D303" s="105" t="n"/>
      <c r="E303" s="105" t="n"/>
      <c r="F303" s="105" t="n"/>
      <c r="G303" s="106" t="n"/>
      <c r="H303" s="106" t="n"/>
      <c r="I303" s="106" t="n"/>
      <c r="J303" s="107" t="n"/>
      <c r="K303" s="105" t="n"/>
      <c r="L303" s="106" t="n"/>
      <c r="M303" s="106" t="n"/>
      <c r="N303" s="106" t="n"/>
      <c r="O303" s="106" t="n"/>
      <c r="P303" s="105" t="n"/>
      <c r="Q303" s="107" t="n"/>
      <c r="R303" s="105" t="n"/>
      <c r="S303" s="107" t="n"/>
      <c r="T303" s="108">
        <f>IFERROR(L303+M303+N303+O303,0)</f>
        <v/>
      </c>
      <c r="U303" s="108">
        <f>IFERROR(H303+IFERROR(I303,0)+T303+IFERROR(AH303,0),0)</f>
        <v/>
      </c>
      <c r="V303" s="256" t="n"/>
      <c r="W303" s="257" t="n"/>
      <c r="X303" s="256" t="n"/>
      <c r="Y303" s="258" t="n"/>
      <c r="Z303" s="259" t="n"/>
      <c r="AA303" s="259" t="n"/>
      <c r="AB303" s="258" t="n"/>
      <c r="AC303" s="256" t="n"/>
      <c r="AD303" s="256" t="n"/>
      <c r="AE303" s="256" t="n"/>
      <c r="AF303" s="256" t="n"/>
      <c r="AG303" s="256" t="n"/>
      <c r="AH303" s="256">
        <f>IFERROR(IFERROR(V303,0)+IFERROR(AC303,0)+IFERROR(AD303,0)+IFERROR(AE303,0)+IFERROR(AF303,0)+IFERROR(AG303,0),0)</f>
        <v/>
      </c>
    </row>
    <row r="304" ht="15" customHeight="1" s="199">
      <c r="A304" s="104" t="n"/>
      <c r="B304" s="104" t="n"/>
      <c r="C304" s="104" t="n"/>
      <c r="D304" s="105" t="n"/>
      <c r="E304" s="105" t="n"/>
      <c r="F304" s="105" t="n"/>
      <c r="G304" s="106" t="n"/>
      <c r="H304" s="106" t="n"/>
      <c r="I304" s="106" t="n"/>
      <c r="J304" s="107" t="n"/>
      <c r="K304" s="105" t="n"/>
      <c r="L304" s="106" t="n"/>
      <c r="M304" s="106" t="n"/>
      <c r="N304" s="106" t="n"/>
      <c r="O304" s="106" t="n"/>
      <c r="P304" s="105" t="n"/>
      <c r="Q304" s="107" t="n"/>
      <c r="R304" s="105" t="n"/>
      <c r="S304" s="107" t="n"/>
      <c r="T304" s="108">
        <f>IFERROR(L304+M304+N304+O304,0)</f>
        <v/>
      </c>
      <c r="U304" s="108">
        <f>IFERROR(H304+IFERROR(I304,0)+T304+IFERROR(AH304,0),0)</f>
        <v/>
      </c>
      <c r="V304" s="256" t="n"/>
      <c r="W304" s="257" t="n"/>
      <c r="X304" s="256" t="n"/>
      <c r="Y304" s="258" t="n"/>
      <c r="Z304" s="259" t="n"/>
      <c r="AA304" s="259" t="n"/>
      <c r="AB304" s="258" t="n"/>
      <c r="AC304" s="256" t="n"/>
      <c r="AD304" s="256" t="n"/>
      <c r="AE304" s="256" t="n"/>
      <c r="AF304" s="256" t="n"/>
      <c r="AG304" s="256" t="n"/>
      <c r="AH304" s="256">
        <f>IFERROR(IFERROR(V304,0)+IFERROR(AC304,0)+IFERROR(AD304,0)+IFERROR(AE304,0)+IFERROR(AF304,0)+IFERROR(AG304,0),0)</f>
        <v/>
      </c>
    </row>
    <row r="305" ht="15" customHeight="1" s="199">
      <c r="A305" s="104" t="n"/>
      <c r="B305" s="104" t="n"/>
      <c r="C305" s="104" t="n"/>
      <c r="D305" s="105" t="n"/>
      <c r="E305" s="105" t="n"/>
      <c r="F305" s="105" t="n"/>
      <c r="G305" s="106" t="n"/>
      <c r="H305" s="106" t="n"/>
      <c r="I305" s="106" t="n"/>
      <c r="J305" s="107" t="n"/>
      <c r="K305" s="105" t="n"/>
      <c r="L305" s="106" t="n"/>
      <c r="M305" s="106" t="n"/>
      <c r="N305" s="106" t="n"/>
      <c r="O305" s="106" t="n"/>
      <c r="P305" s="105" t="n"/>
      <c r="Q305" s="107" t="n"/>
      <c r="R305" s="105" t="n"/>
      <c r="S305" s="107" t="n"/>
      <c r="T305" s="108">
        <f>IFERROR(L305+M305+N305+O305,0)</f>
        <v/>
      </c>
      <c r="U305" s="108">
        <f>IFERROR(H305+IFERROR(I305,0)+T305+IFERROR(AH305,0),0)</f>
        <v/>
      </c>
      <c r="V305" s="256" t="n"/>
      <c r="W305" s="257" t="n"/>
      <c r="X305" s="256" t="n"/>
      <c r="Y305" s="258" t="n"/>
      <c r="Z305" s="259" t="n"/>
      <c r="AA305" s="259" t="n"/>
      <c r="AB305" s="258" t="n"/>
      <c r="AC305" s="256" t="n"/>
      <c r="AD305" s="256" t="n"/>
      <c r="AE305" s="256" t="n"/>
      <c r="AF305" s="256" t="n"/>
      <c r="AG305" s="256" t="n"/>
      <c r="AH305" s="256">
        <f>IFERROR(IFERROR(V305,0)+IFERROR(AC305,0)+IFERROR(AD305,0)+IFERROR(AE305,0)+IFERROR(AF305,0)+IFERROR(AG305,0),0)</f>
        <v/>
      </c>
    </row>
    <row r="306" ht="15" customHeight="1" s="199">
      <c r="A306" s="104" t="n"/>
      <c r="B306" s="104" t="n"/>
      <c r="C306" s="104" t="n"/>
      <c r="D306" s="105" t="n"/>
      <c r="E306" s="105" t="n"/>
      <c r="F306" s="105" t="n"/>
      <c r="G306" s="106" t="n"/>
      <c r="H306" s="106" t="n"/>
      <c r="I306" s="106" t="n"/>
      <c r="J306" s="107" t="n"/>
      <c r="K306" s="105" t="n"/>
      <c r="L306" s="106" t="n"/>
      <c r="M306" s="106" t="n"/>
      <c r="N306" s="106" t="n"/>
      <c r="O306" s="106" t="n"/>
      <c r="P306" s="105" t="n"/>
      <c r="Q306" s="107" t="n"/>
      <c r="R306" s="105" t="n"/>
      <c r="S306" s="107" t="n"/>
      <c r="T306" s="108">
        <f>IFERROR(L306+M306+N306+O306,0)</f>
        <v/>
      </c>
      <c r="U306" s="108">
        <f>IFERROR(H306+IFERROR(I306,0)+T306+IFERROR(AH306,0),0)</f>
        <v/>
      </c>
      <c r="V306" s="256" t="n"/>
      <c r="W306" s="257" t="n"/>
      <c r="X306" s="256" t="n"/>
      <c r="Y306" s="258" t="n"/>
      <c r="Z306" s="259" t="n"/>
      <c r="AA306" s="259" t="n"/>
      <c r="AB306" s="258" t="n"/>
      <c r="AC306" s="256" t="n"/>
      <c r="AD306" s="256" t="n"/>
      <c r="AE306" s="256" t="n"/>
      <c r="AF306" s="256" t="n"/>
      <c r="AG306" s="256" t="n"/>
      <c r="AH306" s="256">
        <f>IFERROR(IFERROR(V306,0)+IFERROR(AC306,0)+IFERROR(AD306,0)+IFERROR(AE306,0)+IFERROR(AF306,0)+IFERROR(AG306,0),0)</f>
        <v/>
      </c>
    </row>
    <row r="307" ht="15" customHeight="1" s="199">
      <c r="A307" s="104" t="n"/>
      <c r="B307" s="104" t="n"/>
      <c r="C307" s="104" t="n"/>
      <c r="D307" s="105" t="n"/>
      <c r="E307" s="105" t="n"/>
      <c r="F307" s="105" t="n"/>
      <c r="G307" s="106" t="n"/>
      <c r="H307" s="106" t="n"/>
      <c r="I307" s="106" t="n"/>
      <c r="J307" s="107" t="n"/>
      <c r="K307" s="105" t="n"/>
      <c r="L307" s="106" t="n"/>
      <c r="M307" s="106" t="n"/>
      <c r="N307" s="106" t="n"/>
      <c r="O307" s="106" t="n"/>
      <c r="P307" s="105" t="n"/>
      <c r="Q307" s="107" t="n"/>
      <c r="R307" s="105" t="n"/>
      <c r="S307" s="107" t="n"/>
      <c r="T307" s="108">
        <f>IFERROR(L307+M307+N307+O307,0)</f>
        <v/>
      </c>
      <c r="U307" s="108">
        <f>IFERROR(H307+IFERROR(I307,0)+T307+IFERROR(AH307,0),0)</f>
        <v/>
      </c>
      <c r="V307" s="256" t="n"/>
      <c r="W307" s="257" t="n"/>
      <c r="X307" s="256" t="n"/>
      <c r="Y307" s="258" t="n"/>
      <c r="Z307" s="259" t="n"/>
      <c r="AA307" s="259" t="n"/>
      <c r="AB307" s="258" t="n"/>
      <c r="AC307" s="256" t="n"/>
      <c r="AD307" s="256" t="n"/>
      <c r="AE307" s="256" t="n"/>
      <c r="AF307" s="256" t="n"/>
      <c r="AG307" s="256" t="n"/>
      <c r="AH307" s="256">
        <f>IFERROR(IFERROR(V307,0)+IFERROR(AC307,0)+IFERROR(AD307,0)+IFERROR(AE307,0)+IFERROR(AF307,0)+IFERROR(AG307,0),0)</f>
        <v/>
      </c>
    </row>
    <row r="308" ht="15" customHeight="1" s="199">
      <c r="A308" s="104" t="n"/>
      <c r="B308" s="104" t="n"/>
      <c r="C308" s="104" t="n"/>
      <c r="D308" s="105" t="n"/>
      <c r="E308" s="105" t="n"/>
      <c r="F308" s="105" t="n"/>
      <c r="G308" s="106" t="n"/>
      <c r="H308" s="106" t="n"/>
      <c r="I308" s="106" t="n"/>
      <c r="J308" s="107" t="n"/>
      <c r="K308" s="105" t="n"/>
      <c r="L308" s="106" t="n"/>
      <c r="M308" s="106" t="n"/>
      <c r="N308" s="106" t="n"/>
      <c r="O308" s="106" t="n"/>
      <c r="P308" s="105" t="n"/>
      <c r="Q308" s="107" t="n"/>
      <c r="R308" s="105" t="n"/>
      <c r="S308" s="107" t="n"/>
      <c r="T308" s="108">
        <f>IFERROR(L308+M308+N308+O308,0)</f>
        <v/>
      </c>
      <c r="U308" s="108">
        <f>IFERROR(H308+IFERROR(I308,0)+T308+IFERROR(AH308,0),0)</f>
        <v/>
      </c>
      <c r="V308" s="256" t="n"/>
      <c r="W308" s="257" t="n"/>
      <c r="X308" s="256" t="n"/>
      <c r="Y308" s="258" t="n"/>
      <c r="Z308" s="259" t="n"/>
      <c r="AA308" s="259" t="n"/>
      <c r="AB308" s="258" t="n"/>
      <c r="AC308" s="256" t="n"/>
      <c r="AD308" s="256" t="n"/>
      <c r="AE308" s="256" t="n"/>
      <c r="AF308" s="256" t="n"/>
      <c r="AG308" s="256" t="n"/>
      <c r="AH308" s="256">
        <f>IFERROR(IFERROR(V308,0)+IFERROR(AC308,0)+IFERROR(AD308,0)+IFERROR(AE308,0)+IFERROR(AF308,0)+IFERROR(AG308,0),0)</f>
        <v/>
      </c>
    </row>
    <row r="309" ht="15" customHeight="1" s="199">
      <c r="A309" s="104" t="n"/>
      <c r="B309" s="104" t="n"/>
      <c r="C309" s="104" t="n"/>
      <c r="D309" s="105" t="n"/>
      <c r="E309" s="105" t="n"/>
      <c r="F309" s="105" t="n"/>
      <c r="G309" s="106" t="n"/>
      <c r="H309" s="106" t="n"/>
      <c r="I309" s="106" t="n"/>
      <c r="J309" s="107" t="n"/>
      <c r="K309" s="105" t="n"/>
      <c r="L309" s="106" t="n"/>
      <c r="M309" s="106" t="n"/>
      <c r="N309" s="106" t="n"/>
      <c r="O309" s="106" t="n"/>
      <c r="P309" s="105" t="n"/>
      <c r="Q309" s="107" t="n"/>
      <c r="R309" s="105" t="n"/>
      <c r="S309" s="107" t="n"/>
      <c r="T309" s="108">
        <f>IFERROR(L309+M309+N309+O309,0)</f>
        <v/>
      </c>
      <c r="U309" s="108">
        <f>IFERROR(H309+IFERROR(I309,0)+T309+IFERROR(AH309,0),0)</f>
        <v/>
      </c>
      <c r="V309" s="256" t="n"/>
      <c r="W309" s="257" t="n"/>
      <c r="X309" s="256" t="n"/>
      <c r="Y309" s="258" t="n"/>
      <c r="Z309" s="259" t="n"/>
      <c r="AA309" s="259" t="n"/>
      <c r="AB309" s="258" t="n"/>
      <c r="AC309" s="256" t="n"/>
      <c r="AD309" s="256" t="n"/>
      <c r="AE309" s="256" t="n"/>
      <c r="AF309" s="256" t="n"/>
      <c r="AG309" s="256" t="n"/>
      <c r="AH309" s="256">
        <f>IFERROR(IFERROR(V309,0)+IFERROR(AC309,0)+IFERROR(AD309,0)+IFERROR(AE309,0)+IFERROR(AF309,0)+IFERROR(AG309,0),0)</f>
        <v/>
      </c>
    </row>
    <row r="310" ht="15" customHeight="1" s="199">
      <c r="A310" s="104" t="n"/>
      <c r="B310" s="104" t="n"/>
      <c r="C310" s="104" t="n"/>
      <c r="D310" s="105" t="n"/>
      <c r="E310" s="105" t="n"/>
      <c r="F310" s="105" t="n"/>
      <c r="G310" s="106" t="n"/>
      <c r="H310" s="106" t="n"/>
      <c r="I310" s="106" t="n"/>
      <c r="J310" s="107" t="n"/>
      <c r="K310" s="105" t="n"/>
      <c r="L310" s="106" t="n"/>
      <c r="M310" s="106" t="n"/>
      <c r="N310" s="106" t="n"/>
      <c r="O310" s="106" t="n"/>
      <c r="P310" s="105" t="n"/>
      <c r="Q310" s="107" t="n"/>
      <c r="R310" s="105" t="n"/>
      <c r="S310" s="107" t="n"/>
      <c r="T310" s="108">
        <f>IFERROR(L310+M310+N310+O310,0)</f>
        <v/>
      </c>
      <c r="U310" s="108">
        <f>IFERROR(H310+IFERROR(I310,0)+T310+IFERROR(AH310,0),0)</f>
        <v/>
      </c>
      <c r="V310" s="256" t="n"/>
      <c r="W310" s="257" t="n"/>
      <c r="X310" s="256" t="n"/>
      <c r="Y310" s="258" t="n"/>
      <c r="Z310" s="259" t="n"/>
      <c r="AA310" s="259" t="n"/>
      <c r="AB310" s="258" t="n"/>
      <c r="AC310" s="256" t="n"/>
      <c r="AD310" s="256" t="n"/>
      <c r="AE310" s="256" t="n"/>
      <c r="AF310" s="256" t="n"/>
      <c r="AG310" s="256" t="n"/>
      <c r="AH310" s="256">
        <f>IFERROR(IFERROR(V310,0)+IFERROR(AC310,0)+IFERROR(AD310,0)+IFERROR(AE310,0)+IFERROR(AF310,0)+IFERROR(AG310,0),0)</f>
        <v/>
      </c>
    </row>
    <row r="311" ht="15" customHeight="1" s="199">
      <c r="A311" s="104" t="n"/>
      <c r="B311" s="104" t="n"/>
      <c r="C311" s="104" t="n"/>
      <c r="D311" s="105" t="n"/>
      <c r="E311" s="105" t="n"/>
      <c r="F311" s="105" t="n"/>
      <c r="G311" s="106" t="n"/>
      <c r="H311" s="106" t="n"/>
      <c r="I311" s="106" t="n"/>
      <c r="J311" s="107" t="n"/>
      <c r="K311" s="105" t="n"/>
      <c r="L311" s="106" t="n"/>
      <c r="M311" s="106" t="n"/>
      <c r="N311" s="106" t="n"/>
      <c r="O311" s="106" t="n"/>
      <c r="P311" s="105" t="n"/>
      <c r="Q311" s="107" t="n"/>
      <c r="R311" s="105" t="n"/>
      <c r="S311" s="107" t="n"/>
      <c r="T311" s="108">
        <f>IFERROR(L311+M311+N311+O311,0)</f>
        <v/>
      </c>
      <c r="U311" s="108">
        <f>IFERROR(H311+IFERROR(I311,0)+T311+IFERROR(AH311,0),0)</f>
        <v/>
      </c>
      <c r="V311" s="256" t="n"/>
      <c r="W311" s="257" t="n"/>
      <c r="X311" s="256" t="n"/>
      <c r="Y311" s="258" t="n"/>
      <c r="Z311" s="259" t="n"/>
      <c r="AA311" s="259" t="n"/>
      <c r="AB311" s="258" t="n"/>
      <c r="AC311" s="256" t="n"/>
      <c r="AD311" s="256" t="n"/>
      <c r="AE311" s="256" t="n"/>
      <c r="AF311" s="256" t="n"/>
      <c r="AG311" s="256" t="n"/>
      <c r="AH311" s="256">
        <f>IFERROR(IFERROR(V311,0)+IFERROR(AC311,0)+IFERROR(AD311,0)+IFERROR(AE311,0)+IFERROR(AF311,0)+IFERROR(AG311,0),0)</f>
        <v/>
      </c>
    </row>
    <row r="312" ht="15" customHeight="1" s="199">
      <c r="A312" s="104" t="n"/>
      <c r="B312" s="104" t="n"/>
      <c r="C312" s="104" t="n"/>
      <c r="D312" s="105" t="n"/>
      <c r="E312" s="105" t="n"/>
      <c r="F312" s="105" t="n"/>
      <c r="G312" s="106" t="n"/>
      <c r="H312" s="106" t="n"/>
      <c r="I312" s="106" t="n"/>
      <c r="J312" s="107" t="n"/>
      <c r="K312" s="105" t="n"/>
      <c r="L312" s="106" t="n"/>
      <c r="M312" s="106" t="n"/>
      <c r="N312" s="106" t="n"/>
      <c r="O312" s="106" t="n"/>
      <c r="P312" s="105" t="n"/>
      <c r="Q312" s="107" t="n"/>
      <c r="R312" s="105" t="n"/>
      <c r="S312" s="107" t="n"/>
      <c r="T312" s="108">
        <f>IFERROR(L312+M312+N312+O312,0)</f>
        <v/>
      </c>
      <c r="U312" s="108">
        <f>IFERROR(H312+IFERROR(I312,0)+T312+IFERROR(AH312,0),0)</f>
        <v/>
      </c>
      <c r="V312" s="256" t="n"/>
      <c r="W312" s="257" t="n"/>
      <c r="X312" s="256" t="n"/>
      <c r="Y312" s="258" t="n"/>
      <c r="Z312" s="259" t="n"/>
      <c r="AA312" s="259" t="n"/>
      <c r="AB312" s="258" t="n"/>
      <c r="AC312" s="256" t="n"/>
      <c r="AD312" s="256" t="n"/>
      <c r="AE312" s="256" t="n"/>
      <c r="AF312" s="256" t="n"/>
      <c r="AG312" s="256" t="n"/>
      <c r="AH312" s="256">
        <f>IFERROR(IFERROR(V312,0)+IFERROR(AC312,0)+IFERROR(AD312,0)+IFERROR(AE312,0)+IFERROR(AF312,0)+IFERROR(AG312,0),0)</f>
        <v/>
      </c>
    </row>
    <row r="313" ht="15" customHeight="1" s="199">
      <c r="A313" s="104" t="n"/>
      <c r="B313" s="104" t="n"/>
      <c r="C313" s="104" t="n"/>
      <c r="D313" s="105" t="n"/>
      <c r="E313" s="105" t="n"/>
      <c r="F313" s="105" t="n"/>
      <c r="G313" s="106" t="n"/>
      <c r="H313" s="106" t="n"/>
      <c r="I313" s="106" t="n"/>
      <c r="J313" s="107" t="n"/>
      <c r="K313" s="105" t="n"/>
      <c r="L313" s="106" t="n"/>
      <c r="M313" s="106" t="n"/>
      <c r="N313" s="106" t="n"/>
      <c r="O313" s="106" t="n"/>
      <c r="P313" s="105" t="n"/>
      <c r="Q313" s="107" t="n"/>
      <c r="R313" s="105" t="n"/>
      <c r="S313" s="107" t="n"/>
      <c r="T313" s="108">
        <f>IFERROR(L313+M313+N313+O313,0)</f>
        <v/>
      </c>
      <c r="U313" s="108">
        <f>IFERROR(H313+IFERROR(I313,0)+T313+IFERROR(AH313,0),0)</f>
        <v/>
      </c>
      <c r="V313" s="256" t="n"/>
      <c r="W313" s="257" t="n"/>
      <c r="X313" s="256" t="n"/>
      <c r="Y313" s="258" t="n"/>
      <c r="Z313" s="259" t="n"/>
      <c r="AA313" s="259" t="n"/>
      <c r="AB313" s="258" t="n"/>
      <c r="AC313" s="256" t="n"/>
      <c r="AD313" s="256" t="n"/>
      <c r="AE313" s="256" t="n"/>
      <c r="AF313" s="256" t="n"/>
      <c r="AG313" s="256" t="n"/>
      <c r="AH313" s="256">
        <f>IFERROR(IFERROR(V313,0)+IFERROR(AC313,0)+IFERROR(AD313,0)+IFERROR(AE313,0)+IFERROR(AF313,0)+IFERROR(AG313,0),0)</f>
        <v/>
      </c>
    </row>
    <row r="314" ht="15" customHeight="1" s="199">
      <c r="A314" s="104" t="n"/>
      <c r="B314" s="104" t="n"/>
      <c r="C314" s="104" t="n"/>
      <c r="D314" s="105" t="n"/>
      <c r="E314" s="105" t="n"/>
      <c r="F314" s="105" t="n"/>
      <c r="G314" s="106" t="n"/>
      <c r="H314" s="106" t="n"/>
      <c r="I314" s="106" t="n"/>
      <c r="J314" s="107" t="n"/>
      <c r="K314" s="105" t="n"/>
      <c r="L314" s="106" t="n"/>
      <c r="M314" s="106" t="n"/>
      <c r="N314" s="106" t="n"/>
      <c r="O314" s="106" t="n"/>
      <c r="P314" s="105" t="n"/>
      <c r="Q314" s="107" t="n"/>
      <c r="R314" s="105" t="n"/>
      <c r="S314" s="107" t="n"/>
      <c r="T314" s="108">
        <f>IFERROR(L314+M314+N314+O314,0)</f>
        <v/>
      </c>
      <c r="U314" s="108">
        <f>IFERROR(H314+IFERROR(I314,0)+T314+IFERROR(AH314,0),0)</f>
        <v/>
      </c>
      <c r="V314" s="256" t="n"/>
      <c r="W314" s="257" t="n"/>
      <c r="X314" s="256" t="n"/>
      <c r="Y314" s="258" t="n"/>
      <c r="Z314" s="259" t="n"/>
      <c r="AA314" s="259" t="n"/>
      <c r="AB314" s="258" t="n"/>
      <c r="AC314" s="256" t="n"/>
      <c r="AD314" s="256" t="n"/>
      <c r="AE314" s="256" t="n"/>
      <c r="AF314" s="256" t="n"/>
      <c r="AG314" s="256" t="n"/>
      <c r="AH314" s="256">
        <f>IFERROR(IFERROR(V314,0)+IFERROR(AC314,0)+IFERROR(AD314,0)+IFERROR(AE314,0)+IFERROR(AF314,0)+IFERROR(AG314,0),0)</f>
        <v/>
      </c>
    </row>
    <row r="315" ht="15" customHeight="1" s="199">
      <c r="A315" s="104" t="n"/>
      <c r="B315" s="104" t="n"/>
      <c r="C315" s="104" t="n"/>
      <c r="D315" s="105" t="n"/>
      <c r="E315" s="105" t="n"/>
      <c r="F315" s="105" t="n"/>
      <c r="G315" s="106" t="n"/>
      <c r="H315" s="106" t="n"/>
      <c r="I315" s="106" t="n"/>
      <c r="J315" s="107" t="n"/>
      <c r="K315" s="105" t="n"/>
      <c r="L315" s="106" t="n"/>
      <c r="M315" s="106" t="n"/>
      <c r="N315" s="106" t="n"/>
      <c r="O315" s="106" t="n"/>
      <c r="P315" s="105" t="n"/>
      <c r="Q315" s="107" t="n"/>
      <c r="R315" s="105" t="n"/>
      <c r="S315" s="107" t="n"/>
      <c r="T315" s="108">
        <f>IFERROR(L315+M315+N315+O315,0)</f>
        <v/>
      </c>
      <c r="U315" s="108">
        <f>IFERROR(H315+IFERROR(I315,0)+T315+IFERROR(AH315,0),0)</f>
        <v/>
      </c>
      <c r="V315" s="256" t="n"/>
      <c r="W315" s="257" t="n"/>
      <c r="X315" s="256" t="n"/>
      <c r="Y315" s="258" t="n"/>
      <c r="Z315" s="259" t="n"/>
      <c r="AA315" s="259" t="n"/>
      <c r="AB315" s="258" t="n"/>
      <c r="AC315" s="256" t="n"/>
      <c r="AD315" s="256" t="n"/>
      <c r="AE315" s="256" t="n"/>
      <c r="AF315" s="256" t="n"/>
      <c r="AG315" s="256" t="n"/>
      <c r="AH315" s="256">
        <f>IFERROR(IFERROR(V315,0)+IFERROR(AC315,0)+IFERROR(AD315,0)+IFERROR(AE315,0)+IFERROR(AF315,0)+IFERROR(AG315,0),0)</f>
        <v/>
      </c>
    </row>
    <row r="316" ht="15" customHeight="1" s="199">
      <c r="A316" s="104" t="n"/>
      <c r="B316" s="104" t="n"/>
      <c r="C316" s="104" t="n"/>
      <c r="D316" s="105" t="n"/>
      <c r="E316" s="105" t="n"/>
      <c r="F316" s="105" t="n"/>
      <c r="G316" s="106" t="n"/>
      <c r="H316" s="106" t="n"/>
      <c r="I316" s="106" t="n"/>
      <c r="J316" s="107" t="n"/>
      <c r="K316" s="105" t="n"/>
      <c r="L316" s="106" t="n"/>
      <c r="M316" s="106" t="n"/>
      <c r="N316" s="106" t="n"/>
      <c r="O316" s="106" t="n"/>
      <c r="P316" s="105" t="n"/>
      <c r="Q316" s="107" t="n"/>
      <c r="R316" s="105" t="n"/>
      <c r="S316" s="107" t="n"/>
      <c r="T316" s="108">
        <f>IFERROR(L316+M316+N316+O316,0)</f>
        <v/>
      </c>
      <c r="U316" s="108">
        <f>IFERROR(H316+IFERROR(I316,0)+T316+IFERROR(AH316,0),0)</f>
        <v/>
      </c>
      <c r="V316" s="256" t="n"/>
      <c r="W316" s="257" t="n"/>
      <c r="X316" s="256" t="n"/>
      <c r="Y316" s="258" t="n"/>
      <c r="Z316" s="259" t="n"/>
      <c r="AA316" s="259" t="n"/>
      <c r="AB316" s="258" t="n"/>
      <c r="AC316" s="256" t="n"/>
      <c r="AD316" s="256" t="n"/>
      <c r="AE316" s="256" t="n"/>
      <c r="AF316" s="256" t="n"/>
      <c r="AG316" s="256" t="n"/>
      <c r="AH316" s="256">
        <f>IFERROR(IFERROR(V316,0)+IFERROR(AC316,0)+IFERROR(AD316,0)+IFERROR(AE316,0)+IFERROR(AF316,0)+IFERROR(AG316,0),0)</f>
        <v/>
      </c>
    </row>
    <row r="317" ht="15" customHeight="1" s="199">
      <c r="A317" s="104" t="n"/>
      <c r="B317" s="104" t="n"/>
      <c r="C317" s="104" t="n"/>
      <c r="D317" s="105" t="n"/>
      <c r="E317" s="105" t="n"/>
      <c r="F317" s="105" t="n"/>
      <c r="G317" s="106" t="n"/>
      <c r="H317" s="106" t="n"/>
      <c r="I317" s="106" t="n"/>
      <c r="J317" s="107" t="n"/>
      <c r="K317" s="105" t="n"/>
      <c r="L317" s="106" t="n"/>
      <c r="M317" s="106" t="n"/>
      <c r="N317" s="106" t="n"/>
      <c r="O317" s="106" t="n"/>
      <c r="P317" s="105" t="n"/>
      <c r="Q317" s="107" t="n"/>
      <c r="R317" s="105" t="n"/>
      <c r="S317" s="107" t="n"/>
      <c r="T317" s="108">
        <f>IFERROR(L317+M317+N317+O317,0)</f>
        <v/>
      </c>
      <c r="U317" s="108">
        <f>IFERROR(H317+IFERROR(I317,0)+T317+IFERROR(AH317,0),0)</f>
        <v/>
      </c>
      <c r="V317" s="256" t="n"/>
      <c r="W317" s="257" t="n"/>
      <c r="X317" s="256" t="n"/>
      <c r="Y317" s="258" t="n"/>
      <c r="Z317" s="259" t="n"/>
      <c r="AA317" s="259" t="n"/>
      <c r="AB317" s="258" t="n"/>
      <c r="AC317" s="256" t="n"/>
      <c r="AD317" s="256" t="n"/>
      <c r="AE317" s="256" t="n"/>
      <c r="AF317" s="256" t="n"/>
      <c r="AG317" s="256" t="n"/>
      <c r="AH317" s="256">
        <f>IFERROR(IFERROR(V317,0)+IFERROR(AC317,0)+IFERROR(AD317,0)+IFERROR(AE317,0)+IFERROR(AF317,0)+IFERROR(AG317,0),0)</f>
        <v/>
      </c>
    </row>
    <row r="318" ht="15" customHeight="1" s="199">
      <c r="A318" s="104" t="n"/>
      <c r="B318" s="104" t="n"/>
      <c r="C318" s="104" t="n"/>
      <c r="D318" s="105" t="n"/>
      <c r="E318" s="105" t="n"/>
      <c r="F318" s="105" t="n"/>
      <c r="G318" s="106" t="n"/>
      <c r="H318" s="106" t="n"/>
      <c r="I318" s="106" t="n"/>
      <c r="J318" s="107" t="n"/>
      <c r="K318" s="105" t="n"/>
      <c r="L318" s="106" t="n"/>
      <c r="M318" s="106" t="n"/>
      <c r="N318" s="106" t="n"/>
      <c r="O318" s="106" t="n"/>
      <c r="P318" s="105" t="n"/>
      <c r="Q318" s="107" t="n"/>
      <c r="R318" s="105" t="n"/>
      <c r="S318" s="107" t="n"/>
      <c r="T318" s="108">
        <f>IFERROR(L318+M318+N318+O318,0)</f>
        <v/>
      </c>
      <c r="U318" s="108">
        <f>IFERROR(H318+IFERROR(I318,0)+T318+IFERROR(AH318,0),0)</f>
        <v/>
      </c>
      <c r="V318" s="256" t="n"/>
      <c r="W318" s="257" t="n"/>
      <c r="X318" s="256" t="n"/>
      <c r="Y318" s="258" t="n"/>
      <c r="Z318" s="259" t="n"/>
      <c r="AA318" s="259" t="n"/>
      <c r="AB318" s="258" t="n"/>
      <c r="AC318" s="256" t="n"/>
      <c r="AD318" s="256" t="n"/>
      <c r="AE318" s="256" t="n"/>
      <c r="AF318" s="256" t="n"/>
      <c r="AG318" s="256" t="n"/>
      <c r="AH318" s="256">
        <f>IFERROR(IFERROR(V318,0)+IFERROR(AC318,0)+IFERROR(AD318,0)+IFERROR(AE318,0)+IFERROR(AF318,0)+IFERROR(AG318,0),0)</f>
        <v/>
      </c>
    </row>
    <row r="319" ht="15" customHeight="1" s="199">
      <c r="A319" s="104" t="n"/>
      <c r="B319" s="104" t="n"/>
      <c r="C319" s="104" t="n"/>
      <c r="D319" s="105" t="n"/>
      <c r="E319" s="105" t="n"/>
      <c r="F319" s="105" t="n"/>
      <c r="G319" s="106" t="n"/>
      <c r="H319" s="106" t="n"/>
      <c r="I319" s="106" t="n"/>
      <c r="J319" s="107" t="n"/>
      <c r="K319" s="105" t="n"/>
      <c r="L319" s="106" t="n"/>
      <c r="M319" s="106" t="n"/>
      <c r="N319" s="106" t="n"/>
      <c r="O319" s="106" t="n"/>
      <c r="P319" s="105" t="n"/>
      <c r="Q319" s="107" t="n"/>
      <c r="R319" s="105" t="n"/>
      <c r="S319" s="107" t="n"/>
      <c r="T319" s="108">
        <f>IFERROR(L319+M319+N319+O319,0)</f>
        <v/>
      </c>
      <c r="U319" s="108">
        <f>IFERROR(H319+IFERROR(I319,0)+T319+IFERROR(AH319,0),0)</f>
        <v/>
      </c>
      <c r="V319" s="256" t="n"/>
      <c r="W319" s="257" t="n"/>
      <c r="X319" s="256" t="n"/>
      <c r="Y319" s="258" t="n"/>
      <c r="Z319" s="259" t="n"/>
      <c r="AA319" s="259" t="n"/>
      <c r="AB319" s="258" t="n"/>
      <c r="AC319" s="256" t="n"/>
      <c r="AD319" s="256" t="n"/>
      <c r="AE319" s="256" t="n"/>
      <c r="AF319" s="256" t="n"/>
      <c r="AG319" s="256" t="n"/>
      <c r="AH319" s="256">
        <f>IFERROR(IFERROR(V319,0)+IFERROR(AC319,0)+IFERROR(AD319,0)+IFERROR(AE319,0)+IFERROR(AF319,0)+IFERROR(AG319,0),0)</f>
        <v/>
      </c>
    </row>
    <row r="320" ht="15" customHeight="1" s="199">
      <c r="A320" s="104" t="n"/>
      <c r="B320" s="104" t="n"/>
      <c r="C320" s="104" t="n"/>
      <c r="D320" s="105" t="n"/>
      <c r="E320" s="105" t="n"/>
      <c r="F320" s="105" t="n"/>
      <c r="G320" s="106" t="n"/>
      <c r="H320" s="106" t="n"/>
      <c r="I320" s="106" t="n"/>
      <c r="J320" s="107" t="n"/>
      <c r="K320" s="105" t="n"/>
      <c r="L320" s="106" t="n"/>
      <c r="M320" s="106" t="n"/>
      <c r="N320" s="106" t="n"/>
      <c r="O320" s="106" t="n"/>
      <c r="P320" s="105" t="n"/>
      <c r="Q320" s="107" t="n"/>
      <c r="R320" s="105" t="n"/>
      <c r="S320" s="107" t="n"/>
      <c r="T320" s="108">
        <f>IFERROR(L320+M320+N320+O320,0)</f>
        <v/>
      </c>
      <c r="U320" s="108">
        <f>IFERROR(H320+IFERROR(I320,0)+T320+IFERROR(AH320,0),0)</f>
        <v/>
      </c>
      <c r="V320" s="256" t="n"/>
      <c r="W320" s="257" t="n"/>
      <c r="X320" s="256" t="n"/>
      <c r="Y320" s="258" t="n"/>
      <c r="Z320" s="259" t="n"/>
      <c r="AA320" s="259" t="n"/>
      <c r="AB320" s="258" t="n"/>
      <c r="AC320" s="256" t="n"/>
      <c r="AD320" s="256" t="n"/>
      <c r="AE320" s="256" t="n"/>
      <c r="AF320" s="256" t="n"/>
      <c r="AG320" s="256" t="n"/>
      <c r="AH320" s="256">
        <f>IFERROR(IFERROR(V320,0)+IFERROR(AC320,0)+IFERROR(AD320,0)+IFERROR(AE320,0)+IFERROR(AF320,0)+IFERROR(AG320,0),0)</f>
        <v/>
      </c>
    </row>
    <row r="321" ht="15" customHeight="1" s="199">
      <c r="A321" s="104" t="n"/>
      <c r="B321" s="104" t="n"/>
      <c r="C321" s="104" t="n"/>
      <c r="D321" s="105" t="n"/>
      <c r="E321" s="105" t="n"/>
      <c r="F321" s="105" t="n"/>
      <c r="G321" s="106" t="n"/>
      <c r="H321" s="106" t="n"/>
      <c r="I321" s="106" t="n"/>
      <c r="J321" s="107" t="n"/>
      <c r="K321" s="105" t="n"/>
      <c r="L321" s="106" t="n"/>
      <c r="M321" s="106" t="n"/>
      <c r="N321" s="106" t="n"/>
      <c r="O321" s="106" t="n"/>
      <c r="P321" s="105" t="n"/>
      <c r="Q321" s="107" t="n"/>
      <c r="R321" s="105" t="n"/>
      <c r="S321" s="107" t="n"/>
      <c r="T321" s="108">
        <f>IFERROR(L321+M321+N321+O321,0)</f>
        <v/>
      </c>
      <c r="U321" s="108">
        <f>IFERROR(H321+IFERROR(I321,0)+T321+IFERROR(AH321,0),0)</f>
        <v/>
      </c>
      <c r="V321" s="256" t="n"/>
      <c r="W321" s="257" t="n"/>
      <c r="X321" s="256" t="n"/>
      <c r="Y321" s="258" t="n"/>
      <c r="Z321" s="259" t="n"/>
      <c r="AA321" s="259" t="n"/>
      <c r="AB321" s="258" t="n"/>
      <c r="AC321" s="256" t="n"/>
      <c r="AD321" s="256" t="n"/>
      <c r="AE321" s="256" t="n"/>
      <c r="AF321" s="256" t="n"/>
      <c r="AG321" s="256" t="n"/>
      <c r="AH321" s="256">
        <f>IFERROR(IFERROR(V321,0)+IFERROR(AC321,0)+IFERROR(AD321,0)+IFERROR(AE321,0)+IFERROR(AF321,0)+IFERROR(AG321,0),0)</f>
        <v/>
      </c>
    </row>
    <row r="322" ht="15" customHeight="1" s="199">
      <c r="A322" s="104" t="n"/>
      <c r="B322" s="104" t="n"/>
      <c r="C322" s="104" t="n"/>
      <c r="D322" s="105" t="n"/>
      <c r="E322" s="105" t="n"/>
      <c r="F322" s="105" t="n"/>
      <c r="G322" s="106" t="n"/>
      <c r="H322" s="106" t="n"/>
      <c r="I322" s="106" t="n"/>
      <c r="J322" s="107" t="n"/>
      <c r="K322" s="105" t="n"/>
      <c r="L322" s="106" t="n"/>
      <c r="M322" s="106" t="n"/>
      <c r="N322" s="106" t="n"/>
      <c r="O322" s="106" t="n"/>
      <c r="P322" s="105" t="n"/>
      <c r="Q322" s="107" t="n"/>
      <c r="R322" s="105" t="n"/>
      <c r="S322" s="107" t="n"/>
      <c r="T322" s="108">
        <f>IFERROR(L322+M322+N322+O322,0)</f>
        <v/>
      </c>
      <c r="U322" s="108">
        <f>IFERROR(H322+IFERROR(I322,0)+T322+IFERROR(AH322,0),0)</f>
        <v/>
      </c>
      <c r="V322" s="256" t="n"/>
      <c r="W322" s="257" t="n"/>
      <c r="X322" s="256" t="n"/>
      <c r="Y322" s="258" t="n"/>
      <c r="Z322" s="259" t="n"/>
      <c r="AA322" s="259" t="n"/>
      <c r="AB322" s="258" t="n"/>
      <c r="AC322" s="256" t="n"/>
      <c r="AD322" s="256" t="n"/>
      <c r="AE322" s="256" t="n"/>
      <c r="AF322" s="256" t="n"/>
      <c r="AG322" s="256" t="n"/>
      <c r="AH322" s="256">
        <f>IFERROR(IFERROR(V322,0)+IFERROR(AC322,0)+IFERROR(AD322,0)+IFERROR(AE322,0)+IFERROR(AF322,0)+IFERROR(AG322,0),0)</f>
        <v/>
      </c>
    </row>
    <row r="323" ht="15" customHeight="1" s="199">
      <c r="A323" s="104" t="n"/>
      <c r="B323" s="104" t="n"/>
      <c r="C323" s="104" t="n"/>
      <c r="D323" s="105" t="n"/>
      <c r="E323" s="105" t="n"/>
      <c r="F323" s="105" t="n"/>
      <c r="G323" s="106" t="n"/>
      <c r="H323" s="106" t="n"/>
      <c r="I323" s="106" t="n"/>
      <c r="J323" s="107" t="n"/>
      <c r="K323" s="105" t="n"/>
      <c r="L323" s="106" t="n"/>
      <c r="M323" s="106" t="n"/>
      <c r="N323" s="106" t="n"/>
      <c r="O323" s="106" t="n"/>
      <c r="P323" s="105" t="n"/>
      <c r="Q323" s="107" t="n"/>
      <c r="R323" s="105" t="n"/>
      <c r="S323" s="107" t="n"/>
      <c r="T323" s="108">
        <f>IFERROR(L323+M323+N323+O323,0)</f>
        <v/>
      </c>
      <c r="U323" s="108">
        <f>IFERROR(H323+IFERROR(I323,0)+T323+IFERROR(AH323,0),0)</f>
        <v/>
      </c>
      <c r="V323" s="256" t="n"/>
      <c r="W323" s="257" t="n"/>
      <c r="X323" s="256" t="n"/>
      <c r="Y323" s="258" t="n"/>
      <c r="Z323" s="259" t="n"/>
      <c r="AA323" s="259" t="n"/>
      <c r="AB323" s="258" t="n"/>
      <c r="AC323" s="256" t="n"/>
      <c r="AD323" s="256" t="n"/>
      <c r="AE323" s="256" t="n"/>
      <c r="AF323" s="256" t="n"/>
      <c r="AG323" s="256" t="n"/>
      <c r="AH323" s="256">
        <f>IFERROR(IFERROR(V323,0)+IFERROR(AC323,0)+IFERROR(AD323,0)+IFERROR(AE323,0)+IFERROR(AF323,0)+IFERROR(AG323,0),0)</f>
        <v/>
      </c>
    </row>
    <row r="324" ht="15" customHeight="1" s="199">
      <c r="A324" s="104" t="n"/>
      <c r="B324" s="104" t="n"/>
      <c r="C324" s="104" t="n"/>
      <c r="D324" s="105" t="n"/>
      <c r="E324" s="105" t="n"/>
      <c r="F324" s="105" t="n"/>
      <c r="G324" s="106" t="n"/>
      <c r="H324" s="106" t="n"/>
      <c r="I324" s="106" t="n"/>
      <c r="J324" s="107" t="n"/>
      <c r="K324" s="105" t="n"/>
      <c r="L324" s="106" t="n"/>
      <c r="M324" s="106" t="n"/>
      <c r="N324" s="106" t="n"/>
      <c r="O324" s="106" t="n"/>
      <c r="P324" s="105" t="n"/>
      <c r="Q324" s="107" t="n"/>
      <c r="R324" s="105" t="n"/>
      <c r="S324" s="107" t="n"/>
      <c r="T324" s="108">
        <f>IFERROR(L324+M324+N324+O324,0)</f>
        <v/>
      </c>
      <c r="U324" s="108">
        <f>IFERROR(H324+IFERROR(I324,0)+T324+IFERROR(AH324,0),0)</f>
        <v/>
      </c>
      <c r="V324" s="256" t="n"/>
      <c r="W324" s="257" t="n"/>
      <c r="X324" s="256" t="n"/>
      <c r="Y324" s="258" t="n"/>
      <c r="Z324" s="259" t="n"/>
      <c r="AA324" s="259" t="n"/>
      <c r="AB324" s="258" t="n"/>
      <c r="AC324" s="256" t="n"/>
      <c r="AD324" s="256" t="n"/>
      <c r="AE324" s="256" t="n"/>
      <c r="AF324" s="256" t="n"/>
      <c r="AG324" s="256" t="n"/>
      <c r="AH324" s="256">
        <f>IFERROR(IFERROR(V324,0)+IFERROR(AC324,0)+IFERROR(AD324,0)+IFERROR(AE324,0)+IFERROR(AF324,0)+IFERROR(AG324,0),0)</f>
        <v/>
      </c>
    </row>
    <row r="325" ht="15" customHeight="1" s="199">
      <c r="A325" s="104" t="n"/>
      <c r="B325" s="104" t="n"/>
      <c r="C325" s="104" t="n"/>
      <c r="D325" s="105" t="n"/>
      <c r="E325" s="105" t="n"/>
      <c r="F325" s="105" t="n"/>
      <c r="G325" s="106" t="n"/>
      <c r="H325" s="106" t="n"/>
      <c r="I325" s="106" t="n"/>
      <c r="J325" s="107" t="n"/>
      <c r="K325" s="105" t="n"/>
      <c r="L325" s="106" t="n"/>
      <c r="M325" s="106" t="n"/>
      <c r="N325" s="106" t="n"/>
      <c r="O325" s="106" t="n"/>
      <c r="P325" s="105" t="n"/>
      <c r="Q325" s="107" t="n"/>
      <c r="R325" s="105" t="n"/>
      <c r="S325" s="107" t="n"/>
      <c r="T325" s="108">
        <f>IFERROR(L325+M325+N325+O325,0)</f>
        <v/>
      </c>
      <c r="U325" s="108">
        <f>IFERROR(H325+IFERROR(I325,0)+T325+IFERROR(AH325,0),0)</f>
        <v/>
      </c>
      <c r="V325" s="256" t="n"/>
      <c r="W325" s="257" t="n"/>
      <c r="X325" s="256" t="n"/>
      <c r="Y325" s="258" t="n"/>
      <c r="Z325" s="259" t="n"/>
      <c r="AA325" s="259" t="n"/>
      <c r="AB325" s="258" t="n"/>
      <c r="AC325" s="256" t="n"/>
      <c r="AD325" s="256" t="n"/>
      <c r="AE325" s="256" t="n"/>
      <c r="AF325" s="256" t="n"/>
      <c r="AG325" s="256" t="n"/>
      <c r="AH325" s="256">
        <f>IFERROR(IFERROR(V325,0)+IFERROR(AC325,0)+IFERROR(AD325,0)+IFERROR(AE325,0)+IFERROR(AF325,0)+IFERROR(AG325,0),0)</f>
        <v/>
      </c>
    </row>
    <row r="326" ht="15" customHeight="1" s="199">
      <c r="A326" s="104" t="n"/>
      <c r="B326" s="104" t="n"/>
      <c r="C326" s="104" t="n"/>
      <c r="D326" s="105" t="n"/>
      <c r="E326" s="105" t="n"/>
      <c r="F326" s="105" t="n"/>
      <c r="G326" s="106" t="n"/>
      <c r="H326" s="106" t="n"/>
      <c r="I326" s="106" t="n"/>
      <c r="J326" s="107" t="n"/>
      <c r="K326" s="105" t="n"/>
      <c r="L326" s="106" t="n"/>
      <c r="M326" s="106" t="n"/>
      <c r="N326" s="106" t="n"/>
      <c r="O326" s="106" t="n"/>
      <c r="P326" s="105" t="n"/>
      <c r="Q326" s="107" t="n"/>
      <c r="R326" s="105" t="n"/>
      <c r="S326" s="107" t="n"/>
      <c r="T326" s="108">
        <f>IFERROR(L326+M326+N326+O326,0)</f>
        <v/>
      </c>
      <c r="U326" s="108">
        <f>IFERROR(H326+IFERROR(I326,0)+T326+IFERROR(AH326,0),0)</f>
        <v/>
      </c>
      <c r="V326" s="256" t="n"/>
      <c r="W326" s="257" t="n"/>
      <c r="X326" s="256" t="n"/>
      <c r="Y326" s="258" t="n"/>
      <c r="Z326" s="259" t="n"/>
      <c r="AA326" s="259" t="n"/>
      <c r="AB326" s="258" t="n"/>
      <c r="AC326" s="256" t="n"/>
      <c r="AD326" s="256" t="n"/>
      <c r="AE326" s="256" t="n"/>
      <c r="AF326" s="256" t="n"/>
      <c r="AG326" s="256" t="n"/>
      <c r="AH326" s="256">
        <f>IFERROR(IFERROR(V326,0)+IFERROR(AC326,0)+IFERROR(AD326,0)+IFERROR(AE326,0)+IFERROR(AF326,0)+IFERROR(AG326,0),0)</f>
        <v/>
      </c>
    </row>
    <row r="327" ht="15" customHeight="1" s="199">
      <c r="A327" s="104" t="n"/>
      <c r="B327" s="104" t="n"/>
      <c r="C327" s="104" t="n"/>
      <c r="D327" s="105" t="n"/>
      <c r="E327" s="105" t="n"/>
      <c r="F327" s="105" t="n"/>
      <c r="G327" s="106" t="n"/>
      <c r="H327" s="106" t="n"/>
      <c r="I327" s="106" t="n"/>
      <c r="J327" s="107" t="n"/>
      <c r="K327" s="105" t="n"/>
      <c r="L327" s="106" t="n"/>
      <c r="M327" s="106" t="n"/>
      <c r="N327" s="106" t="n"/>
      <c r="O327" s="106" t="n"/>
      <c r="P327" s="105" t="n"/>
      <c r="Q327" s="107" t="n"/>
      <c r="R327" s="105" t="n"/>
      <c r="S327" s="107" t="n"/>
      <c r="T327" s="108">
        <f>IFERROR(L327+M327+N327+O327,0)</f>
        <v/>
      </c>
      <c r="U327" s="108">
        <f>IFERROR(H327+IFERROR(I327,0)+T327+IFERROR(AH327,0),0)</f>
        <v/>
      </c>
      <c r="V327" s="256" t="n"/>
      <c r="W327" s="257" t="n"/>
      <c r="X327" s="256" t="n"/>
      <c r="Y327" s="258" t="n"/>
      <c r="Z327" s="259" t="n"/>
      <c r="AA327" s="259" t="n"/>
      <c r="AB327" s="258" t="n"/>
      <c r="AC327" s="256" t="n"/>
      <c r="AD327" s="256" t="n"/>
      <c r="AE327" s="256" t="n"/>
      <c r="AF327" s="256" t="n"/>
      <c r="AG327" s="256" t="n"/>
      <c r="AH327" s="256">
        <f>IFERROR(IFERROR(V327,0)+IFERROR(AC327,0)+IFERROR(AD327,0)+IFERROR(AE327,0)+IFERROR(AF327,0)+IFERROR(AG327,0),0)</f>
        <v/>
      </c>
    </row>
    <row r="328" ht="15" customHeight="1" s="199">
      <c r="A328" s="104" t="n"/>
      <c r="B328" s="104" t="n"/>
      <c r="C328" s="104" t="n"/>
      <c r="D328" s="105" t="n"/>
      <c r="E328" s="105" t="n"/>
      <c r="F328" s="105" t="n"/>
      <c r="G328" s="106" t="n"/>
      <c r="H328" s="106" t="n"/>
      <c r="I328" s="106" t="n"/>
      <c r="J328" s="107" t="n"/>
      <c r="K328" s="105" t="n"/>
      <c r="L328" s="106" t="n"/>
      <c r="M328" s="106" t="n"/>
      <c r="N328" s="106" t="n"/>
      <c r="O328" s="106" t="n"/>
      <c r="P328" s="105" t="n"/>
      <c r="Q328" s="107" t="n"/>
      <c r="R328" s="105" t="n"/>
      <c r="S328" s="107" t="n"/>
      <c r="T328" s="108">
        <f>IFERROR(L328+M328+N328+O328,0)</f>
        <v/>
      </c>
      <c r="U328" s="108">
        <f>IFERROR(H328+IFERROR(I328,0)+T328+IFERROR(AH328,0),0)</f>
        <v/>
      </c>
      <c r="V328" s="256" t="n"/>
      <c r="W328" s="257" t="n"/>
      <c r="X328" s="256" t="n"/>
      <c r="Y328" s="258" t="n"/>
      <c r="Z328" s="259" t="n"/>
      <c r="AA328" s="259" t="n"/>
      <c r="AB328" s="258" t="n"/>
      <c r="AC328" s="256" t="n"/>
      <c r="AD328" s="256" t="n"/>
      <c r="AE328" s="256" t="n"/>
      <c r="AF328" s="256" t="n"/>
      <c r="AG328" s="256" t="n"/>
      <c r="AH328" s="256">
        <f>IFERROR(IFERROR(V328,0)+IFERROR(AC328,0)+IFERROR(AD328,0)+IFERROR(AE328,0)+IFERROR(AF328,0)+IFERROR(AG328,0),0)</f>
        <v/>
      </c>
    </row>
    <row r="329" ht="15" customHeight="1" s="199">
      <c r="A329" s="104" t="n"/>
      <c r="B329" s="104" t="n"/>
      <c r="C329" s="104" t="n"/>
      <c r="D329" s="105" t="n"/>
      <c r="E329" s="105" t="n"/>
      <c r="F329" s="105" t="n"/>
      <c r="G329" s="106" t="n"/>
      <c r="H329" s="106" t="n"/>
      <c r="I329" s="106" t="n"/>
      <c r="J329" s="107" t="n"/>
      <c r="K329" s="105" t="n"/>
      <c r="L329" s="106" t="n"/>
      <c r="M329" s="106" t="n"/>
      <c r="N329" s="106" t="n"/>
      <c r="O329" s="106" t="n"/>
      <c r="P329" s="105" t="n"/>
      <c r="Q329" s="107" t="n"/>
      <c r="R329" s="105" t="n"/>
      <c r="S329" s="107" t="n"/>
      <c r="T329" s="108">
        <f>IFERROR(L329+M329+N329+O329,0)</f>
        <v/>
      </c>
      <c r="U329" s="108">
        <f>IFERROR(H329+IFERROR(I329,0)+T329+IFERROR(AH329,0),0)</f>
        <v/>
      </c>
      <c r="V329" s="256" t="n"/>
      <c r="W329" s="257" t="n"/>
      <c r="X329" s="256" t="n"/>
      <c r="Y329" s="258" t="n"/>
      <c r="Z329" s="259" t="n"/>
      <c r="AA329" s="259" t="n"/>
      <c r="AB329" s="258" t="n"/>
      <c r="AC329" s="256" t="n"/>
      <c r="AD329" s="256" t="n"/>
      <c r="AE329" s="256" t="n"/>
      <c r="AF329" s="256" t="n"/>
      <c r="AG329" s="256" t="n"/>
      <c r="AH329" s="256">
        <f>IFERROR(IFERROR(V329,0)+IFERROR(AC329,0)+IFERROR(AD329,0)+IFERROR(AE329,0)+IFERROR(AF329,0)+IFERROR(AG329,0),0)</f>
        <v/>
      </c>
    </row>
    <row r="330" ht="15" customHeight="1" s="199">
      <c r="A330" s="104" t="n"/>
      <c r="B330" s="104" t="n"/>
      <c r="C330" s="104" t="n"/>
      <c r="D330" s="105" t="n"/>
      <c r="E330" s="105" t="n"/>
      <c r="F330" s="105" t="n"/>
      <c r="G330" s="106" t="n"/>
      <c r="H330" s="106" t="n"/>
      <c r="I330" s="106" t="n"/>
      <c r="J330" s="107" t="n"/>
      <c r="K330" s="105" t="n"/>
      <c r="L330" s="106" t="n"/>
      <c r="M330" s="106" t="n"/>
      <c r="N330" s="106" t="n"/>
      <c r="O330" s="106" t="n"/>
      <c r="P330" s="105" t="n"/>
      <c r="Q330" s="107" t="n"/>
      <c r="R330" s="105" t="n"/>
      <c r="S330" s="107" t="n"/>
      <c r="T330" s="108">
        <f>IFERROR(L330+M330+N330+O330,0)</f>
        <v/>
      </c>
      <c r="U330" s="108">
        <f>IFERROR(H330+IFERROR(I330,0)+T330+IFERROR(AH330,0),0)</f>
        <v/>
      </c>
      <c r="V330" s="256" t="n"/>
      <c r="W330" s="257" t="n"/>
      <c r="X330" s="256" t="n"/>
      <c r="Y330" s="258" t="n"/>
      <c r="Z330" s="259" t="n"/>
      <c r="AA330" s="259" t="n"/>
      <c r="AB330" s="258" t="n"/>
      <c r="AC330" s="256" t="n"/>
      <c r="AD330" s="256" t="n"/>
      <c r="AE330" s="256" t="n"/>
      <c r="AF330" s="256" t="n"/>
      <c r="AG330" s="256" t="n"/>
      <c r="AH330" s="256">
        <f>IFERROR(IFERROR(V330,0)+IFERROR(AC330,0)+IFERROR(AD330,0)+IFERROR(AE330,0)+IFERROR(AF330,0)+IFERROR(AG330,0),0)</f>
        <v/>
      </c>
    </row>
    <row r="331" ht="15" customHeight="1" s="199">
      <c r="A331" s="104" t="n"/>
      <c r="B331" s="104" t="n"/>
      <c r="C331" s="104" t="n"/>
      <c r="D331" s="105" t="n"/>
      <c r="E331" s="105" t="n"/>
      <c r="F331" s="105" t="n"/>
      <c r="G331" s="106" t="n"/>
      <c r="H331" s="106" t="n"/>
      <c r="I331" s="106" t="n"/>
      <c r="J331" s="107" t="n"/>
      <c r="K331" s="105" t="n"/>
      <c r="L331" s="106" t="n"/>
      <c r="M331" s="106" t="n"/>
      <c r="N331" s="106" t="n"/>
      <c r="O331" s="106" t="n"/>
      <c r="P331" s="105" t="n"/>
      <c r="Q331" s="107" t="n"/>
      <c r="R331" s="105" t="n"/>
      <c r="S331" s="107" t="n"/>
      <c r="T331" s="108">
        <f>IFERROR(L331+M331+N331+O331,0)</f>
        <v/>
      </c>
      <c r="U331" s="108">
        <f>IFERROR(H331+IFERROR(I331,0)+T331+IFERROR(AH331,0),0)</f>
        <v/>
      </c>
      <c r="V331" s="256" t="n"/>
      <c r="W331" s="257" t="n"/>
      <c r="X331" s="256" t="n"/>
      <c r="Y331" s="258" t="n"/>
      <c r="Z331" s="259" t="n"/>
      <c r="AA331" s="259" t="n"/>
      <c r="AB331" s="258" t="n"/>
      <c r="AC331" s="256" t="n"/>
      <c r="AD331" s="256" t="n"/>
      <c r="AE331" s="256" t="n"/>
      <c r="AF331" s="256" t="n"/>
      <c r="AG331" s="256" t="n"/>
      <c r="AH331" s="256">
        <f>IFERROR(IFERROR(V331,0)+IFERROR(AC331,0)+IFERROR(AD331,0)+IFERROR(AE331,0)+IFERROR(AF331,0)+IFERROR(AG331,0),0)</f>
        <v/>
      </c>
    </row>
    <row r="332" ht="15" customHeight="1" s="199">
      <c r="A332" s="104" t="n"/>
      <c r="B332" s="104" t="n"/>
      <c r="C332" s="104" t="n"/>
      <c r="D332" s="105" t="n"/>
      <c r="E332" s="105" t="n"/>
      <c r="F332" s="105" t="n"/>
      <c r="G332" s="106" t="n"/>
      <c r="H332" s="106" t="n"/>
      <c r="I332" s="106" t="n"/>
      <c r="J332" s="107" t="n"/>
      <c r="K332" s="105" t="n"/>
      <c r="L332" s="106" t="n"/>
      <c r="M332" s="106" t="n"/>
      <c r="N332" s="106" t="n"/>
      <c r="O332" s="106" t="n"/>
      <c r="P332" s="105" t="n"/>
      <c r="Q332" s="107" t="n"/>
      <c r="R332" s="105" t="n"/>
      <c r="S332" s="107" t="n"/>
      <c r="T332" s="108">
        <f>IFERROR(L332+M332+N332+O332,0)</f>
        <v/>
      </c>
      <c r="U332" s="108">
        <f>IFERROR(H332+IFERROR(I332,0)+T332+IFERROR(AH332,0),0)</f>
        <v/>
      </c>
      <c r="V332" s="256" t="n"/>
      <c r="W332" s="257" t="n"/>
      <c r="X332" s="256" t="n"/>
      <c r="Y332" s="258" t="n"/>
      <c r="Z332" s="259" t="n"/>
      <c r="AA332" s="259" t="n"/>
      <c r="AB332" s="258" t="n"/>
      <c r="AC332" s="256" t="n"/>
      <c r="AD332" s="256" t="n"/>
      <c r="AE332" s="256" t="n"/>
      <c r="AF332" s="256" t="n"/>
      <c r="AG332" s="256" t="n"/>
      <c r="AH332" s="256">
        <f>IFERROR(IFERROR(V332,0)+IFERROR(AC332,0)+IFERROR(AD332,0)+IFERROR(AE332,0)+IFERROR(AF332,0)+IFERROR(AG332,0),0)</f>
        <v/>
      </c>
    </row>
    <row r="333" ht="15" customHeight="1" s="199">
      <c r="A333" s="104" t="n"/>
      <c r="B333" s="104" t="n"/>
      <c r="C333" s="104" t="n"/>
      <c r="D333" s="105" t="n"/>
      <c r="E333" s="105" t="n"/>
      <c r="F333" s="105" t="n"/>
      <c r="G333" s="106" t="n"/>
      <c r="H333" s="106" t="n"/>
      <c r="I333" s="106" t="n"/>
      <c r="J333" s="107" t="n"/>
      <c r="K333" s="105" t="n"/>
      <c r="L333" s="106" t="n"/>
      <c r="M333" s="106" t="n"/>
      <c r="N333" s="106" t="n"/>
      <c r="O333" s="106" t="n"/>
      <c r="P333" s="105" t="n"/>
      <c r="Q333" s="107" t="n"/>
      <c r="R333" s="105" t="n"/>
      <c r="S333" s="107" t="n"/>
      <c r="T333" s="108">
        <f>IFERROR(L333+M333+N333+O333,0)</f>
        <v/>
      </c>
      <c r="U333" s="108">
        <f>IFERROR(H333+IFERROR(I333,0)+T333+IFERROR(AH333,0),0)</f>
        <v/>
      </c>
      <c r="V333" s="256" t="n"/>
      <c r="W333" s="257" t="n"/>
      <c r="X333" s="256" t="n"/>
      <c r="Y333" s="258" t="n"/>
      <c r="Z333" s="259" t="n"/>
      <c r="AA333" s="259" t="n"/>
      <c r="AB333" s="258" t="n"/>
      <c r="AC333" s="256" t="n"/>
      <c r="AD333" s="256" t="n"/>
      <c r="AE333" s="256" t="n"/>
      <c r="AF333" s="256" t="n"/>
      <c r="AG333" s="256" t="n"/>
      <c r="AH333" s="256">
        <f>IFERROR(IFERROR(V333,0)+IFERROR(AC333,0)+IFERROR(AD333,0)+IFERROR(AE333,0)+IFERROR(AF333,0)+IFERROR(AG333,0),0)</f>
        <v/>
      </c>
    </row>
    <row r="334" ht="15" customHeight="1" s="199">
      <c r="A334" s="104" t="n"/>
      <c r="B334" s="104" t="n"/>
      <c r="C334" s="104" t="n"/>
      <c r="D334" s="105" t="n"/>
      <c r="E334" s="105" t="n"/>
      <c r="F334" s="105" t="n"/>
      <c r="G334" s="106" t="n"/>
      <c r="H334" s="106" t="n"/>
      <c r="I334" s="106" t="n"/>
      <c r="J334" s="107" t="n"/>
      <c r="K334" s="105" t="n"/>
      <c r="L334" s="106" t="n"/>
      <c r="M334" s="106" t="n"/>
      <c r="N334" s="106" t="n"/>
      <c r="O334" s="106" t="n"/>
      <c r="P334" s="105" t="n"/>
      <c r="Q334" s="107" t="n"/>
      <c r="R334" s="105" t="n"/>
      <c r="S334" s="107" t="n"/>
      <c r="T334" s="108">
        <f>IFERROR(L334+M334+N334+O334,0)</f>
        <v/>
      </c>
      <c r="U334" s="108">
        <f>IFERROR(H334+IFERROR(I334,0)+T334+IFERROR(AH334,0),0)</f>
        <v/>
      </c>
      <c r="V334" s="256" t="n"/>
      <c r="W334" s="257" t="n"/>
      <c r="X334" s="256" t="n"/>
      <c r="Y334" s="258" t="n"/>
      <c r="Z334" s="259" t="n"/>
      <c r="AA334" s="259" t="n"/>
      <c r="AB334" s="258" t="n"/>
      <c r="AC334" s="256" t="n"/>
      <c r="AD334" s="256" t="n"/>
      <c r="AE334" s="256" t="n"/>
      <c r="AF334" s="256" t="n"/>
      <c r="AG334" s="256" t="n"/>
      <c r="AH334" s="256">
        <f>IFERROR(IFERROR(V334,0)+IFERROR(AC334,0)+IFERROR(AD334,0)+IFERROR(AE334,0)+IFERROR(AF334,0)+IFERROR(AG334,0),0)</f>
        <v/>
      </c>
    </row>
    <row r="335" ht="15" customHeight="1" s="199">
      <c r="A335" s="104" t="n"/>
      <c r="B335" s="104" t="n"/>
      <c r="C335" s="104" t="n"/>
      <c r="D335" s="105" t="n"/>
      <c r="E335" s="105" t="n"/>
      <c r="F335" s="105" t="n"/>
      <c r="G335" s="106" t="n"/>
      <c r="H335" s="106" t="n"/>
      <c r="I335" s="106" t="n"/>
      <c r="J335" s="107" t="n"/>
      <c r="K335" s="105" t="n"/>
      <c r="L335" s="106" t="n"/>
      <c r="M335" s="106" t="n"/>
      <c r="N335" s="106" t="n"/>
      <c r="O335" s="106" t="n"/>
      <c r="P335" s="105" t="n"/>
      <c r="Q335" s="107" t="n"/>
      <c r="R335" s="105" t="n"/>
      <c r="S335" s="107" t="n"/>
      <c r="T335" s="108">
        <f>IFERROR(L335+M335+N335+O335,0)</f>
        <v/>
      </c>
      <c r="U335" s="108">
        <f>IFERROR(H335+IFERROR(I335,0)+T335+IFERROR(AH335,0),0)</f>
        <v/>
      </c>
      <c r="V335" s="256" t="n"/>
      <c r="W335" s="257" t="n"/>
      <c r="X335" s="256" t="n"/>
      <c r="Y335" s="258" t="n"/>
      <c r="Z335" s="259" t="n"/>
      <c r="AA335" s="259" t="n"/>
      <c r="AB335" s="258" t="n"/>
      <c r="AC335" s="256" t="n"/>
      <c r="AD335" s="256" t="n"/>
      <c r="AE335" s="256" t="n"/>
      <c r="AF335" s="256" t="n"/>
      <c r="AG335" s="256" t="n"/>
      <c r="AH335" s="256">
        <f>IFERROR(IFERROR(V335,0)+IFERROR(AC335,0)+IFERROR(AD335,0)+IFERROR(AE335,0)+IFERROR(AF335,0)+IFERROR(AG335,0),0)</f>
        <v/>
      </c>
    </row>
    <row r="336" ht="15" customHeight="1" s="199">
      <c r="A336" s="104" t="n"/>
      <c r="B336" s="104" t="n"/>
      <c r="C336" s="104" t="n"/>
      <c r="D336" s="105" t="n"/>
      <c r="E336" s="105" t="n"/>
      <c r="F336" s="105" t="n"/>
      <c r="G336" s="106" t="n"/>
      <c r="H336" s="106" t="n"/>
      <c r="I336" s="106" t="n"/>
      <c r="J336" s="107" t="n"/>
      <c r="K336" s="105" t="n"/>
      <c r="L336" s="106" t="n"/>
      <c r="M336" s="106" t="n"/>
      <c r="N336" s="106" t="n"/>
      <c r="O336" s="106" t="n"/>
      <c r="P336" s="105" t="n"/>
      <c r="Q336" s="107" t="n"/>
      <c r="R336" s="105" t="n"/>
      <c r="S336" s="107" t="n"/>
      <c r="T336" s="108">
        <f>IFERROR(L336+M336+N336+O336,0)</f>
        <v/>
      </c>
      <c r="U336" s="108">
        <f>IFERROR(H336+IFERROR(I336,0)+T336+IFERROR(AH336,0),0)</f>
        <v/>
      </c>
      <c r="V336" s="256" t="n"/>
      <c r="W336" s="257" t="n"/>
      <c r="X336" s="256" t="n"/>
      <c r="Y336" s="258" t="n"/>
      <c r="Z336" s="259" t="n"/>
      <c r="AA336" s="259" t="n"/>
      <c r="AB336" s="258" t="n"/>
      <c r="AC336" s="256" t="n"/>
      <c r="AD336" s="256" t="n"/>
      <c r="AE336" s="256" t="n"/>
      <c r="AF336" s="256" t="n"/>
      <c r="AG336" s="256" t="n"/>
      <c r="AH336" s="256">
        <f>IFERROR(IFERROR(V336,0)+IFERROR(AC336,0)+IFERROR(AD336,0)+IFERROR(AE336,0)+IFERROR(AF336,0)+IFERROR(AG336,0),0)</f>
        <v/>
      </c>
    </row>
    <row r="337" ht="15" customHeight="1" s="199">
      <c r="A337" s="104" t="n"/>
      <c r="B337" s="104" t="n"/>
      <c r="C337" s="104" t="n"/>
      <c r="D337" s="105" t="n"/>
      <c r="E337" s="105" t="n"/>
      <c r="F337" s="105" t="n"/>
      <c r="G337" s="106" t="n"/>
      <c r="H337" s="106" t="n"/>
      <c r="I337" s="106" t="n"/>
      <c r="J337" s="107" t="n"/>
      <c r="K337" s="105" t="n"/>
      <c r="L337" s="106" t="n"/>
      <c r="M337" s="106" t="n"/>
      <c r="N337" s="106" t="n"/>
      <c r="O337" s="106" t="n"/>
      <c r="P337" s="105" t="n"/>
      <c r="Q337" s="107" t="n"/>
      <c r="R337" s="105" t="n"/>
      <c r="S337" s="107" t="n"/>
      <c r="T337" s="108">
        <f>IFERROR(L337+M337+N337+O337,0)</f>
        <v/>
      </c>
      <c r="U337" s="108">
        <f>IFERROR(H337+IFERROR(I337,0)+T337+IFERROR(AH337,0),0)</f>
        <v/>
      </c>
      <c r="V337" s="256" t="n"/>
      <c r="W337" s="257" t="n"/>
      <c r="X337" s="256" t="n"/>
      <c r="Y337" s="258" t="n"/>
      <c r="Z337" s="259" t="n"/>
      <c r="AA337" s="259" t="n"/>
      <c r="AB337" s="258" t="n"/>
      <c r="AC337" s="256" t="n"/>
      <c r="AD337" s="256" t="n"/>
      <c r="AE337" s="256" t="n"/>
      <c r="AF337" s="256" t="n"/>
      <c r="AG337" s="256" t="n"/>
      <c r="AH337" s="256">
        <f>IFERROR(IFERROR(V337,0)+IFERROR(AC337,0)+IFERROR(AD337,0)+IFERROR(AE337,0)+IFERROR(AF337,0)+IFERROR(AG337,0),0)</f>
        <v/>
      </c>
    </row>
    <row r="338" ht="15" customHeight="1" s="199">
      <c r="A338" s="104" t="n"/>
      <c r="B338" s="104" t="n"/>
      <c r="C338" s="104" t="n"/>
      <c r="D338" s="105" t="n"/>
      <c r="E338" s="105" t="n"/>
      <c r="F338" s="105" t="n"/>
      <c r="G338" s="106" t="n"/>
      <c r="H338" s="106" t="n"/>
      <c r="I338" s="106" t="n"/>
      <c r="J338" s="107" t="n"/>
      <c r="K338" s="105" t="n"/>
      <c r="L338" s="106" t="n"/>
      <c r="M338" s="106" t="n"/>
      <c r="N338" s="106" t="n"/>
      <c r="O338" s="106" t="n"/>
      <c r="P338" s="105" t="n"/>
      <c r="Q338" s="107" t="n"/>
      <c r="R338" s="105" t="n"/>
      <c r="S338" s="107" t="n"/>
      <c r="T338" s="108">
        <f>IFERROR(L338+M338+N338+O338,0)</f>
        <v/>
      </c>
      <c r="U338" s="108">
        <f>IFERROR(H338+IFERROR(I338,0)+T338+IFERROR(AH338,0),0)</f>
        <v/>
      </c>
      <c r="V338" s="256" t="n"/>
      <c r="W338" s="257" t="n"/>
      <c r="X338" s="256" t="n"/>
      <c r="Y338" s="258" t="n"/>
      <c r="Z338" s="259" t="n"/>
      <c r="AA338" s="259" t="n"/>
      <c r="AB338" s="258" t="n"/>
      <c r="AC338" s="256" t="n"/>
      <c r="AD338" s="256" t="n"/>
      <c r="AE338" s="256" t="n"/>
      <c r="AF338" s="256" t="n"/>
      <c r="AG338" s="256" t="n"/>
      <c r="AH338" s="256">
        <f>IFERROR(IFERROR(V338,0)+IFERROR(AC338,0)+IFERROR(AD338,0)+IFERROR(AE338,0)+IFERROR(AF338,0)+IFERROR(AG338,0),0)</f>
        <v/>
      </c>
    </row>
    <row r="339" ht="15" customHeight="1" s="199">
      <c r="A339" s="104" t="n"/>
      <c r="B339" s="104" t="n"/>
      <c r="C339" s="104" t="n"/>
      <c r="D339" s="105" t="n"/>
      <c r="E339" s="105" t="n"/>
      <c r="F339" s="105" t="n"/>
      <c r="G339" s="106" t="n"/>
      <c r="H339" s="106" t="n"/>
      <c r="I339" s="106" t="n"/>
      <c r="J339" s="107" t="n"/>
      <c r="K339" s="105" t="n"/>
      <c r="L339" s="106" t="n"/>
      <c r="M339" s="106" t="n"/>
      <c r="N339" s="106" t="n"/>
      <c r="O339" s="106" t="n"/>
      <c r="P339" s="105" t="n"/>
      <c r="Q339" s="107" t="n"/>
      <c r="R339" s="105" t="n"/>
      <c r="S339" s="107" t="n"/>
      <c r="T339" s="108">
        <f>IFERROR(L339+M339+N339+O339,0)</f>
        <v/>
      </c>
      <c r="U339" s="108">
        <f>IFERROR(H339+IFERROR(I339,0)+T339+IFERROR(AH339,0),0)</f>
        <v/>
      </c>
      <c r="V339" s="256" t="n"/>
      <c r="W339" s="257" t="n"/>
      <c r="X339" s="256" t="n"/>
      <c r="Y339" s="258" t="n"/>
      <c r="Z339" s="259" t="n"/>
      <c r="AA339" s="259" t="n"/>
      <c r="AB339" s="258" t="n"/>
      <c r="AC339" s="256" t="n"/>
      <c r="AD339" s="256" t="n"/>
      <c r="AE339" s="256" t="n"/>
      <c r="AF339" s="256" t="n"/>
      <c r="AG339" s="256" t="n"/>
      <c r="AH339" s="256">
        <f>IFERROR(IFERROR(V339,0)+IFERROR(AC339,0)+IFERROR(AD339,0)+IFERROR(AE339,0)+IFERROR(AF339,0)+IFERROR(AG339,0),0)</f>
        <v/>
      </c>
    </row>
    <row r="340" ht="15" customHeight="1" s="199">
      <c r="A340" s="104" t="n"/>
      <c r="B340" s="104" t="n"/>
      <c r="C340" s="104" t="n"/>
      <c r="D340" s="105" t="n"/>
      <c r="E340" s="105" t="n"/>
      <c r="F340" s="105" t="n"/>
      <c r="G340" s="106" t="n"/>
      <c r="H340" s="106" t="n"/>
      <c r="I340" s="106" t="n"/>
      <c r="J340" s="107" t="n"/>
      <c r="K340" s="105" t="n"/>
      <c r="L340" s="106" t="n"/>
      <c r="M340" s="106" t="n"/>
      <c r="N340" s="106" t="n"/>
      <c r="O340" s="106" t="n"/>
      <c r="P340" s="105" t="n"/>
      <c r="Q340" s="107" t="n"/>
      <c r="R340" s="105" t="n"/>
      <c r="S340" s="107" t="n"/>
      <c r="T340" s="108">
        <f>IFERROR(L340+M340+N340+O340,0)</f>
        <v/>
      </c>
      <c r="U340" s="108">
        <f>IFERROR(H340+IFERROR(I340,0)+T340+IFERROR(AH340,0),0)</f>
        <v/>
      </c>
      <c r="V340" s="256" t="n"/>
      <c r="W340" s="257" t="n"/>
      <c r="X340" s="256" t="n"/>
      <c r="Y340" s="258" t="n"/>
      <c r="Z340" s="259" t="n"/>
      <c r="AA340" s="259" t="n"/>
      <c r="AB340" s="258" t="n"/>
      <c r="AC340" s="256" t="n"/>
      <c r="AD340" s="256" t="n"/>
      <c r="AE340" s="256" t="n"/>
      <c r="AF340" s="256" t="n"/>
      <c r="AG340" s="256" t="n"/>
      <c r="AH340" s="256">
        <f>IFERROR(IFERROR(V340,0)+IFERROR(AC340,0)+IFERROR(AD340,0)+IFERROR(AE340,0)+IFERROR(AF340,0)+IFERROR(AG340,0),0)</f>
        <v/>
      </c>
    </row>
    <row r="341" ht="15" customHeight="1" s="199">
      <c r="A341" s="104" t="n"/>
      <c r="B341" s="104" t="n"/>
      <c r="C341" s="104" t="n"/>
      <c r="D341" s="105" t="n"/>
      <c r="E341" s="105" t="n"/>
      <c r="F341" s="105" t="n"/>
      <c r="G341" s="106" t="n"/>
      <c r="H341" s="106" t="n"/>
      <c r="I341" s="106" t="n"/>
      <c r="J341" s="107" t="n"/>
      <c r="K341" s="105" t="n"/>
      <c r="L341" s="106" t="n"/>
      <c r="M341" s="106" t="n"/>
      <c r="N341" s="106" t="n"/>
      <c r="O341" s="106" t="n"/>
      <c r="P341" s="105" t="n"/>
      <c r="Q341" s="107" t="n"/>
      <c r="R341" s="105" t="n"/>
      <c r="S341" s="107" t="n"/>
      <c r="T341" s="108">
        <f>IFERROR(L341+M341+N341+O341,0)</f>
        <v/>
      </c>
      <c r="U341" s="108">
        <f>IFERROR(H341+IFERROR(I341,0)+T341+IFERROR(AH341,0),0)</f>
        <v/>
      </c>
      <c r="V341" s="256" t="n"/>
      <c r="W341" s="257" t="n"/>
      <c r="X341" s="256" t="n"/>
      <c r="Y341" s="258" t="n"/>
      <c r="Z341" s="259" t="n"/>
      <c r="AA341" s="259" t="n"/>
      <c r="AB341" s="258" t="n"/>
      <c r="AC341" s="256" t="n"/>
      <c r="AD341" s="256" t="n"/>
      <c r="AE341" s="256" t="n"/>
      <c r="AF341" s="256" t="n"/>
      <c r="AG341" s="256" t="n"/>
      <c r="AH341" s="256">
        <f>IFERROR(IFERROR(V341,0)+IFERROR(AC341,0)+IFERROR(AD341,0)+IFERROR(AE341,0)+IFERROR(AF341,0)+IFERROR(AG341,0),0)</f>
        <v/>
      </c>
    </row>
    <row r="342" ht="15" customHeight="1" s="199">
      <c r="A342" s="104" t="n"/>
      <c r="B342" s="104" t="n"/>
      <c r="C342" s="104" t="n"/>
      <c r="D342" s="105" t="n"/>
      <c r="E342" s="105" t="n"/>
      <c r="F342" s="105" t="n"/>
      <c r="G342" s="106" t="n"/>
      <c r="H342" s="106" t="n"/>
      <c r="I342" s="106" t="n"/>
      <c r="J342" s="107" t="n"/>
      <c r="K342" s="105" t="n"/>
      <c r="L342" s="106" t="n"/>
      <c r="M342" s="106" t="n"/>
      <c r="N342" s="106" t="n"/>
      <c r="O342" s="106" t="n"/>
      <c r="P342" s="105" t="n"/>
      <c r="Q342" s="107" t="n"/>
      <c r="R342" s="105" t="n"/>
      <c r="S342" s="107" t="n"/>
      <c r="T342" s="108">
        <f>IFERROR(L342+M342+N342+O342,0)</f>
        <v/>
      </c>
      <c r="U342" s="108">
        <f>IFERROR(H342+IFERROR(I342,0)+T342+IFERROR(AH342,0),0)</f>
        <v/>
      </c>
      <c r="V342" s="256" t="n"/>
      <c r="W342" s="257" t="n"/>
      <c r="X342" s="256" t="n"/>
      <c r="Y342" s="258" t="n"/>
      <c r="Z342" s="259" t="n"/>
      <c r="AA342" s="259" t="n"/>
      <c r="AB342" s="258" t="n"/>
      <c r="AC342" s="256" t="n"/>
      <c r="AD342" s="256" t="n"/>
      <c r="AE342" s="256" t="n"/>
      <c r="AF342" s="256" t="n"/>
      <c r="AG342" s="256" t="n"/>
      <c r="AH342" s="256">
        <f>IFERROR(IFERROR(V342,0)+IFERROR(AC342,0)+IFERROR(AD342,0)+IFERROR(AE342,0)+IFERROR(AF342,0)+IFERROR(AG342,0),0)</f>
        <v/>
      </c>
    </row>
    <row r="343" ht="15" customHeight="1" s="199">
      <c r="A343" s="104" t="n"/>
      <c r="B343" s="104" t="n"/>
      <c r="C343" s="104" t="n"/>
      <c r="D343" s="105" t="n"/>
      <c r="E343" s="105" t="n"/>
      <c r="F343" s="105" t="n"/>
      <c r="G343" s="106" t="n"/>
      <c r="H343" s="106" t="n"/>
      <c r="I343" s="106" t="n"/>
      <c r="J343" s="107" t="n"/>
      <c r="K343" s="105" t="n"/>
      <c r="L343" s="106" t="n"/>
      <c r="M343" s="106" t="n"/>
      <c r="N343" s="106" t="n"/>
      <c r="O343" s="106" t="n"/>
      <c r="P343" s="105" t="n"/>
      <c r="Q343" s="107" t="n"/>
      <c r="R343" s="105" t="n"/>
      <c r="S343" s="107" t="n"/>
      <c r="T343" s="108">
        <f>IFERROR(L343+M343+N343+O343,0)</f>
        <v/>
      </c>
      <c r="U343" s="108">
        <f>IFERROR(H343+IFERROR(I343,0)+T343+IFERROR(AH343,0),0)</f>
        <v/>
      </c>
      <c r="V343" s="256" t="n"/>
      <c r="W343" s="257" t="n"/>
      <c r="X343" s="256" t="n"/>
      <c r="Y343" s="258" t="n"/>
      <c r="Z343" s="259" t="n"/>
      <c r="AA343" s="259" t="n"/>
      <c r="AB343" s="258" t="n"/>
      <c r="AC343" s="256" t="n"/>
      <c r="AD343" s="256" t="n"/>
      <c r="AE343" s="256" t="n"/>
      <c r="AF343" s="256" t="n"/>
      <c r="AG343" s="256" t="n"/>
      <c r="AH343" s="256">
        <f>IFERROR(IFERROR(V343,0)+IFERROR(AC343,0)+IFERROR(AD343,0)+IFERROR(AE343,0)+IFERROR(AF343,0)+IFERROR(AG343,0),0)</f>
        <v/>
      </c>
    </row>
    <row r="344" ht="15" customHeight="1" s="199">
      <c r="A344" s="104" t="n"/>
      <c r="B344" s="104" t="n"/>
      <c r="C344" s="104" t="n"/>
      <c r="D344" s="105" t="n"/>
      <c r="E344" s="105" t="n"/>
      <c r="F344" s="105" t="n"/>
      <c r="G344" s="106" t="n"/>
      <c r="H344" s="106" t="n"/>
      <c r="I344" s="106" t="n"/>
      <c r="J344" s="107" t="n"/>
      <c r="K344" s="105" t="n"/>
      <c r="L344" s="106" t="n"/>
      <c r="M344" s="106" t="n"/>
      <c r="N344" s="106" t="n"/>
      <c r="O344" s="106" t="n"/>
      <c r="P344" s="105" t="n"/>
      <c r="Q344" s="107" t="n"/>
      <c r="R344" s="105" t="n"/>
      <c r="S344" s="107" t="n"/>
      <c r="T344" s="108">
        <f>IFERROR(L344+M344+N344+O344,0)</f>
        <v/>
      </c>
      <c r="U344" s="108">
        <f>IFERROR(H344+IFERROR(I344,0)+T344+IFERROR(AH344,0),0)</f>
        <v/>
      </c>
      <c r="V344" s="256" t="n"/>
      <c r="W344" s="257" t="n"/>
      <c r="X344" s="256" t="n"/>
      <c r="Y344" s="258" t="n"/>
      <c r="Z344" s="259" t="n"/>
      <c r="AA344" s="259" t="n"/>
      <c r="AB344" s="258" t="n"/>
      <c r="AC344" s="256" t="n"/>
      <c r="AD344" s="256" t="n"/>
      <c r="AE344" s="256" t="n"/>
      <c r="AF344" s="256" t="n"/>
      <c r="AG344" s="256" t="n"/>
      <c r="AH344" s="256">
        <f>IFERROR(IFERROR(V344,0)+IFERROR(AC344,0)+IFERROR(AD344,0)+IFERROR(AE344,0)+IFERROR(AF344,0)+IFERROR(AG344,0),0)</f>
        <v/>
      </c>
    </row>
    <row r="345" ht="15" customHeight="1" s="199">
      <c r="A345" s="104" t="n"/>
      <c r="B345" s="104" t="n"/>
      <c r="C345" s="104" t="n"/>
      <c r="D345" s="105" t="n"/>
      <c r="E345" s="105" t="n"/>
      <c r="F345" s="105" t="n"/>
      <c r="G345" s="106" t="n"/>
      <c r="H345" s="106" t="n"/>
      <c r="I345" s="106" t="n"/>
      <c r="J345" s="107" t="n"/>
      <c r="K345" s="105" t="n"/>
      <c r="L345" s="106" t="n"/>
      <c r="M345" s="106" t="n"/>
      <c r="N345" s="106" t="n"/>
      <c r="O345" s="106" t="n"/>
      <c r="P345" s="105" t="n"/>
      <c r="Q345" s="107" t="n"/>
      <c r="R345" s="105" t="n"/>
      <c r="S345" s="107" t="n"/>
      <c r="T345" s="108">
        <f>IFERROR(L345+M345+N345+O345,0)</f>
        <v/>
      </c>
      <c r="U345" s="108">
        <f>IFERROR(H345+IFERROR(I345,0)+T345+IFERROR(AH345,0),0)</f>
        <v/>
      </c>
      <c r="V345" s="256" t="n"/>
      <c r="W345" s="257" t="n"/>
      <c r="X345" s="256" t="n"/>
      <c r="Y345" s="258" t="n"/>
      <c r="Z345" s="259" t="n"/>
      <c r="AA345" s="259" t="n"/>
      <c r="AB345" s="258" t="n"/>
      <c r="AC345" s="256" t="n"/>
      <c r="AD345" s="256" t="n"/>
      <c r="AE345" s="256" t="n"/>
      <c r="AF345" s="256" t="n"/>
      <c r="AG345" s="256" t="n"/>
      <c r="AH345" s="256">
        <f>IFERROR(IFERROR(V345,0)+IFERROR(AC345,0)+IFERROR(AD345,0)+IFERROR(AE345,0)+IFERROR(AF345,0)+IFERROR(AG345,0),0)</f>
        <v/>
      </c>
    </row>
    <row r="346" ht="15" customHeight="1" s="199">
      <c r="A346" s="104" t="n"/>
      <c r="B346" s="104" t="n"/>
      <c r="C346" s="104" t="n"/>
      <c r="D346" s="105" t="n"/>
      <c r="E346" s="105" t="n"/>
      <c r="F346" s="105" t="n"/>
      <c r="G346" s="106" t="n"/>
      <c r="H346" s="106" t="n"/>
      <c r="I346" s="106" t="n"/>
      <c r="J346" s="107" t="n"/>
      <c r="K346" s="105" t="n"/>
      <c r="L346" s="106" t="n"/>
      <c r="M346" s="106" t="n"/>
      <c r="N346" s="106" t="n"/>
      <c r="O346" s="106" t="n"/>
      <c r="P346" s="105" t="n"/>
      <c r="Q346" s="107" t="n"/>
      <c r="R346" s="105" t="n"/>
      <c r="S346" s="107" t="n"/>
      <c r="T346" s="108">
        <f>IFERROR(L346+M346+N346+O346,0)</f>
        <v/>
      </c>
      <c r="U346" s="108">
        <f>IFERROR(H346+IFERROR(I346,0)+T346+IFERROR(AH346,0),0)</f>
        <v/>
      </c>
      <c r="V346" s="256" t="n"/>
      <c r="W346" s="257" t="n"/>
      <c r="X346" s="256" t="n"/>
      <c r="Y346" s="258" t="n"/>
      <c r="Z346" s="259" t="n"/>
      <c r="AA346" s="259" t="n"/>
      <c r="AB346" s="258" t="n"/>
      <c r="AC346" s="256" t="n"/>
      <c r="AD346" s="256" t="n"/>
      <c r="AE346" s="256" t="n"/>
      <c r="AF346" s="256" t="n"/>
      <c r="AG346" s="256" t="n"/>
      <c r="AH346" s="256">
        <f>IFERROR(IFERROR(V346,0)+IFERROR(AC346,0)+IFERROR(AD346,0)+IFERROR(AE346,0)+IFERROR(AF346,0)+IFERROR(AG346,0),0)</f>
        <v/>
      </c>
    </row>
    <row r="347" ht="15" customHeight="1" s="199">
      <c r="A347" s="104" t="n"/>
      <c r="B347" s="104" t="n"/>
      <c r="C347" s="104" t="n"/>
      <c r="D347" s="105" t="n"/>
      <c r="E347" s="105" t="n"/>
      <c r="F347" s="105" t="n"/>
      <c r="G347" s="106" t="n"/>
      <c r="H347" s="106" t="n"/>
      <c r="I347" s="106" t="n"/>
      <c r="J347" s="107" t="n"/>
      <c r="K347" s="105" t="n"/>
      <c r="L347" s="106" t="n"/>
      <c r="M347" s="106" t="n"/>
      <c r="N347" s="106" t="n"/>
      <c r="O347" s="106" t="n"/>
      <c r="P347" s="105" t="n"/>
      <c r="Q347" s="107" t="n"/>
      <c r="R347" s="105" t="n"/>
      <c r="S347" s="107" t="n"/>
      <c r="T347" s="108">
        <f>IFERROR(L347+M347+N347+O347,0)</f>
        <v/>
      </c>
      <c r="U347" s="108">
        <f>IFERROR(H347+IFERROR(I347,0)+T347+IFERROR(AH347,0),0)</f>
        <v/>
      </c>
      <c r="V347" s="256" t="n"/>
      <c r="W347" s="257" t="n"/>
      <c r="X347" s="256" t="n"/>
      <c r="Y347" s="258" t="n"/>
      <c r="Z347" s="259" t="n"/>
      <c r="AA347" s="259" t="n"/>
      <c r="AB347" s="258" t="n"/>
      <c r="AC347" s="256" t="n"/>
      <c r="AD347" s="256" t="n"/>
      <c r="AE347" s="256" t="n"/>
      <c r="AF347" s="256" t="n"/>
      <c r="AG347" s="256" t="n"/>
      <c r="AH347" s="256">
        <f>IFERROR(IFERROR(V347,0)+IFERROR(AC347,0)+IFERROR(AD347,0)+IFERROR(AE347,0)+IFERROR(AF347,0)+IFERROR(AG347,0),0)</f>
        <v/>
      </c>
    </row>
    <row r="348" ht="15" customHeight="1" s="199">
      <c r="A348" s="104" t="n"/>
      <c r="B348" s="104" t="n"/>
      <c r="C348" s="104" t="n"/>
      <c r="D348" s="105" t="n"/>
      <c r="E348" s="105" t="n"/>
      <c r="F348" s="105" t="n"/>
      <c r="G348" s="106" t="n"/>
      <c r="H348" s="106" t="n"/>
      <c r="I348" s="106" t="n"/>
      <c r="J348" s="107" t="n"/>
      <c r="K348" s="105" t="n"/>
      <c r="L348" s="106" t="n"/>
      <c r="M348" s="106" t="n"/>
      <c r="N348" s="106" t="n"/>
      <c r="O348" s="106" t="n"/>
      <c r="P348" s="105" t="n"/>
      <c r="Q348" s="107" t="n"/>
      <c r="R348" s="105" t="n"/>
      <c r="S348" s="107" t="n"/>
      <c r="T348" s="108">
        <f>IFERROR(L348+M348+N348+O348,0)</f>
        <v/>
      </c>
      <c r="U348" s="108">
        <f>IFERROR(H348+IFERROR(I348,0)+T348+IFERROR(AH348,0),0)</f>
        <v/>
      </c>
      <c r="V348" s="256" t="n"/>
      <c r="W348" s="257" t="n"/>
      <c r="X348" s="256" t="n"/>
      <c r="Y348" s="258" t="n"/>
      <c r="Z348" s="259" t="n"/>
      <c r="AA348" s="259" t="n"/>
      <c r="AB348" s="258" t="n"/>
      <c r="AC348" s="256" t="n"/>
      <c r="AD348" s="256" t="n"/>
      <c r="AE348" s="256" t="n"/>
      <c r="AF348" s="256" t="n"/>
      <c r="AG348" s="256" t="n"/>
      <c r="AH348" s="256">
        <f>IFERROR(IFERROR(V348,0)+IFERROR(AC348,0)+IFERROR(AD348,0)+IFERROR(AE348,0)+IFERROR(AF348,0)+IFERROR(AG348,0),0)</f>
        <v/>
      </c>
    </row>
    <row r="349" ht="15" customHeight="1" s="199">
      <c r="A349" s="104" t="n"/>
      <c r="B349" s="104" t="n"/>
      <c r="C349" s="104" t="n"/>
      <c r="D349" s="105" t="n"/>
      <c r="E349" s="105" t="n"/>
      <c r="F349" s="105" t="n"/>
      <c r="G349" s="106" t="n"/>
      <c r="H349" s="106" t="n"/>
      <c r="I349" s="106" t="n"/>
      <c r="J349" s="107" t="n"/>
      <c r="K349" s="105" t="n"/>
      <c r="L349" s="106" t="n"/>
      <c r="M349" s="106" t="n"/>
      <c r="N349" s="106" t="n"/>
      <c r="O349" s="106" t="n"/>
      <c r="P349" s="105" t="n"/>
      <c r="Q349" s="107" t="n"/>
      <c r="R349" s="105" t="n"/>
      <c r="S349" s="107" t="n"/>
      <c r="T349" s="108">
        <f>IFERROR(L349+M349+N349+O349,0)</f>
        <v/>
      </c>
      <c r="U349" s="108">
        <f>IFERROR(H349+IFERROR(I349,0)+T349+IFERROR(AH349,0),0)</f>
        <v/>
      </c>
      <c r="V349" s="256" t="n"/>
      <c r="W349" s="257" t="n"/>
      <c r="X349" s="256" t="n"/>
      <c r="Y349" s="258" t="n"/>
      <c r="Z349" s="259" t="n"/>
      <c r="AA349" s="259" t="n"/>
      <c r="AB349" s="258" t="n"/>
      <c r="AC349" s="256" t="n"/>
      <c r="AD349" s="256" t="n"/>
      <c r="AE349" s="256" t="n"/>
      <c r="AF349" s="256" t="n"/>
      <c r="AG349" s="256" t="n"/>
      <c r="AH349" s="256">
        <f>IFERROR(IFERROR(V349,0)+IFERROR(AC349,0)+IFERROR(AD349,0)+IFERROR(AE349,0)+IFERROR(AF349,0)+IFERROR(AG349,0),0)</f>
        <v/>
      </c>
    </row>
    <row r="350" ht="15" customHeight="1" s="199">
      <c r="A350" s="104" t="n"/>
      <c r="B350" s="104" t="n"/>
      <c r="C350" s="104" t="n"/>
      <c r="D350" s="105" t="n"/>
      <c r="E350" s="105" t="n"/>
      <c r="F350" s="105" t="n"/>
      <c r="G350" s="106" t="n"/>
      <c r="H350" s="106" t="n"/>
      <c r="I350" s="106" t="n"/>
      <c r="J350" s="107" t="n"/>
      <c r="K350" s="105" t="n"/>
      <c r="L350" s="106" t="n"/>
      <c r="M350" s="106" t="n"/>
      <c r="N350" s="106" t="n"/>
      <c r="O350" s="106" t="n"/>
      <c r="P350" s="105" t="n"/>
      <c r="Q350" s="107" t="n"/>
      <c r="R350" s="105" t="n"/>
      <c r="S350" s="107" t="n"/>
      <c r="T350" s="108">
        <f>IFERROR(L350+M350+N350+O350,0)</f>
        <v/>
      </c>
      <c r="U350" s="108">
        <f>IFERROR(H350+IFERROR(I350,0)+T350+IFERROR(AH350,0),0)</f>
        <v/>
      </c>
      <c r="V350" s="256" t="n"/>
      <c r="W350" s="257" t="n"/>
      <c r="X350" s="256" t="n"/>
      <c r="Y350" s="258" t="n"/>
      <c r="Z350" s="259" t="n"/>
      <c r="AA350" s="259" t="n"/>
      <c r="AB350" s="258" t="n"/>
      <c r="AC350" s="256" t="n"/>
      <c r="AD350" s="256" t="n"/>
      <c r="AE350" s="256" t="n"/>
      <c r="AF350" s="256" t="n"/>
      <c r="AG350" s="256" t="n"/>
      <c r="AH350" s="256">
        <f>IFERROR(IFERROR(V350,0)+IFERROR(AC350,0)+IFERROR(AD350,0)+IFERROR(AE350,0)+IFERROR(AF350,0)+IFERROR(AG350,0),0)</f>
        <v/>
      </c>
    </row>
    <row r="351" ht="15" customHeight="1" s="199">
      <c r="A351" s="104" t="n"/>
      <c r="B351" s="104" t="n"/>
      <c r="C351" s="104" t="n"/>
      <c r="D351" s="105" t="n"/>
      <c r="E351" s="105" t="n"/>
      <c r="F351" s="105" t="n"/>
      <c r="G351" s="106" t="n"/>
      <c r="H351" s="106" t="n"/>
      <c r="I351" s="106" t="n"/>
      <c r="J351" s="107" t="n"/>
      <c r="K351" s="105" t="n"/>
      <c r="L351" s="106" t="n"/>
      <c r="M351" s="106" t="n"/>
      <c r="N351" s="106" t="n"/>
      <c r="O351" s="106" t="n"/>
      <c r="P351" s="105" t="n"/>
      <c r="Q351" s="107" t="n"/>
      <c r="R351" s="105" t="n"/>
      <c r="S351" s="107" t="n"/>
      <c r="T351" s="108">
        <f>IFERROR(L351+M351+N351+O351,0)</f>
        <v/>
      </c>
      <c r="U351" s="108">
        <f>IFERROR(H351+IFERROR(I351,0)+T351+IFERROR(AH351,0),0)</f>
        <v/>
      </c>
      <c r="V351" s="256" t="n"/>
      <c r="W351" s="257" t="n"/>
      <c r="X351" s="256" t="n"/>
      <c r="Y351" s="258" t="n"/>
      <c r="Z351" s="259" t="n"/>
      <c r="AA351" s="259" t="n"/>
      <c r="AB351" s="258" t="n"/>
      <c r="AC351" s="256" t="n"/>
      <c r="AD351" s="256" t="n"/>
      <c r="AE351" s="256" t="n"/>
      <c r="AF351" s="256" t="n"/>
      <c r="AG351" s="256" t="n"/>
      <c r="AH351" s="256">
        <f>IFERROR(IFERROR(V351,0)+IFERROR(AC351,0)+IFERROR(AD351,0)+IFERROR(AE351,0)+IFERROR(AF351,0)+IFERROR(AG351,0),0)</f>
        <v/>
      </c>
    </row>
    <row r="352" ht="15" customHeight="1" s="199">
      <c r="A352" s="104" t="n"/>
      <c r="B352" s="104" t="n"/>
      <c r="C352" s="104" t="n"/>
      <c r="D352" s="105" t="n"/>
      <c r="E352" s="105" t="n"/>
      <c r="F352" s="105" t="n"/>
      <c r="G352" s="106" t="n"/>
      <c r="H352" s="106" t="n"/>
      <c r="I352" s="106" t="n"/>
      <c r="J352" s="107" t="n"/>
      <c r="K352" s="105" t="n"/>
      <c r="L352" s="106" t="n"/>
      <c r="M352" s="106" t="n"/>
      <c r="N352" s="106" t="n"/>
      <c r="O352" s="106" t="n"/>
      <c r="P352" s="105" t="n"/>
      <c r="Q352" s="107" t="n"/>
      <c r="R352" s="105" t="n"/>
      <c r="S352" s="107" t="n"/>
      <c r="T352" s="108">
        <f>IFERROR(L352+M352+N352+O352,0)</f>
        <v/>
      </c>
      <c r="U352" s="108">
        <f>IFERROR(H352+IFERROR(I352,0)+T352+IFERROR(AH352,0),0)</f>
        <v/>
      </c>
      <c r="V352" s="256" t="n"/>
      <c r="W352" s="257" t="n"/>
      <c r="X352" s="256" t="n"/>
      <c r="Y352" s="258" t="n"/>
      <c r="Z352" s="259" t="n"/>
      <c r="AA352" s="259" t="n"/>
      <c r="AB352" s="258" t="n"/>
      <c r="AC352" s="256" t="n"/>
      <c r="AD352" s="256" t="n"/>
      <c r="AE352" s="256" t="n"/>
      <c r="AF352" s="256" t="n"/>
      <c r="AG352" s="256" t="n"/>
      <c r="AH352" s="256">
        <f>IFERROR(IFERROR(V352,0)+IFERROR(AC352,0)+IFERROR(AD352,0)+IFERROR(AE352,0)+IFERROR(AF352,0)+IFERROR(AG352,0),0)</f>
        <v/>
      </c>
    </row>
    <row r="353" ht="15" customHeight="1" s="199">
      <c r="A353" s="104" t="n"/>
      <c r="B353" s="104" t="n"/>
      <c r="C353" s="104" t="n"/>
      <c r="D353" s="105" t="n"/>
      <c r="E353" s="105" t="n"/>
      <c r="F353" s="105" t="n"/>
      <c r="G353" s="106" t="n"/>
      <c r="H353" s="106" t="n"/>
      <c r="I353" s="106" t="n"/>
      <c r="J353" s="107" t="n"/>
      <c r="K353" s="105" t="n"/>
      <c r="L353" s="106" t="n"/>
      <c r="M353" s="106" t="n"/>
      <c r="N353" s="106" t="n"/>
      <c r="O353" s="106" t="n"/>
      <c r="P353" s="105" t="n"/>
      <c r="Q353" s="107" t="n"/>
      <c r="R353" s="105" t="n"/>
      <c r="S353" s="107" t="n"/>
      <c r="T353" s="108">
        <f>IFERROR(L353+M353+N353+O353,0)</f>
        <v/>
      </c>
      <c r="U353" s="108">
        <f>IFERROR(H353+IFERROR(I353,0)+T353+IFERROR(AH353,0),0)</f>
        <v/>
      </c>
      <c r="V353" s="256" t="n"/>
      <c r="W353" s="257" t="n"/>
      <c r="X353" s="256" t="n"/>
      <c r="Y353" s="258" t="n"/>
      <c r="Z353" s="259" t="n"/>
      <c r="AA353" s="259" t="n"/>
      <c r="AB353" s="258" t="n"/>
      <c r="AC353" s="256" t="n"/>
      <c r="AD353" s="256" t="n"/>
      <c r="AE353" s="256" t="n"/>
      <c r="AF353" s="256" t="n"/>
      <c r="AG353" s="256" t="n"/>
      <c r="AH353" s="256">
        <f>IFERROR(IFERROR(V353,0)+IFERROR(AC353,0)+IFERROR(AD353,0)+IFERROR(AE353,0)+IFERROR(AF353,0)+IFERROR(AG353,0),0)</f>
        <v/>
      </c>
    </row>
    <row r="354" ht="15" customHeight="1" s="199">
      <c r="A354" s="104" t="n"/>
      <c r="B354" s="104" t="n"/>
      <c r="C354" s="104" t="n"/>
      <c r="D354" s="105" t="n"/>
      <c r="E354" s="105" t="n"/>
      <c r="F354" s="105" t="n"/>
      <c r="G354" s="106" t="n"/>
      <c r="H354" s="106" t="n"/>
      <c r="I354" s="106" t="n"/>
      <c r="J354" s="107" t="n"/>
      <c r="K354" s="105" t="n"/>
      <c r="L354" s="106" t="n"/>
      <c r="M354" s="106" t="n"/>
      <c r="N354" s="106" t="n"/>
      <c r="O354" s="106" t="n"/>
      <c r="P354" s="105" t="n"/>
      <c r="Q354" s="107" t="n"/>
      <c r="R354" s="105" t="n"/>
      <c r="S354" s="107" t="n"/>
      <c r="T354" s="108">
        <f>IFERROR(L354+M354+N354+O354,0)</f>
        <v/>
      </c>
      <c r="U354" s="108">
        <f>IFERROR(H354+IFERROR(I354,0)+T354+IFERROR(AH354,0),0)</f>
        <v/>
      </c>
      <c r="V354" s="256" t="n"/>
      <c r="W354" s="257" t="n"/>
      <c r="X354" s="256" t="n"/>
      <c r="Y354" s="258" t="n"/>
      <c r="Z354" s="259" t="n"/>
      <c r="AA354" s="259" t="n"/>
      <c r="AB354" s="258" t="n"/>
      <c r="AC354" s="256" t="n"/>
      <c r="AD354" s="256" t="n"/>
      <c r="AE354" s="256" t="n"/>
      <c r="AF354" s="256" t="n"/>
      <c r="AG354" s="256" t="n"/>
      <c r="AH354" s="256">
        <f>IFERROR(IFERROR(V354,0)+IFERROR(AC354,0)+IFERROR(AD354,0)+IFERROR(AE354,0)+IFERROR(AF354,0)+IFERROR(AG354,0),0)</f>
        <v/>
      </c>
    </row>
    <row r="355" ht="15" customHeight="1" s="199">
      <c r="A355" s="104" t="n"/>
      <c r="B355" s="104" t="n"/>
      <c r="C355" s="104" t="n"/>
      <c r="D355" s="105" t="n"/>
      <c r="E355" s="105" t="n"/>
      <c r="F355" s="105" t="n"/>
      <c r="G355" s="106" t="n"/>
      <c r="H355" s="106" t="n"/>
      <c r="I355" s="106" t="n"/>
      <c r="J355" s="107" t="n"/>
      <c r="K355" s="105" t="n"/>
      <c r="L355" s="106" t="n"/>
      <c r="M355" s="106" t="n"/>
      <c r="N355" s="106" t="n"/>
      <c r="O355" s="106" t="n"/>
      <c r="P355" s="105" t="n"/>
      <c r="Q355" s="107" t="n"/>
      <c r="R355" s="105" t="n"/>
      <c r="S355" s="107" t="n"/>
      <c r="T355" s="108">
        <f>IFERROR(L355+M355+N355+O355,0)</f>
        <v/>
      </c>
      <c r="U355" s="108">
        <f>IFERROR(H355+IFERROR(I355,0)+T355+IFERROR(AH355,0),0)</f>
        <v/>
      </c>
      <c r="V355" s="256" t="n"/>
      <c r="W355" s="257" t="n"/>
      <c r="X355" s="256" t="n"/>
      <c r="Y355" s="258" t="n"/>
      <c r="Z355" s="259" t="n"/>
      <c r="AA355" s="259" t="n"/>
      <c r="AB355" s="258" t="n"/>
      <c r="AC355" s="256" t="n"/>
      <c r="AD355" s="256" t="n"/>
      <c r="AE355" s="256" t="n"/>
      <c r="AF355" s="256" t="n"/>
      <c r="AG355" s="256" t="n"/>
      <c r="AH355" s="256">
        <f>IFERROR(IFERROR(V355,0)+IFERROR(AC355,0)+IFERROR(AD355,0)+IFERROR(AE355,0)+IFERROR(AF355,0)+IFERROR(AG355,0),0)</f>
        <v/>
      </c>
    </row>
    <row r="356" ht="15" customHeight="1" s="199">
      <c r="A356" s="104" t="n"/>
      <c r="B356" s="104" t="n"/>
      <c r="C356" s="104" t="n"/>
      <c r="D356" s="105" t="n"/>
      <c r="E356" s="105" t="n"/>
      <c r="F356" s="105" t="n"/>
      <c r="G356" s="106" t="n"/>
      <c r="H356" s="106" t="n"/>
      <c r="I356" s="106" t="n"/>
      <c r="J356" s="107" t="n"/>
      <c r="K356" s="105" t="n"/>
      <c r="L356" s="106" t="n"/>
      <c r="M356" s="106" t="n"/>
      <c r="N356" s="106" t="n"/>
      <c r="O356" s="106" t="n"/>
      <c r="P356" s="105" t="n"/>
      <c r="Q356" s="107" t="n"/>
      <c r="R356" s="105" t="n"/>
      <c r="S356" s="107" t="n"/>
      <c r="T356" s="108">
        <f>IFERROR(L356+M356+N356+O356,0)</f>
        <v/>
      </c>
      <c r="U356" s="108">
        <f>IFERROR(H356+IFERROR(I356,0)+T356+IFERROR(AH356,0),0)</f>
        <v/>
      </c>
      <c r="V356" s="256" t="n"/>
      <c r="W356" s="257" t="n"/>
      <c r="X356" s="256" t="n"/>
      <c r="Y356" s="258" t="n"/>
      <c r="Z356" s="259" t="n"/>
      <c r="AA356" s="259" t="n"/>
      <c r="AB356" s="258" t="n"/>
      <c r="AC356" s="256" t="n"/>
      <c r="AD356" s="256" t="n"/>
      <c r="AE356" s="256" t="n"/>
      <c r="AF356" s="256" t="n"/>
      <c r="AG356" s="256" t="n"/>
      <c r="AH356" s="256">
        <f>IFERROR(IFERROR(V356,0)+IFERROR(AC356,0)+IFERROR(AD356,0)+IFERROR(AE356,0)+IFERROR(AF356,0)+IFERROR(AG356,0),0)</f>
        <v/>
      </c>
    </row>
    <row r="357" ht="15" customHeight="1" s="199">
      <c r="A357" s="104" t="n"/>
      <c r="B357" s="104" t="n"/>
      <c r="C357" s="104" t="n"/>
      <c r="D357" s="105" t="n"/>
      <c r="E357" s="105" t="n"/>
      <c r="F357" s="105" t="n"/>
      <c r="G357" s="106" t="n"/>
      <c r="H357" s="106" t="n"/>
      <c r="I357" s="106" t="n"/>
      <c r="J357" s="107" t="n"/>
      <c r="K357" s="105" t="n"/>
      <c r="L357" s="106" t="n"/>
      <c r="M357" s="106" t="n"/>
      <c r="N357" s="106" t="n"/>
      <c r="O357" s="106" t="n"/>
      <c r="P357" s="105" t="n"/>
      <c r="Q357" s="107" t="n"/>
      <c r="R357" s="105" t="n"/>
      <c r="S357" s="107" t="n"/>
      <c r="T357" s="108">
        <f>IFERROR(L357+M357+N357+O357,0)</f>
        <v/>
      </c>
      <c r="U357" s="108">
        <f>IFERROR(H357+IFERROR(I357,0)+T357+IFERROR(AH357,0),0)</f>
        <v/>
      </c>
      <c r="V357" s="256" t="n"/>
      <c r="W357" s="257" t="n"/>
      <c r="X357" s="256" t="n"/>
      <c r="Y357" s="258" t="n"/>
      <c r="Z357" s="259" t="n"/>
      <c r="AA357" s="259" t="n"/>
      <c r="AB357" s="258" t="n"/>
      <c r="AC357" s="256" t="n"/>
      <c r="AD357" s="256" t="n"/>
      <c r="AE357" s="256" t="n"/>
      <c r="AF357" s="256" t="n"/>
      <c r="AG357" s="256" t="n"/>
      <c r="AH357" s="256">
        <f>IFERROR(IFERROR(V357,0)+IFERROR(AC357,0)+IFERROR(AD357,0)+IFERROR(AE357,0)+IFERROR(AF357,0)+IFERROR(AG357,0),0)</f>
        <v/>
      </c>
    </row>
    <row r="358" ht="15" customHeight="1" s="199">
      <c r="A358" s="104" t="n"/>
      <c r="B358" s="104" t="n"/>
      <c r="C358" s="104" t="n"/>
      <c r="D358" s="105" t="n"/>
      <c r="E358" s="105" t="n"/>
      <c r="F358" s="105" t="n"/>
      <c r="G358" s="106" t="n"/>
      <c r="H358" s="106" t="n"/>
      <c r="I358" s="106" t="n"/>
      <c r="J358" s="107" t="n"/>
      <c r="K358" s="105" t="n"/>
      <c r="L358" s="106" t="n"/>
      <c r="M358" s="106" t="n"/>
      <c r="N358" s="106" t="n"/>
      <c r="O358" s="106" t="n"/>
      <c r="P358" s="105" t="n"/>
      <c r="Q358" s="107" t="n"/>
      <c r="R358" s="105" t="n"/>
      <c r="S358" s="107" t="n"/>
      <c r="T358" s="108">
        <f>IFERROR(L358+M358+N358+O358,0)</f>
        <v/>
      </c>
      <c r="U358" s="108">
        <f>IFERROR(H358+IFERROR(I358,0)+T358+IFERROR(AH358,0),0)</f>
        <v/>
      </c>
      <c r="V358" s="256" t="n"/>
      <c r="W358" s="257" t="n"/>
      <c r="X358" s="256" t="n"/>
      <c r="Y358" s="258" t="n"/>
      <c r="Z358" s="259" t="n"/>
      <c r="AA358" s="259" t="n"/>
      <c r="AB358" s="258" t="n"/>
      <c r="AC358" s="256" t="n"/>
      <c r="AD358" s="256" t="n"/>
      <c r="AE358" s="256" t="n"/>
      <c r="AF358" s="256" t="n"/>
      <c r="AG358" s="256" t="n"/>
      <c r="AH358" s="256">
        <f>IFERROR(IFERROR(V358,0)+IFERROR(AC358,0)+IFERROR(AD358,0)+IFERROR(AE358,0)+IFERROR(AF358,0)+IFERROR(AG358,0),0)</f>
        <v/>
      </c>
    </row>
    <row r="359" ht="15" customHeight="1" s="199">
      <c r="A359" s="104" t="n"/>
      <c r="B359" s="104" t="n"/>
      <c r="C359" s="104" t="n"/>
      <c r="D359" s="105" t="n"/>
      <c r="E359" s="105" t="n"/>
      <c r="F359" s="105" t="n"/>
      <c r="G359" s="106" t="n"/>
      <c r="H359" s="106" t="n"/>
      <c r="I359" s="106" t="n"/>
      <c r="J359" s="107" t="n"/>
      <c r="K359" s="105" t="n"/>
      <c r="L359" s="106" t="n"/>
      <c r="M359" s="106" t="n"/>
      <c r="N359" s="106" t="n"/>
      <c r="O359" s="106" t="n"/>
      <c r="P359" s="105" t="n"/>
      <c r="Q359" s="107" t="n"/>
      <c r="R359" s="105" t="n"/>
      <c r="S359" s="107" t="n"/>
      <c r="T359" s="108">
        <f>IFERROR(L359+M359+N359+O359,0)</f>
        <v/>
      </c>
      <c r="U359" s="108">
        <f>IFERROR(H359+IFERROR(I359,0)+T359+IFERROR(AH359,0),0)</f>
        <v/>
      </c>
      <c r="V359" s="256" t="n"/>
      <c r="W359" s="257" t="n"/>
      <c r="X359" s="256" t="n"/>
      <c r="Y359" s="258" t="n"/>
      <c r="Z359" s="259" t="n"/>
      <c r="AA359" s="259" t="n"/>
      <c r="AB359" s="258" t="n"/>
      <c r="AC359" s="256" t="n"/>
      <c r="AD359" s="256" t="n"/>
      <c r="AE359" s="256" t="n"/>
      <c r="AF359" s="256" t="n"/>
      <c r="AG359" s="256" t="n"/>
      <c r="AH359" s="256">
        <f>IFERROR(IFERROR(V359,0)+IFERROR(AC359,0)+IFERROR(AD359,0)+IFERROR(AE359,0)+IFERROR(AF359,0)+IFERROR(AG359,0),0)</f>
        <v/>
      </c>
    </row>
    <row r="360" ht="15" customHeight="1" s="199">
      <c r="A360" s="104" t="n"/>
      <c r="B360" s="104" t="n"/>
      <c r="C360" s="104" t="n"/>
      <c r="D360" s="105" t="n"/>
      <c r="E360" s="105" t="n"/>
      <c r="F360" s="105" t="n"/>
      <c r="G360" s="106" t="n"/>
      <c r="H360" s="106" t="n"/>
      <c r="I360" s="106" t="n"/>
      <c r="J360" s="107" t="n"/>
      <c r="K360" s="105" t="n"/>
      <c r="L360" s="106" t="n"/>
      <c r="M360" s="106" t="n"/>
      <c r="N360" s="106" t="n"/>
      <c r="O360" s="106" t="n"/>
      <c r="P360" s="105" t="n"/>
      <c r="Q360" s="107" t="n"/>
      <c r="R360" s="105" t="n"/>
      <c r="S360" s="107" t="n"/>
      <c r="T360" s="108">
        <f>IFERROR(L360+M360+N360+O360,0)</f>
        <v/>
      </c>
      <c r="U360" s="108">
        <f>IFERROR(H360+IFERROR(I360,0)+T360+IFERROR(AH360,0),0)</f>
        <v/>
      </c>
      <c r="V360" s="256" t="n"/>
      <c r="W360" s="257" t="n"/>
      <c r="X360" s="256" t="n"/>
      <c r="Y360" s="258" t="n"/>
      <c r="Z360" s="259" t="n"/>
      <c r="AA360" s="259" t="n"/>
      <c r="AB360" s="258" t="n"/>
      <c r="AC360" s="256" t="n"/>
      <c r="AD360" s="256" t="n"/>
      <c r="AE360" s="256" t="n"/>
      <c r="AF360" s="256" t="n"/>
      <c r="AG360" s="256" t="n"/>
      <c r="AH360" s="256">
        <f>IFERROR(IFERROR(V360,0)+IFERROR(AC360,0)+IFERROR(AD360,0)+IFERROR(AE360,0)+IFERROR(AF360,0)+IFERROR(AG360,0),0)</f>
        <v/>
      </c>
    </row>
    <row r="361" ht="15" customHeight="1" s="199">
      <c r="A361" s="104" t="n"/>
      <c r="B361" s="104" t="n"/>
      <c r="C361" s="104" t="n"/>
      <c r="D361" s="105" t="n"/>
      <c r="E361" s="105" t="n"/>
      <c r="F361" s="105" t="n"/>
      <c r="G361" s="106" t="n"/>
      <c r="H361" s="106" t="n"/>
      <c r="I361" s="106" t="n"/>
      <c r="J361" s="107" t="n"/>
      <c r="K361" s="105" t="n"/>
      <c r="L361" s="106" t="n"/>
      <c r="M361" s="106" t="n"/>
      <c r="N361" s="106" t="n"/>
      <c r="O361" s="106" t="n"/>
      <c r="P361" s="105" t="n"/>
      <c r="Q361" s="107" t="n"/>
      <c r="R361" s="105" t="n"/>
      <c r="S361" s="107" t="n"/>
      <c r="T361" s="108">
        <f>IFERROR(L361+M361+N361+O361,0)</f>
        <v/>
      </c>
      <c r="U361" s="108">
        <f>IFERROR(H361+IFERROR(I361,0)+T361+IFERROR(AH361,0),0)</f>
        <v/>
      </c>
      <c r="V361" s="256" t="n"/>
      <c r="W361" s="257" t="n"/>
      <c r="X361" s="256" t="n"/>
      <c r="Y361" s="258" t="n"/>
      <c r="Z361" s="259" t="n"/>
      <c r="AA361" s="259" t="n"/>
      <c r="AB361" s="258" t="n"/>
      <c r="AC361" s="256" t="n"/>
      <c r="AD361" s="256" t="n"/>
      <c r="AE361" s="256" t="n"/>
      <c r="AF361" s="256" t="n"/>
      <c r="AG361" s="256" t="n"/>
      <c r="AH361" s="256">
        <f>IFERROR(IFERROR(V361,0)+IFERROR(AC361,0)+IFERROR(AD361,0)+IFERROR(AE361,0)+IFERROR(AF361,0)+IFERROR(AG361,0),0)</f>
        <v/>
      </c>
    </row>
    <row r="362" ht="15" customHeight="1" s="199">
      <c r="A362" s="104" t="n"/>
      <c r="B362" s="104" t="n"/>
      <c r="C362" s="104" t="n"/>
      <c r="D362" s="105" t="n"/>
      <c r="E362" s="105" t="n"/>
      <c r="F362" s="105" t="n"/>
      <c r="G362" s="106" t="n"/>
      <c r="H362" s="106" t="n"/>
      <c r="I362" s="106" t="n"/>
      <c r="J362" s="107" t="n"/>
      <c r="K362" s="105" t="n"/>
      <c r="L362" s="106" t="n"/>
      <c r="M362" s="106" t="n"/>
      <c r="N362" s="106" t="n"/>
      <c r="O362" s="106" t="n"/>
      <c r="P362" s="105" t="n"/>
      <c r="Q362" s="107" t="n"/>
      <c r="R362" s="105" t="n"/>
      <c r="S362" s="107" t="n"/>
      <c r="T362" s="108">
        <f>IFERROR(L362+M362+N362+O362,0)</f>
        <v/>
      </c>
      <c r="U362" s="108">
        <f>IFERROR(H362+IFERROR(I362,0)+T362+IFERROR(AH362,0),0)</f>
        <v/>
      </c>
      <c r="V362" s="256" t="n"/>
      <c r="W362" s="257" t="n"/>
      <c r="X362" s="256" t="n"/>
      <c r="Y362" s="258" t="n"/>
      <c r="Z362" s="259" t="n"/>
      <c r="AA362" s="259" t="n"/>
      <c r="AB362" s="258" t="n"/>
      <c r="AC362" s="256" t="n"/>
      <c r="AD362" s="256" t="n"/>
      <c r="AE362" s="256" t="n"/>
      <c r="AF362" s="256" t="n"/>
      <c r="AG362" s="256" t="n"/>
      <c r="AH362" s="256">
        <f>IFERROR(IFERROR(V362,0)+IFERROR(AC362,0)+IFERROR(AD362,0)+IFERROR(AE362,0)+IFERROR(AF362,0)+IFERROR(AG362,0),0)</f>
        <v/>
      </c>
    </row>
    <row r="363" ht="15" customHeight="1" s="199">
      <c r="A363" s="104" t="n"/>
      <c r="B363" s="104" t="n"/>
      <c r="C363" s="104" t="n"/>
      <c r="D363" s="105" t="n"/>
      <c r="E363" s="105" t="n"/>
      <c r="F363" s="105" t="n"/>
      <c r="G363" s="106" t="n"/>
      <c r="H363" s="106" t="n"/>
      <c r="I363" s="106" t="n"/>
      <c r="J363" s="107" t="n"/>
      <c r="K363" s="105" t="n"/>
      <c r="L363" s="106" t="n"/>
      <c r="M363" s="106" t="n"/>
      <c r="N363" s="106" t="n"/>
      <c r="O363" s="106" t="n"/>
      <c r="P363" s="105" t="n"/>
      <c r="Q363" s="107" t="n"/>
      <c r="R363" s="105" t="n"/>
      <c r="S363" s="107" t="n"/>
      <c r="T363" s="108">
        <f>IFERROR(L363+M363+N363+O363,0)</f>
        <v/>
      </c>
      <c r="U363" s="108">
        <f>IFERROR(H363+IFERROR(I363,0)+T363+IFERROR(AH363,0),0)</f>
        <v/>
      </c>
      <c r="V363" s="256" t="n"/>
      <c r="W363" s="257" t="n"/>
      <c r="X363" s="256" t="n"/>
      <c r="Y363" s="258" t="n"/>
      <c r="Z363" s="259" t="n"/>
      <c r="AA363" s="259" t="n"/>
      <c r="AB363" s="258" t="n"/>
      <c r="AC363" s="256" t="n"/>
      <c r="AD363" s="256" t="n"/>
      <c r="AE363" s="256" t="n"/>
      <c r="AF363" s="256" t="n"/>
      <c r="AG363" s="256" t="n"/>
      <c r="AH363" s="256">
        <f>IFERROR(IFERROR(V363,0)+IFERROR(AC363,0)+IFERROR(AD363,0)+IFERROR(AE363,0)+IFERROR(AF363,0)+IFERROR(AG363,0),0)</f>
        <v/>
      </c>
    </row>
    <row r="364" ht="15" customHeight="1" s="199">
      <c r="A364" s="104" t="n"/>
      <c r="B364" s="104" t="n"/>
      <c r="C364" s="104" t="n"/>
      <c r="D364" s="105" t="n"/>
      <c r="E364" s="105" t="n"/>
      <c r="F364" s="105" t="n"/>
      <c r="G364" s="106" t="n"/>
      <c r="H364" s="106" t="n"/>
      <c r="I364" s="106" t="n"/>
      <c r="J364" s="107" t="n"/>
      <c r="K364" s="105" t="n"/>
      <c r="L364" s="106" t="n"/>
      <c r="M364" s="106" t="n"/>
      <c r="N364" s="106" t="n"/>
      <c r="O364" s="106" t="n"/>
      <c r="P364" s="105" t="n"/>
      <c r="Q364" s="107" t="n"/>
      <c r="R364" s="105" t="n"/>
      <c r="S364" s="107" t="n"/>
      <c r="T364" s="108">
        <f>IFERROR(L364+M364+N364+O364,0)</f>
        <v/>
      </c>
      <c r="U364" s="108">
        <f>IFERROR(H364+IFERROR(I364,0)+T364+IFERROR(AH364,0),0)</f>
        <v/>
      </c>
      <c r="V364" s="256" t="n"/>
      <c r="W364" s="257" t="n"/>
      <c r="X364" s="256" t="n"/>
      <c r="Y364" s="258" t="n"/>
      <c r="Z364" s="259" t="n"/>
      <c r="AA364" s="259" t="n"/>
      <c r="AB364" s="258" t="n"/>
      <c r="AC364" s="256" t="n"/>
      <c r="AD364" s="256" t="n"/>
      <c r="AE364" s="256" t="n"/>
      <c r="AF364" s="256" t="n"/>
      <c r="AG364" s="256" t="n"/>
      <c r="AH364" s="256">
        <f>IFERROR(IFERROR(V364,0)+IFERROR(AC364,0)+IFERROR(AD364,0)+IFERROR(AE364,0)+IFERROR(AF364,0)+IFERROR(AG364,0),0)</f>
        <v/>
      </c>
    </row>
    <row r="365" ht="15" customHeight="1" s="199">
      <c r="A365" s="104" t="n"/>
      <c r="B365" s="104" t="n"/>
      <c r="C365" s="104" t="n"/>
      <c r="D365" s="105" t="n"/>
      <c r="E365" s="105" t="n"/>
      <c r="F365" s="105" t="n"/>
      <c r="G365" s="106" t="n"/>
      <c r="H365" s="106" t="n"/>
      <c r="I365" s="106" t="n"/>
      <c r="J365" s="107" t="n"/>
      <c r="K365" s="105" t="n"/>
      <c r="L365" s="106" t="n"/>
      <c r="M365" s="106" t="n"/>
      <c r="N365" s="106" t="n"/>
      <c r="O365" s="106" t="n"/>
      <c r="P365" s="105" t="n"/>
      <c r="Q365" s="107" t="n"/>
      <c r="R365" s="105" t="n"/>
      <c r="S365" s="107" t="n"/>
      <c r="T365" s="108">
        <f>IFERROR(L365+M365+N365+O365,0)</f>
        <v/>
      </c>
      <c r="U365" s="108">
        <f>IFERROR(H365+IFERROR(I365,0)+T365+IFERROR(AH365,0),0)</f>
        <v/>
      </c>
      <c r="V365" s="256" t="n"/>
      <c r="W365" s="257" t="n"/>
      <c r="X365" s="256" t="n"/>
      <c r="Y365" s="258" t="n"/>
      <c r="Z365" s="259" t="n"/>
      <c r="AA365" s="259" t="n"/>
      <c r="AB365" s="258" t="n"/>
      <c r="AC365" s="256" t="n"/>
      <c r="AD365" s="256" t="n"/>
      <c r="AE365" s="256" t="n"/>
      <c r="AF365" s="256" t="n"/>
      <c r="AG365" s="256" t="n"/>
      <c r="AH365" s="256">
        <f>IFERROR(IFERROR(V365,0)+IFERROR(AC365,0)+IFERROR(AD365,0)+IFERROR(AE365,0)+IFERROR(AF365,0)+IFERROR(AG365,0),0)</f>
        <v/>
      </c>
    </row>
    <row r="366" ht="15" customHeight="1" s="199">
      <c r="A366" s="104" t="n"/>
      <c r="B366" s="104" t="n"/>
      <c r="C366" s="104" t="n"/>
      <c r="D366" s="105" t="n"/>
      <c r="E366" s="105" t="n"/>
      <c r="F366" s="105" t="n"/>
      <c r="G366" s="106" t="n"/>
      <c r="H366" s="106" t="n"/>
      <c r="I366" s="106" t="n"/>
      <c r="J366" s="107" t="n"/>
      <c r="K366" s="105" t="n"/>
      <c r="L366" s="106" t="n"/>
      <c r="M366" s="106" t="n"/>
      <c r="N366" s="106" t="n"/>
      <c r="O366" s="106" t="n"/>
      <c r="P366" s="105" t="n"/>
      <c r="Q366" s="107" t="n"/>
      <c r="R366" s="105" t="n"/>
      <c r="S366" s="107" t="n"/>
      <c r="T366" s="108">
        <f>IFERROR(L366+M366+N366+O366,0)</f>
        <v/>
      </c>
      <c r="U366" s="108">
        <f>IFERROR(H366+IFERROR(I366,0)+T366+IFERROR(AH366,0),0)</f>
        <v/>
      </c>
      <c r="V366" s="256" t="n"/>
      <c r="W366" s="257" t="n"/>
      <c r="X366" s="256" t="n"/>
      <c r="Y366" s="258" t="n"/>
      <c r="Z366" s="259" t="n"/>
      <c r="AA366" s="259" t="n"/>
      <c r="AB366" s="258" t="n"/>
      <c r="AC366" s="256" t="n"/>
      <c r="AD366" s="256" t="n"/>
      <c r="AE366" s="256" t="n"/>
      <c r="AF366" s="256" t="n"/>
      <c r="AG366" s="256" t="n"/>
      <c r="AH366" s="256">
        <f>IFERROR(IFERROR(V366,0)+IFERROR(AC366,0)+IFERROR(AD366,0)+IFERROR(AE366,0)+IFERROR(AF366,0)+IFERROR(AG366,0),0)</f>
        <v/>
      </c>
    </row>
    <row r="367" ht="15" customHeight="1" s="199">
      <c r="A367" s="104" t="n"/>
      <c r="B367" s="104" t="n"/>
      <c r="C367" s="104" t="n"/>
      <c r="D367" s="105" t="n"/>
      <c r="E367" s="105" t="n"/>
      <c r="F367" s="105" t="n"/>
      <c r="G367" s="106" t="n"/>
      <c r="H367" s="106" t="n"/>
      <c r="I367" s="106" t="n"/>
      <c r="J367" s="107" t="n"/>
      <c r="K367" s="105" t="n"/>
      <c r="L367" s="106" t="n"/>
      <c r="M367" s="106" t="n"/>
      <c r="N367" s="106" t="n"/>
      <c r="O367" s="106" t="n"/>
      <c r="P367" s="105" t="n"/>
      <c r="Q367" s="107" t="n"/>
      <c r="R367" s="105" t="n"/>
      <c r="S367" s="107" t="n"/>
      <c r="T367" s="108">
        <f>IFERROR(L367+M367+N367+O367,0)</f>
        <v/>
      </c>
      <c r="U367" s="108">
        <f>IFERROR(H367+IFERROR(I367,0)+T367+IFERROR(AH367,0),0)</f>
        <v/>
      </c>
      <c r="V367" s="256" t="n"/>
      <c r="W367" s="257" t="n"/>
      <c r="X367" s="256" t="n"/>
      <c r="Y367" s="258" t="n"/>
      <c r="Z367" s="259" t="n"/>
      <c r="AA367" s="259" t="n"/>
      <c r="AB367" s="258" t="n"/>
      <c r="AC367" s="256" t="n"/>
      <c r="AD367" s="256" t="n"/>
      <c r="AE367" s="256" t="n"/>
      <c r="AF367" s="256" t="n"/>
      <c r="AG367" s="256" t="n"/>
      <c r="AH367" s="256">
        <f>IFERROR(IFERROR(V367,0)+IFERROR(AC367,0)+IFERROR(AD367,0)+IFERROR(AE367,0)+IFERROR(AF367,0)+IFERROR(AG367,0),0)</f>
        <v/>
      </c>
    </row>
    <row r="368" ht="15" customHeight="1" s="199">
      <c r="A368" s="104" t="n"/>
      <c r="B368" s="104" t="n"/>
      <c r="C368" s="104" t="n"/>
      <c r="D368" s="105" t="n"/>
      <c r="E368" s="105" t="n"/>
      <c r="F368" s="105" t="n"/>
      <c r="G368" s="106" t="n"/>
      <c r="H368" s="106" t="n"/>
      <c r="I368" s="106" t="n"/>
      <c r="J368" s="107" t="n"/>
      <c r="K368" s="105" t="n"/>
      <c r="L368" s="106" t="n"/>
      <c r="M368" s="106" t="n"/>
      <c r="N368" s="106" t="n"/>
      <c r="O368" s="106" t="n"/>
      <c r="P368" s="105" t="n"/>
      <c r="Q368" s="107" t="n"/>
      <c r="R368" s="105" t="n"/>
      <c r="S368" s="107" t="n"/>
      <c r="T368" s="108">
        <f>IFERROR(L368+M368+N368+O368,0)</f>
        <v/>
      </c>
      <c r="U368" s="108">
        <f>IFERROR(H368+IFERROR(I368,0)+T368+IFERROR(AH368,0),0)</f>
        <v/>
      </c>
      <c r="V368" s="256" t="n"/>
      <c r="W368" s="257" t="n"/>
      <c r="X368" s="256" t="n"/>
      <c r="Y368" s="258" t="n"/>
      <c r="Z368" s="259" t="n"/>
      <c r="AA368" s="259" t="n"/>
      <c r="AB368" s="258" t="n"/>
      <c r="AC368" s="256" t="n"/>
      <c r="AD368" s="256" t="n"/>
      <c r="AE368" s="256" t="n"/>
      <c r="AF368" s="256" t="n"/>
      <c r="AG368" s="256" t="n"/>
      <c r="AH368" s="256">
        <f>IFERROR(IFERROR(V368,0)+IFERROR(AC368,0)+IFERROR(AD368,0)+IFERROR(AE368,0)+IFERROR(AF368,0)+IFERROR(AG368,0),0)</f>
        <v/>
      </c>
    </row>
    <row r="369" ht="15" customHeight="1" s="199">
      <c r="A369" s="104" t="n"/>
      <c r="B369" s="104" t="n"/>
      <c r="C369" s="104" t="n"/>
      <c r="D369" s="105" t="n"/>
      <c r="E369" s="105" t="n"/>
      <c r="F369" s="105" t="n"/>
      <c r="G369" s="106" t="n"/>
      <c r="H369" s="106" t="n"/>
      <c r="I369" s="106" t="n"/>
      <c r="J369" s="107" t="n"/>
      <c r="K369" s="105" t="n"/>
      <c r="L369" s="106" t="n"/>
      <c r="M369" s="106" t="n"/>
      <c r="N369" s="106" t="n"/>
      <c r="O369" s="106" t="n"/>
      <c r="P369" s="105" t="n"/>
      <c r="Q369" s="107" t="n"/>
      <c r="R369" s="105" t="n"/>
      <c r="S369" s="107" t="n"/>
      <c r="T369" s="108">
        <f>IFERROR(L369+M369+N369+O369,0)</f>
        <v/>
      </c>
      <c r="U369" s="108">
        <f>IFERROR(H369+IFERROR(I369,0)+T369+IFERROR(AH369,0),0)</f>
        <v/>
      </c>
      <c r="V369" s="256" t="n"/>
      <c r="W369" s="257" t="n"/>
      <c r="X369" s="256" t="n"/>
      <c r="Y369" s="258" t="n"/>
      <c r="Z369" s="259" t="n"/>
      <c r="AA369" s="259" t="n"/>
      <c r="AB369" s="258" t="n"/>
      <c r="AC369" s="256" t="n"/>
      <c r="AD369" s="256" t="n"/>
      <c r="AE369" s="256" t="n"/>
      <c r="AF369" s="256" t="n"/>
      <c r="AG369" s="256" t="n"/>
      <c r="AH369" s="256">
        <f>IFERROR(IFERROR(V369,0)+IFERROR(AC369,0)+IFERROR(AD369,0)+IFERROR(AE369,0)+IFERROR(AF369,0)+IFERROR(AG369,0),0)</f>
        <v/>
      </c>
    </row>
    <row r="370" ht="15" customHeight="1" s="199">
      <c r="A370" s="104" t="n"/>
      <c r="B370" s="104" t="n"/>
      <c r="C370" s="104" t="n"/>
      <c r="D370" s="105" t="n"/>
      <c r="E370" s="105" t="n"/>
      <c r="F370" s="105" t="n"/>
      <c r="G370" s="106" t="n"/>
      <c r="H370" s="106" t="n"/>
      <c r="I370" s="106" t="n"/>
      <c r="J370" s="107" t="n"/>
      <c r="K370" s="105" t="n"/>
      <c r="L370" s="106" t="n"/>
      <c r="M370" s="106" t="n"/>
      <c r="N370" s="106" t="n"/>
      <c r="O370" s="106" t="n"/>
      <c r="P370" s="105" t="n"/>
      <c r="Q370" s="107" t="n"/>
      <c r="R370" s="105" t="n"/>
      <c r="S370" s="107" t="n"/>
      <c r="T370" s="108">
        <f>IFERROR(L370+M370+N370+O370,0)</f>
        <v/>
      </c>
      <c r="U370" s="108">
        <f>IFERROR(H370+IFERROR(I370,0)+T370+IFERROR(AH370,0),0)</f>
        <v/>
      </c>
      <c r="V370" s="256" t="n"/>
      <c r="W370" s="257" t="n"/>
      <c r="X370" s="256" t="n"/>
      <c r="Y370" s="258" t="n"/>
      <c r="Z370" s="259" t="n"/>
      <c r="AA370" s="259" t="n"/>
      <c r="AB370" s="258" t="n"/>
      <c r="AC370" s="256" t="n"/>
      <c r="AD370" s="256" t="n"/>
      <c r="AE370" s="256" t="n"/>
      <c r="AF370" s="256" t="n"/>
      <c r="AG370" s="256" t="n"/>
      <c r="AH370" s="256">
        <f>IFERROR(IFERROR(V370,0)+IFERROR(AC370,0)+IFERROR(AD370,0)+IFERROR(AE370,0)+IFERROR(AF370,0)+IFERROR(AG370,0),0)</f>
        <v/>
      </c>
    </row>
    <row r="371" ht="15" customHeight="1" s="199">
      <c r="A371" s="104" t="n"/>
      <c r="B371" s="104" t="n"/>
      <c r="C371" s="104" t="n"/>
      <c r="D371" s="105" t="n"/>
      <c r="E371" s="105" t="n"/>
      <c r="F371" s="105" t="n"/>
      <c r="G371" s="106" t="n"/>
      <c r="H371" s="106" t="n"/>
      <c r="I371" s="106" t="n"/>
      <c r="J371" s="107" t="n"/>
      <c r="K371" s="105" t="n"/>
      <c r="L371" s="106" t="n"/>
      <c r="M371" s="106" t="n"/>
      <c r="N371" s="106" t="n"/>
      <c r="O371" s="106" t="n"/>
      <c r="P371" s="105" t="n"/>
      <c r="Q371" s="107" t="n"/>
      <c r="R371" s="105" t="n"/>
      <c r="S371" s="107" t="n"/>
      <c r="T371" s="108">
        <f>IFERROR(L371+M371+N371+O371,0)</f>
        <v/>
      </c>
      <c r="U371" s="108">
        <f>IFERROR(H371+IFERROR(I371,0)+T371+IFERROR(AH371,0),0)</f>
        <v/>
      </c>
      <c r="V371" s="256" t="n"/>
      <c r="W371" s="257" t="n"/>
      <c r="X371" s="256" t="n"/>
      <c r="Y371" s="258" t="n"/>
      <c r="Z371" s="259" t="n"/>
      <c r="AA371" s="259" t="n"/>
      <c r="AB371" s="258" t="n"/>
      <c r="AC371" s="256" t="n"/>
      <c r="AD371" s="256" t="n"/>
      <c r="AE371" s="256" t="n"/>
      <c r="AF371" s="256" t="n"/>
      <c r="AG371" s="256" t="n"/>
      <c r="AH371" s="256">
        <f>IFERROR(IFERROR(V371,0)+IFERROR(AC371,0)+IFERROR(AD371,0)+IFERROR(AE371,0)+IFERROR(AF371,0)+IFERROR(AG371,0),0)</f>
        <v/>
      </c>
    </row>
    <row r="372" ht="15" customHeight="1" s="199">
      <c r="A372" s="104" t="n"/>
      <c r="B372" s="104" t="n"/>
      <c r="C372" s="104" t="n"/>
      <c r="D372" s="105" t="n"/>
      <c r="E372" s="105" t="n"/>
      <c r="F372" s="105" t="n"/>
      <c r="G372" s="106" t="n"/>
      <c r="H372" s="106" t="n"/>
      <c r="I372" s="106" t="n"/>
      <c r="J372" s="107" t="n"/>
      <c r="K372" s="105" t="n"/>
      <c r="L372" s="106" t="n"/>
      <c r="M372" s="106" t="n"/>
      <c r="N372" s="106" t="n"/>
      <c r="O372" s="106" t="n"/>
      <c r="P372" s="105" t="n"/>
      <c r="Q372" s="107" t="n"/>
      <c r="R372" s="105" t="n"/>
      <c r="S372" s="107" t="n"/>
      <c r="T372" s="108">
        <f>IFERROR(L372+M372+N372+O372,0)</f>
        <v/>
      </c>
      <c r="U372" s="108">
        <f>IFERROR(H372+IFERROR(I372,0)+T372+IFERROR(AH372,0),0)</f>
        <v/>
      </c>
      <c r="V372" s="256" t="n"/>
      <c r="W372" s="257" t="n"/>
      <c r="X372" s="256" t="n"/>
      <c r="Y372" s="258" t="n"/>
      <c r="Z372" s="259" t="n"/>
      <c r="AA372" s="259" t="n"/>
      <c r="AB372" s="258" t="n"/>
      <c r="AC372" s="256" t="n"/>
      <c r="AD372" s="256" t="n"/>
      <c r="AE372" s="256" t="n"/>
      <c r="AF372" s="256" t="n"/>
      <c r="AG372" s="256" t="n"/>
      <c r="AH372" s="256">
        <f>IFERROR(IFERROR(V372,0)+IFERROR(AC372,0)+IFERROR(AD372,0)+IFERROR(AE372,0)+IFERROR(AF372,0)+IFERROR(AG372,0),0)</f>
        <v/>
      </c>
    </row>
    <row r="373" ht="15" customHeight="1" s="199">
      <c r="A373" s="104" t="n"/>
      <c r="B373" s="104" t="n"/>
      <c r="C373" s="104" t="n"/>
      <c r="D373" s="105" t="n"/>
      <c r="E373" s="105" t="n"/>
      <c r="F373" s="105" t="n"/>
      <c r="G373" s="106" t="n"/>
      <c r="H373" s="106" t="n"/>
      <c r="I373" s="106" t="n"/>
      <c r="J373" s="107" t="n"/>
      <c r="K373" s="105" t="n"/>
      <c r="L373" s="106" t="n"/>
      <c r="M373" s="106" t="n"/>
      <c r="N373" s="106" t="n"/>
      <c r="O373" s="106" t="n"/>
      <c r="P373" s="105" t="n"/>
      <c r="Q373" s="107" t="n"/>
      <c r="R373" s="105" t="n"/>
      <c r="S373" s="107" t="n"/>
      <c r="T373" s="108">
        <f>IFERROR(L373+M373+N373+O373,0)</f>
        <v/>
      </c>
      <c r="U373" s="108">
        <f>IFERROR(H373+IFERROR(I373,0)+T373+IFERROR(AH373,0),0)</f>
        <v/>
      </c>
      <c r="V373" s="256" t="n"/>
      <c r="W373" s="257" t="n"/>
      <c r="X373" s="256" t="n"/>
      <c r="Y373" s="258" t="n"/>
      <c r="Z373" s="259" t="n"/>
      <c r="AA373" s="259" t="n"/>
      <c r="AB373" s="258" t="n"/>
      <c r="AC373" s="256" t="n"/>
      <c r="AD373" s="256" t="n"/>
      <c r="AE373" s="256" t="n"/>
      <c r="AF373" s="256" t="n"/>
      <c r="AG373" s="256" t="n"/>
      <c r="AH373" s="256">
        <f>IFERROR(IFERROR(V373,0)+IFERROR(AC373,0)+IFERROR(AD373,0)+IFERROR(AE373,0)+IFERROR(AF373,0)+IFERROR(AG373,0),0)</f>
        <v/>
      </c>
    </row>
    <row r="374" ht="15" customHeight="1" s="199">
      <c r="A374" s="104" t="n"/>
      <c r="B374" s="104" t="n"/>
      <c r="C374" s="104" t="n"/>
      <c r="D374" s="105" t="n"/>
      <c r="E374" s="105" t="n"/>
      <c r="F374" s="105" t="n"/>
      <c r="G374" s="106" t="n"/>
      <c r="H374" s="106" t="n"/>
      <c r="I374" s="106" t="n"/>
      <c r="J374" s="107" t="n"/>
      <c r="K374" s="105" t="n"/>
      <c r="L374" s="106" t="n"/>
      <c r="M374" s="106" t="n"/>
      <c r="N374" s="106" t="n"/>
      <c r="O374" s="106" t="n"/>
      <c r="P374" s="105" t="n"/>
      <c r="Q374" s="107" t="n"/>
      <c r="R374" s="105" t="n"/>
      <c r="S374" s="107" t="n"/>
      <c r="T374" s="108">
        <f>IFERROR(L374+M374+N374+O374,0)</f>
        <v/>
      </c>
      <c r="U374" s="108">
        <f>IFERROR(H374+IFERROR(I374,0)+T374+IFERROR(AH374,0),0)</f>
        <v/>
      </c>
      <c r="V374" s="256" t="n"/>
      <c r="W374" s="257" t="n"/>
      <c r="X374" s="256" t="n"/>
      <c r="Y374" s="258" t="n"/>
      <c r="Z374" s="259" t="n"/>
      <c r="AA374" s="259" t="n"/>
      <c r="AB374" s="258" t="n"/>
      <c r="AC374" s="256" t="n"/>
      <c r="AD374" s="256" t="n"/>
      <c r="AE374" s="256" t="n"/>
      <c r="AF374" s="256" t="n"/>
      <c r="AG374" s="256" t="n"/>
      <c r="AH374" s="256">
        <f>IFERROR(IFERROR(V374,0)+IFERROR(AC374,0)+IFERROR(AD374,0)+IFERROR(AE374,0)+IFERROR(AF374,0)+IFERROR(AG374,0),0)</f>
        <v/>
      </c>
    </row>
    <row r="375" ht="15" customHeight="1" s="199">
      <c r="A375" s="104" t="n"/>
      <c r="B375" s="104" t="n"/>
      <c r="C375" s="104" t="n"/>
      <c r="D375" s="105" t="n"/>
      <c r="E375" s="105" t="n"/>
      <c r="F375" s="105" t="n"/>
      <c r="G375" s="106" t="n"/>
      <c r="H375" s="106" t="n"/>
      <c r="I375" s="106" t="n"/>
      <c r="J375" s="107" t="n"/>
      <c r="K375" s="105" t="n"/>
      <c r="L375" s="106" t="n"/>
      <c r="M375" s="106" t="n"/>
      <c r="N375" s="106" t="n"/>
      <c r="O375" s="106" t="n"/>
      <c r="P375" s="105" t="n"/>
      <c r="Q375" s="107" t="n"/>
      <c r="R375" s="105" t="n"/>
      <c r="S375" s="107" t="n"/>
      <c r="T375" s="108">
        <f>IFERROR(L375+M375+N375+O375,0)</f>
        <v/>
      </c>
      <c r="U375" s="108">
        <f>IFERROR(H375+IFERROR(I375,0)+T375+IFERROR(AH375,0),0)</f>
        <v/>
      </c>
      <c r="V375" s="256" t="n"/>
      <c r="W375" s="257" t="n"/>
      <c r="X375" s="256" t="n"/>
      <c r="Y375" s="258" t="n"/>
      <c r="Z375" s="259" t="n"/>
      <c r="AA375" s="259" t="n"/>
      <c r="AB375" s="258" t="n"/>
      <c r="AC375" s="256" t="n"/>
      <c r="AD375" s="256" t="n"/>
      <c r="AE375" s="256" t="n"/>
      <c r="AF375" s="256" t="n"/>
      <c r="AG375" s="256" t="n"/>
      <c r="AH375" s="256">
        <f>IFERROR(IFERROR(V375,0)+IFERROR(AC375,0)+IFERROR(AD375,0)+IFERROR(AE375,0)+IFERROR(AF375,0)+IFERROR(AG375,0),0)</f>
        <v/>
      </c>
    </row>
    <row r="376" ht="15" customHeight="1" s="199">
      <c r="A376" s="104" t="n"/>
      <c r="B376" s="104" t="n"/>
      <c r="C376" s="104" t="n"/>
      <c r="D376" s="105" t="n"/>
      <c r="E376" s="105" t="n"/>
      <c r="F376" s="105" t="n"/>
      <c r="G376" s="106" t="n"/>
      <c r="H376" s="106" t="n"/>
      <c r="I376" s="106" t="n"/>
      <c r="J376" s="107" t="n"/>
      <c r="K376" s="105" t="n"/>
      <c r="L376" s="106" t="n"/>
      <c r="M376" s="106" t="n"/>
      <c r="N376" s="106" t="n"/>
      <c r="O376" s="106" t="n"/>
      <c r="P376" s="105" t="n"/>
      <c r="Q376" s="107" t="n"/>
      <c r="R376" s="105" t="n"/>
      <c r="S376" s="107" t="n"/>
      <c r="T376" s="108">
        <f>IFERROR(L376+M376+N376+O376,0)</f>
        <v/>
      </c>
      <c r="U376" s="108">
        <f>IFERROR(H376+IFERROR(I376,0)+T376+IFERROR(AH376,0),0)</f>
        <v/>
      </c>
      <c r="V376" s="256" t="n"/>
      <c r="W376" s="257" t="n"/>
      <c r="X376" s="256" t="n"/>
      <c r="Y376" s="258" t="n"/>
      <c r="Z376" s="259" t="n"/>
      <c r="AA376" s="259" t="n"/>
      <c r="AB376" s="258" t="n"/>
      <c r="AC376" s="256" t="n"/>
      <c r="AD376" s="256" t="n"/>
      <c r="AE376" s="256" t="n"/>
      <c r="AF376" s="256" t="n"/>
      <c r="AG376" s="256" t="n"/>
      <c r="AH376" s="256">
        <f>IFERROR(IFERROR(V376,0)+IFERROR(AC376,0)+IFERROR(AD376,0)+IFERROR(AE376,0)+IFERROR(AF376,0)+IFERROR(AG376,0),0)</f>
        <v/>
      </c>
    </row>
    <row r="377" ht="15" customHeight="1" s="199">
      <c r="A377" s="104" t="n"/>
      <c r="B377" s="104" t="n"/>
      <c r="C377" s="104" t="n"/>
      <c r="D377" s="105" t="n"/>
      <c r="E377" s="105" t="n"/>
      <c r="F377" s="105" t="n"/>
      <c r="G377" s="106" t="n"/>
      <c r="H377" s="106" t="n"/>
      <c r="I377" s="106" t="n"/>
      <c r="J377" s="107" t="n"/>
      <c r="K377" s="105" t="n"/>
      <c r="L377" s="106" t="n"/>
      <c r="M377" s="106" t="n"/>
      <c r="N377" s="106" t="n"/>
      <c r="O377" s="106" t="n"/>
      <c r="P377" s="105" t="n"/>
      <c r="Q377" s="107" t="n"/>
      <c r="R377" s="105" t="n"/>
      <c r="S377" s="107" t="n"/>
      <c r="T377" s="108">
        <f>IFERROR(L377+M377+N377+O377,0)</f>
        <v/>
      </c>
      <c r="U377" s="108">
        <f>IFERROR(H377+IFERROR(I377,0)+T377+IFERROR(AH377,0),0)</f>
        <v/>
      </c>
      <c r="V377" s="256" t="n"/>
      <c r="W377" s="257" t="n"/>
      <c r="X377" s="256" t="n"/>
      <c r="Y377" s="258" t="n"/>
      <c r="Z377" s="259" t="n"/>
      <c r="AA377" s="259" t="n"/>
      <c r="AB377" s="258" t="n"/>
      <c r="AC377" s="256" t="n"/>
      <c r="AD377" s="256" t="n"/>
      <c r="AE377" s="256" t="n"/>
      <c r="AF377" s="256" t="n"/>
      <c r="AG377" s="256" t="n"/>
      <c r="AH377" s="256">
        <f>IFERROR(IFERROR(V377,0)+IFERROR(AC377,0)+IFERROR(AD377,0)+IFERROR(AE377,0)+IFERROR(AF377,0)+IFERROR(AG377,0),0)</f>
        <v/>
      </c>
    </row>
    <row r="378" ht="15" customHeight="1" s="199">
      <c r="A378" s="104" t="n"/>
      <c r="B378" s="104" t="n"/>
      <c r="C378" s="104" t="n"/>
      <c r="D378" s="105" t="n"/>
      <c r="E378" s="105" t="n"/>
      <c r="F378" s="105" t="n"/>
      <c r="G378" s="106" t="n"/>
      <c r="H378" s="106" t="n"/>
      <c r="I378" s="106" t="n"/>
      <c r="J378" s="107" t="n"/>
      <c r="K378" s="105" t="n"/>
      <c r="L378" s="106" t="n"/>
      <c r="M378" s="106" t="n"/>
      <c r="N378" s="106" t="n"/>
      <c r="O378" s="106" t="n"/>
      <c r="P378" s="105" t="n"/>
      <c r="Q378" s="107" t="n"/>
      <c r="R378" s="105" t="n"/>
      <c r="S378" s="107" t="n"/>
      <c r="T378" s="108">
        <f>IFERROR(L378+M378+N378+O378,0)</f>
        <v/>
      </c>
      <c r="U378" s="108">
        <f>IFERROR(H378+IFERROR(I378,0)+T378+IFERROR(AH378,0),0)</f>
        <v/>
      </c>
      <c r="V378" s="256" t="n"/>
      <c r="W378" s="257" t="n"/>
      <c r="X378" s="256" t="n"/>
      <c r="Y378" s="258" t="n"/>
      <c r="Z378" s="259" t="n"/>
      <c r="AA378" s="259" t="n"/>
      <c r="AB378" s="258" t="n"/>
      <c r="AC378" s="256" t="n"/>
      <c r="AD378" s="256" t="n"/>
      <c r="AE378" s="256" t="n"/>
      <c r="AF378" s="256" t="n"/>
      <c r="AG378" s="256" t="n"/>
      <c r="AH378" s="256">
        <f>IFERROR(IFERROR(V378,0)+IFERROR(AC378,0)+IFERROR(AD378,0)+IFERROR(AE378,0)+IFERROR(AF378,0)+IFERROR(AG378,0),0)</f>
        <v/>
      </c>
    </row>
    <row r="379" ht="15" customHeight="1" s="199">
      <c r="A379" s="104" t="n"/>
      <c r="B379" s="104" t="n"/>
      <c r="C379" s="104" t="n"/>
      <c r="D379" s="105" t="n"/>
      <c r="E379" s="105" t="n"/>
      <c r="F379" s="105" t="n"/>
      <c r="G379" s="106" t="n"/>
      <c r="H379" s="106" t="n"/>
      <c r="I379" s="106" t="n"/>
      <c r="J379" s="107" t="n"/>
      <c r="K379" s="105" t="n"/>
      <c r="L379" s="106" t="n"/>
      <c r="M379" s="106" t="n"/>
      <c r="N379" s="106" t="n"/>
      <c r="O379" s="106" t="n"/>
      <c r="P379" s="105" t="n"/>
      <c r="Q379" s="107" t="n"/>
      <c r="R379" s="105" t="n"/>
      <c r="S379" s="107" t="n"/>
      <c r="T379" s="108">
        <f>IFERROR(L379+M379+N379+O379,0)</f>
        <v/>
      </c>
      <c r="U379" s="108">
        <f>IFERROR(H379+IFERROR(I379,0)+T379+IFERROR(AH379,0),0)</f>
        <v/>
      </c>
      <c r="V379" s="256" t="n"/>
      <c r="W379" s="257" t="n"/>
      <c r="X379" s="256" t="n"/>
      <c r="Y379" s="258" t="n"/>
      <c r="Z379" s="259" t="n"/>
      <c r="AA379" s="259" t="n"/>
      <c r="AB379" s="258" t="n"/>
      <c r="AC379" s="256" t="n"/>
      <c r="AD379" s="256" t="n"/>
      <c r="AE379" s="256" t="n"/>
      <c r="AF379" s="256" t="n"/>
      <c r="AG379" s="256" t="n"/>
      <c r="AH379" s="256">
        <f>IFERROR(IFERROR(V379,0)+IFERROR(AC379,0)+IFERROR(AD379,0)+IFERROR(AE379,0)+IFERROR(AF379,0)+IFERROR(AG379,0),0)</f>
        <v/>
      </c>
    </row>
    <row r="380" ht="15" customHeight="1" s="199">
      <c r="A380" s="104" t="n"/>
      <c r="B380" s="104" t="n"/>
      <c r="C380" s="104" t="n"/>
      <c r="D380" s="105" t="n"/>
      <c r="E380" s="105" t="n"/>
      <c r="F380" s="105" t="n"/>
      <c r="G380" s="106" t="n"/>
      <c r="H380" s="106" t="n"/>
      <c r="I380" s="106" t="n"/>
      <c r="J380" s="107" t="n"/>
      <c r="K380" s="105" t="n"/>
      <c r="L380" s="106" t="n"/>
      <c r="M380" s="106" t="n"/>
      <c r="N380" s="106" t="n"/>
      <c r="O380" s="106" t="n"/>
      <c r="P380" s="105" t="n"/>
      <c r="Q380" s="107" t="n"/>
      <c r="R380" s="105" t="n"/>
      <c r="S380" s="107" t="n"/>
      <c r="T380" s="108">
        <f>IFERROR(L380+M380+N380+O380,0)</f>
        <v/>
      </c>
      <c r="U380" s="108">
        <f>IFERROR(H380+IFERROR(I380,0)+T380+IFERROR(AH380,0),0)</f>
        <v/>
      </c>
      <c r="V380" s="256" t="n"/>
      <c r="W380" s="257" t="n"/>
      <c r="X380" s="256" t="n"/>
      <c r="Y380" s="258" t="n"/>
      <c r="Z380" s="259" t="n"/>
      <c r="AA380" s="259" t="n"/>
      <c r="AB380" s="258" t="n"/>
      <c r="AC380" s="256" t="n"/>
      <c r="AD380" s="256" t="n"/>
      <c r="AE380" s="256" t="n"/>
      <c r="AF380" s="256" t="n"/>
      <c r="AG380" s="256" t="n"/>
      <c r="AH380" s="256">
        <f>IFERROR(IFERROR(V380,0)+IFERROR(AC380,0)+IFERROR(AD380,0)+IFERROR(AE380,0)+IFERROR(AF380,0)+IFERROR(AG380,0),0)</f>
        <v/>
      </c>
    </row>
    <row r="381" ht="15" customHeight="1" s="199">
      <c r="A381" s="104" t="n"/>
      <c r="B381" s="104" t="n"/>
      <c r="C381" s="104" t="n"/>
      <c r="D381" s="105" t="n"/>
      <c r="E381" s="105" t="n"/>
      <c r="F381" s="105" t="n"/>
      <c r="G381" s="106" t="n"/>
      <c r="H381" s="106" t="n"/>
      <c r="I381" s="106" t="n"/>
      <c r="J381" s="107" t="n"/>
      <c r="K381" s="105" t="n"/>
      <c r="L381" s="106" t="n"/>
      <c r="M381" s="106" t="n"/>
      <c r="N381" s="106" t="n"/>
      <c r="O381" s="106" t="n"/>
      <c r="P381" s="105" t="n"/>
      <c r="Q381" s="107" t="n"/>
      <c r="R381" s="105" t="n"/>
      <c r="S381" s="107" t="n"/>
      <c r="T381" s="108">
        <f>IFERROR(L381+M381+N381+O381,0)</f>
        <v/>
      </c>
      <c r="U381" s="108">
        <f>IFERROR(H381+IFERROR(I381,0)+T381+IFERROR(AH381,0),0)</f>
        <v/>
      </c>
      <c r="V381" s="256" t="n"/>
      <c r="W381" s="257" t="n"/>
      <c r="X381" s="256" t="n"/>
      <c r="Y381" s="258" t="n"/>
      <c r="Z381" s="259" t="n"/>
      <c r="AA381" s="259" t="n"/>
      <c r="AB381" s="258" t="n"/>
      <c r="AC381" s="256" t="n"/>
      <c r="AD381" s="256" t="n"/>
      <c r="AE381" s="256" t="n"/>
      <c r="AF381" s="256" t="n"/>
      <c r="AG381" s="256" t="n"/>
      <c r="AH381" s="256">
        <f>IFERROR(IFERROR(V381,0)+IFERROR(AC381,0)+IFERROR(AD381,0)+IFERROR(AE381,0)+IFERROR(AF381,0)+IFERROR(AG381,0),0)</f>
        <v/>
      </c>
    </row>
    <row r="382" ht="15" customHeight="1" s="199">
      <c r="A382" s="104" t="n"/>
      <c r="B382" s="104" t="n"/>
      <c r="C382" s="104" t="n"/>
      <c r="D382" s="105" t="n"/>
      <c r="E382" s="105" t="n"/>
      <c r="F382" s="105" t="n"/>
      <c r="G382" s="106" t="n"/>
      <c r="H382" s="106" t="n"/>
      <c r="I382" s="106" t="n"/>
      <c r="J382" s="107" t="n"/>
      <c r="K382" s="105" t="n"/>
      <c r="L382" s="106" t="n"/>
      <c r="M382" s="106" t="n"/>
      <c r="N382" s="106" t="n"/>
      <c r="O382" s="106" t="n"/>
      <c r="P382" s="105" t="n"/>
      <c r="Q382" s="107" t="n"/>
      <c r="R382" s="105" t="n"/>
      <c r="S382" s="107" t="n"/>
      <c r="T382" s="108">
        <f>IFERROR(L382+M382+N382+O382,0)</f>
        <v/>
      </c>
      <c r="U382" s="108">
        <f>IFERROR(H382+IFERROR(I382,0)+T382+IFERROR(AH382,0),0)</f>
        <v/>
      </c>
      <c r="V382" s="256" t="n"/>
      <c r="W382" s="257" t="n"/>
      <c r="X382" s="256" t="n"/>
      <c r="Y382" s="258" t="n"/>
      <c r="Z382" s="259" t="n"/>
      <c r="AA382" s="259" t="n"/>
      <c r="AB382" s="258" t="n"/>
      <c r="AC382" s="256" t="n"/>
      <c r="AD382" s="256" t="n"/>
      <c r="AE382" s="256" t="n"/>
      <c r="AF382" s="256" t="n"/>
      <c r="AG382" s="256" t="n"/>
      <c r="AH382" s="256">
        <f>IFERROR(IFERROR(V382,0)+IFERROR(AC382,0)+IFERROR(AD382,0)+IFERROR(AE382,0)+IFERROR(AF382,0)+IFERROR(AG382,0),0)</f>
        <v/>
      </c>
    </row>
    <row r="383" ht="15" customHeight="1" s="199">
      <c r="A383" s="104" t="n"/>
      <c r="B383" s="104" t="n"/>
      <c r="C383" s="104" t="n"/>
      <c r="D383" s="105" t="n"/>
      <c r="E383" s="105" t="n"/>
      <c r="F383" s="105" t="n"/>
      <c r="G383" s="106" t="n"/>
      <c r="H383" s="106" t="n"/>
      <c r="I383" s="106" t="n"/>
      <c r="J383" s="107" t="n"/>
      <c r="K383" s="105" t="n"/>
      <c r="L383" s="106" t="n"/>
      <c r="M383" s="106" t="n"/>
      <c r="N383" s="106" t="n"/>
      <c r="O383" s="106" t="n"/>
      <c r="P383" s="105" t="n"/>
      <c r="Q383" s="107" t="n"/>
      <c r="R383" s="105" t="n"/>
      <c r="S383" s="107" t="n"/>
      <c r="T383" s="108">
        <f>IFERROR(L383+M383+N383+O383,0)</f>
        <v/>
      </c>
      <c r="U383" s="108">
        <f>IFERROR(H383+IFERROR(I383,0)+T383+IFERROR(AH383,0),0)</f>
        <v/>
      </c>
      <c r="V383" s="256" t="n"/>
      <c r="W383" s="257" t="n"/>
      <c r="X383" s="256" t="n"/>
      <c r="Y383" s="258" t="n"/>
      <c r="Z383" s="259" t="n"/>
      <c r="AA383" s="259" t="n"/>
      <c r="AB383" s="258" t="n"/>
      <c r="AC383" s="256" t="n"/>
      <c r="AD383" s="256" t="n"/>
      <c r="AE383" s="256" t="n"/>
      <c r="AF383" s="256" t="n"/>
      <c r="AG383" s="256" t="n"/>
      <c r="AH383" s="256">
        <f>IFERROR(IFERROR(V383,0)+IFERROR(AC383,0)+IFERROR(AD383,0)+IFERROR(AE383,0)+IFERROR(AF383,0)+IFERROR(AG383,0),0)</f>
        <v/>
      </c>
    </row>
    <row r="384" ht="15" customHeight="1" s="199">
      <c r="A384" s="104" t="n"/>
      <c r="B384" s="104" t="n"/>
      <c r="C384" s="104" t="n"/>
      <c r="D384" s="105" t="n"/>
      <c r="E384" s="105" t="n"/>
      <c r="F384" s="105" t="n"/>
      <c r="G384" s="106" t="n"/>
      <c r="H384" s="106" t="n"/>
      <c r="I384" s="106" t="n"/>
      <c r="J384" s="107" t="n"/>
      <c r="K384" s="105" t="n"/>
      <c r="L384" s="106" t="n"/>
      <c r="M384" s="106" t="n"/>
      <c r="N384" s="106" t="n"/>
      <c r="O384" s="106" t="n"/>
      <c r="P384" s="105" t="n"/>
      <c r="Q384" s="107" t="n"/>
      <c r="R384" s="105" t="n"/>
      <c r="S384" s="107" t="n"/>
      <c r="T384" s="108">
        <f>IFERROR(L384+M384+N384+O384,0)</f>
        <v/>
      </c>
      <c r="U384" s="108">
        <f>IFERROR(H384+IFERROR(I384,0)+T384+IFERROR(AH384,0),0)</f>
        <v/>
      </c>
      <c r="V384" s="256" t="n"/>
      <c r="W384" s="257" t="n"/>
      <c r="X384" s="256" t="n"/>
      <c r="Y384" s="258" t="n"/>
      <c r="Z384" s="259" t="n"/>
      <c r="AA384" s="259" t="n"/>
      <c r="AB384" s="258" t="n"/>
      <c r="AC384" s="256" t="n"/>
      <c r="AD384" s="256" t="n"/>
      <c r="AE384" s="256" t="n"/>
      <c r="AF384" s="256" t="n"/>
      <c r="AG384" s="256" t="n"/>
      <c r="AH384" s="256">
        <f>IFERROR(IFERROR(V384,0)+IFERROR(AC384,0)+IFERROR(AD384,0)+IFERROR(AE384,0)+IFERROR(AF384,0)+IFERROR(AG384,0),0)</f>
        <v/>
      </c>
    </row>
    <row r="385" ht="15" customHeight="1" s="199">
      <c r="A385" s="104" t="n"/>
      <c r="B385" s="104" t="n"/>
      <c r="C385" s="104" t="n"/>
      <c r="D385" s="105" t="n"/>
      <c r="E385" s="105" t="n"/>
      <c r="F385" s="105" t="n"/>
      <c r="G385" s="106" t="n"/>
      <c r="H385" s="106" t="n"/>
      <c r="I385" s="106" t="n"/>
      <c r="J385" s="107" t="n"/>
      <c r="K385" s="105" t="n"/>
      <c r="L385" s="106" t="n"/>
      <c r="M385" s="106" t="n"/>
      <c r="N385" s="106" t="n"/>
      <c r="O385" s="106" t="n"/>
      <c r="P385" s="105" t="n"/>
      <c r="Q385" s="107" t="n"/>
      <c r="R385" s="105" t="n"/>
      <c r="S385" s="107" t="n"/>
      <c r="T385" s="108">
        <f>IFERROR(L385+M385+N385+O385,0)</f>
        <v/>
      </c>
      <c r="U385" s="108">
        <f>IFERROR(H385+IFERROR(I385,0)+T385+IFERROR(AH385,0),0)</f>
        <v/>
      </c>
      <c r="V385" s="256" t="n"/>
      <c r="W385" s="257" t="n"/>
      <c r="X385" s="256" t="n"/>
      <c r="Y385" s="258" t="n"/>
      <c r="Z385" s="259" t="n"/>
      <c r="AA385" s="259" t="n"/>
      <c r="AB385" s="258" t="n"/>
      <c r="AC385" s="256" t="n"/>
      <c r="AD385" s="256" t="n"/>
      <c r="AE385" s="256" t="n"/>
      <c r="AF385" s="256" t="n"/>
      <c r="AG385" s="256" t="n"/>
      <c r="AH385" s="256">
        <f>IFERROR(IFERROR(V385,0)+IFERROR(AC385,0)+IFERROR(AD385,0)+IFERROR(AE385,0)+IFERROR(AF385,0)+IFERROR(AG385,0),0)</f>
        <v/>
      </c>
    </row>
    <row r="386" ht="15" customHeight="1" s="199">
      <c r="A386" s="104" t="n"/>
      <c r="B386" s="104" t="n"/>
      <c r="C386" s="104" t="n"/>
      <c r="D386" s="105" t="n"/>
      <c r="E386" s="105" t="n"/>
      <c r="F386" s="105" t="n"/>
      <c r="G386" s="106" t="n"/>
      <c r="H386" s="106" t="n"/>
      <c r="I386" s="106" t="n"/>
      <c r="J386" s="107" t="n"/>
      <c r="K386" s="105" t="n"/>
      <c r="L386" s="106" t="n"/>
      <c r="M386" s="106" t="n"/>
      <c r="N386" s="106" t="n"/>
      <c r="O386" s="106" t="n"/>
      <c r="P386" s="105" t="n"/>
      <c r="Q386" s="107" t="n"/>
      <c r="R386" s="105" t="n"/>
      <c r="S386" s="107" t="n"/>
      <c r="T386" s="108">
        <f>IFERROR(L386+M386+N386+O386,0)</f>
        <v/>
      </c>
      <c r="U386" s="108">
        <f>IFERROR(H386+IFERROR(I386,0)+T386+IFERROR(AH386,0),0)</f>
        <v/>
      </c>
      <c r="V386" s="256" t="n"/>
      <c r="W386" s="257" t="n"/>
      <c r="X386" s="256" t="n"/>
      <c r="Y386" s="258" t="n"/>
      <c r="Z386" s="259" t="n"/>
      <c r="AA386" s="259" t="n"/>
      <c r="AB386" s="258" t="n"/>
      <c r="AC386" s="256" t="n"/>
      <c r="AD386" s="256" t="n"/>
      <c r="AE386" s="256" t="n"/>
      <c r="AF386" s="256" t="n"/>
      <c r="AG386" s="256" t="n"/>
      <c r="AH386" s="256">
        <f>IFERROR(IFERROR(V386,0)+IFERROR(AC386,0)+IFERROR(AD386,0)+IFERROR(AE386,0)+IFERROR(AF386,0)+IFERROR(AG386,0),0)</f>
        <v/>
      </c>
    </row>
    <row r="387" ht="15" customHeight="1" s="199">
      <c r="A387" s="104" t="n"/>
      <c r="B387" s="104" t="n"/>
      <c r="C387" s="104" t="n"/>
      <c r="D387" s="105" t="n"/>
      <c r="E387" s="105" t="n"/>
      <c r="F387" s="105" t="n"/>
      <c r="G387" s="106" t="n"/>
      <c r="H387" s="106" t="n"/>
      <c r="I387" s="106" t="n"/>
      <c r="J387" s="107" t="n"/>
      <c r="K387" s="105" t="n"/>
      <c r="L387" s="106" t="n"/>
      <c r="M387" s="106" t="n"/>
      <c r="N387" s="106" t="n"/>
      <c r="O387" s="106" t="n"/>
      <c r="P387" s="105" t="n"/>
      <c r="Q387" s="107" t="n"/>
      <c r="R387" s="105" t="n"/>
      <c r="S387" s="107" t="n"/>
      <c r="T387" s="108">
        <f>IFERROR(L387+M387+N387+O387,0)</f>
        <v/>
      </c>
      <c r="U387" s="108">
        <f>IFERROR(H387+IFERROR(I387,0)+T387+IFERROR(AH387,0),0)</f>
        <v/>
      </c>
      <c r="V387" s="256" t="n"/>
      <c r="W387" s="257" t="n"/>
      <c r="X387" s="256" t="n"/>
      <c r="Y387" s="258" t="n"/>
      <c r="Z387" s="259" t="n"/>
      <c r="AA387" s="259" t="n"/>
      <c r="AB387" s="258" t="n"/>
      <c r="AC387" s="256" t="n"/>
      <c r="AD387" s="256" t="n"/>
      <c r="AE387" s="256" t="n"/>
      <c r="AF387" s="256" t="n"/>
      <c r="AG387" s="256" t="n"/>
      <c r="AH387" s="256">
        <f>IFERROR(IFERROR(V387,0)+IFERROR(AC387,0)+IFERROR(AD387,0)+IFERROR(AE387,0)+IFERROR(AF387,0)+IFERROR(AG387,0),0)</f>
        <v/>
      </c>
    </row>
    <row r="388" ht="15" customHeight="1" s="199">
      <c r="A388" s="104" t="n"/>
      <c r="B388" s="104" t="n"/>
      <c r="C388" s="104" t="n"/>
      <c r="D388" s="105" t="n"/>
      <c r="E388" s="105" t="n"/>
      <c r="F388" s="105" t="n"/>
      <c r="G388" s="106" t="n"/>
      <c r="H388" s="106" t="n"/>
      <c r="I388" s="106" t="n"/>
      <c r="J388" s="107" t="n"/>
      <c r="K388" s="105" t="n"/>
      <c r="L388" s="106" t="n"/>
      <c r="M388" s="106" t="n"/>
      <c r="N388" s="106" t="n"/>
      <c r="O388" s="106" t="n"/>
      <c r="P388" s="105" t="n"/>
      <c r="Q388" s="107" t="n"/>
      <c r="R388" s="105" t="n"/>
      <c r="S388" s="107" t="n"/>
      <c r="T388" s="108">
        <f>IFERROR(L388+M388+N388+O388,0)</f>
        <v/>
      </c>
      <c r="U388" s="108">
        <f>IFERROR(H388+IFERROR(I388,0)+T388+IFERROR(AH388,0),0)</f>
        <v/>
      </c>
      <c r="V388" s="256" t="n"/>
      <c r="W388" s="257" t="n"/>
      <c r="X388" s="256" t="n"/>
      <c r="Y388" s="258" t="n"/>
      <c r="Z388" s="259" t="n"/>
      <c r="AA388" s="259" t="n"/>
      <c r="AB388" s="258" t="n"/>
      <c r="AC388" s="256" t="n"/>
      <c r="AD388" s="256" t="n"/>
      <c r="AE388" s="256" t="n"/>
      <c r="AF388" s="256" t="n"/>
      <c r="AG388" s="256" t="n"/>
      <c r="AH388" s="256">
        <f>IFERROR(IFERROR(V388,0)+IFERROR(AC388,0)+IFERROR(AD388,0)+IFERROR(AE388,0)+IFERROR(AF388,0)+IFERROR(AG388,0),0)</f>
        <v/>
      </c>
    </row>
    <row r="389" ht="15" customHeight="1" s="199">
      <c r="A389" s="104" t="n"/>
      <c r="B389" s="104" t="n"/>
      <c r="C389" s="104" t="n"/>
      <c r="D389" s="105" t="n"/>
      <c r="E389" s="105" t="n"/>
      <c r="F389" s="105" t="n"/>
      <c r="G389" s="106" t="n"/>
      <c r="H389" s="106" t="n"/>
      <c r="I389" s="106" t="n"/>
      <c r="J389" s="107" t="n"/>
      <c r="K389" s="105" t="n"/>
      <c r="L389" s="106" t="n"/>
      <c r="M389" s="106" t="n"/>
      <c r="N389" s="106" t="n"/>
      <c r="O389" s="106" t="n"/>
      <c r="P389" s="105" t="n"/>
      <c r="Q389" s="107" t="n"/>
      <c r="R389" s="105" t="n"/>
      <c r="S389" s="107" t="n"/>
      <c r="T389" s="108">
        <f>IFERROR(L389+M389+N389+O389,0)</f>
        <v/>
      </c>
      <c r="U389" s="108">
        <f>IFERROR(H389+IFERROR(I389,0)+T389+IFERROR(AH389,0),0)</f>
        <v/>
      </c>
      <c r="V389" s="256" t="n"/>
      <c r="W389" s="257" t="n"/>
      <c r="X389" s="256" t="n"/>
      <c r="Y389" s="258" t="n"/>
      <c r="Z389" s="259" t="n"/>
      <c r="AA389" s="259" t="n"/>
      <c r="AB389" s="258" t="n"/>
      <c r="AC389" s="256" t="n"/>
      <c r="AD389" s="256" t="n"/>
      <c r="AE389" s="256" t="n"/>
      <c r="AF389" s="256" t="n"/>
      <c r="AG389" s="256" t="n"/>
      <c r="AH389" s="256">
        <f>IFERROR(IFERROR(V389,0)+IFERROR(AC389,0)+IFERROR(AD389,0)+IFERROR(AE389,0)+IFERROR(AF389,0)+IFERROR(AG389,0),0)</f>
        <v/>
      </c>
    </row>
    <row r="390" ht="15" customHeight="1" s="199">
      <c r="A390" s="104" t="n"/>
      <c r="B390" s="104" t="n"/>
      <c r="C390" s="104" t="n"/>
      <c r="D390" s="105" t="n"/>
      <c r="E390" s="105" t="n"/>
      <c r="F390" s="105" t="n"/>
      <c r="G390" s="106" t="n"/>
      <c r="H390" s="106" t="n"/>
      <c r="I390" s="106" t="n"/>
      <c r="J390" s="107" t="n"/>
      <c r="K390" s="105" t="n"/>
      <c r="L390" s="106" t="n"/>
      <c r="M390" s="106" t="n"/>
      <c r="N390" s="106" t="n"/>
      <c r="O390" s="106" t="n"/>
      <c r="P390" s="105" t="n"/>
      <c r="Q390" s="107" t="n"/>
      <c r="R390" s="105" t="n"/>
      <c r="S390" s="107" t="n"/>
      <c r="T390" s="108">
        <f>IFERROR(L390+M390+N390+O390,0)</f>
        <v/>
      </c>
      <c r="U390" s="108">
        <f>IFERROR(H390+IFERROR(I390,0)+T390+IFERROR(AH390,0),0)</f>
        <v/>
      </c>
      <c r="V390" s="256" t="n"/>
      <c r="W390" s="257" t="n"/>
      <c r="X390" s="256" t="n"/>
      <c r="Y390" s="258" t="n"/>
      <c r="Z390" s="259" t="n"/>
      <c r="AA390" s="259" t="n"/>
      <c r="AB390" s="258" t="n"/>
      <c r="AC390" s="256" t="n"/>
      <c r="AD390" s="256" t="n"/>
      <c r="AE390" s="256" t="n"/>
      <c r="AF390" s="256" t="n"/>
      <c r="AG390" s="256" t="n"/>
      <c r="AH390" s="256">
        <f>IFERROR(IFERROR(V390,0)+IFERROR(AC390,0)+IFERROR(AD390,0)+IFERROR(AE390,0)+IFERROR(AF390,0)+IFERROR(AG390,0),0)</f>
        <v/>
      </c>
    </row>
    <row r="391" ht="15" customHeight="1" s="199">
      <c r="A391" s="104" t="n"/>
      <c r="B391" s="104" t="n"/>
      <c r="C391" s="104" t="n"/>
      <c r="D391" s="105" t="n"/>
      <c r="E391" s="105" t="n"/>
      <c r="F391" s="105" t="n"/>
      <c r="G391" s="106" t="n"/>
      <c r="H391" s="106" t="n"/>
      <c r="I391" s="106" t="n"/>
      <c r="J391" s="107" t="n"/>
      <c r="K391" s="105" t="n"/>
      <c r="L391" s="106" t="n"/>
      <c r="M391" s="106" t="n"/>
      <c r="N391" s="106" t="n"/>
      <c r="O391" s="106" t="n"/>
      <c r="P391" s="105" t="n"/>
      <c r="Q391" s="107" t="n"/>
      <c r="R391" s="105" t="n"/>
      <c r="S391" s="107" t="n"/>
      <c r="T391" s="108">
        <f>IFERROR(L391+M391+N391+O391,0)</f>
        <v/>
      </c>
      <c r="U391" s="108">
        <f>IFERROR(H391+IFERROR(I391,0)+T391+IFERROR(AH391,0),0)</f>
        <v/>
      </c>
      <c r="V391" s="256" t="n"/>
      <c r="W391" s="257" t="n"/>
      <c r="X391" s="256" t="n"/>
      <c r="Y391" s="258" t="n"/>
      <c r="Z391" s="259" t="n"/>
      <c r="AA391" s="259" t="n"/>
      <c r="AB391" s="258" t="n"/>
      <c r="AC391" s="256" t="n"/>
      <c r="AD391" s="256" t="n"/>
      <c r="AE391" s="256" t="n"/>
      <c r="AF391" s="256" t="n"/>
      <c r="AG391" s="256" t="n"/>
      <c r="AH391" s="256">
        <f>IFERROR(IFERROR(V391,0)+IFERROR(AC391,0)+IFERROR(AD391,0)+IFERROR(AE391,0)+IFERROR(AF391,0)+IFERROR(AG391,0),0)</f>
        <v/>
      </c>
    </row>
    <row r="392" ht="15" customHeight="1" s="199">
      <c r="A392" s="104" t="n"/>
      <c r="B392" s="104" t="n"/>
      <c r="C392" s="104" t="n"/>
      <c r="D392" s="105" t="n"/>
      <c r="E392" s="105" t="n"/>
      <c r="F392" s="105" t="n"/>
      <c r="G392" s="106" t="n"/>
      <c r="H392" s="106" t="n"/>
      <c r="I392" s="106" t="n"/>
      <c r="J392" s="107" t="n"/>
      <c r="K392" s="105" t="n"/>
      <c r="L392" s="106" t="n"/>
      <c r="M392" s="106" t="n"/>
      <c r="N392" s="106" t="n"/>
      <c r="O392" s="106" t="n"/>
      <c r="P392" s="105" t="n"/>
      <c r="Q392" s="107" t="n"/>
      <c r="R392" s="105" t="n"/>
      <c r="S392" s="107" t="n"/>
      <c r="T392" s="108">
        <f>IFERROR(L392+M392+N392+O392,0)</f>
        <v/>
      </c>
      <c r="U392" s="108">
        <f>IFERROR(H392+IFERROR(I392,0)+T392+IFERROR(AH392,0),0)</f>
        <v/>
      </c>
      <c r="V392" s="256" t="n"/>
      <c r="W392" s="257" t="n"/>
      <c r="X392" s="256" t="n"/>
      <c r="Y392" s="258" t="n"/>
      <c r="Z392" s="259" t="n"/>
      <c r="AA392" s="259" t="n"/>
      <c r="AB392" s="258" t="n"/>
      <c r="AC392" s="256" t="n"/>
      <c r="AD392" s="256" t="n"/>
      <c r="AE392" s="256" t="n"/>
      <c r="AF392" s="256" t="n"/>
      <c r="AG392" s="256" t="n"/>
      <c r="AH392" s="256">
        <f>IFERROR(IFERROR(V392,0)+IFERROR(AC392,0)+IFERROR(AD392,0)+IFERROR(AE392,0)+IFERROR(AF392,0)+IFERROR(AG392,0),0)</f>
        <v/>
      </c>
    </row>
    <row r="393" ht="15" customHeight="1" s="199">
      <c r="A393" s="104" t="n"/>
      <c r="B393" s="104" t="n"/>
      <c r="C393" s="104" t="n"/>
      <c r="D393" s="105" t="n"/>
      <c r="E393" s="105" t="n"/>
      <c r="F393" s="105" t="n"/>
      <c r="G393" s="106" t="n"/>
      <c r="H393" s="106" t="n"/>
      <c r="I393" s="106" t="n"/>
      <c r="J393" s="107" t="n"/>
      <c r="K393" s="105" t="n"/>
      <c r="L393" s="106" t="n"/>
      <c r="M393" s="106" t="n"/>
      <c r="N393" s="106" t="n"/>
      <c r="O393" s="106" t="n"/>
      <c r="P393" s="105" t="n"/>
      <c r="Q393" s="107" t="n"/>
      <c r="R393" s="105" t="n"/>
      <c r="S393" s="107" t="n"/>
      <c r="T393" s="108">
        <f>IFERROR(L393+M393+N393+O393,0)</f>
        <v/>
      </c>
      <c r="U393" s="108">
        <f>IFERROR(H393+IFERROR(I393,0)+T393+IFERROR(AH393,0),0)</f>
        <v/>
      </c>
      <c r="V393" s="256" t="n"/>
      <c r="W393" s="257" t="n"/>
      <c r="X393" s="256" t="n"/>
      <c r="Y393" s="258" t="n"/>
      <c r="Z393" s="259" t="n"/>
      <c r="AA393" s="259" t="n"/>
      <c r="AB393" s="258" t="n"/>
      <c r="AC393" s="256" t="n"/>
      <c r="AD393" s="256" t="n"/>
      <c r="AE393" s="256" t="n"/>
      <c r="AF393" s="256" t="n"/>
      <c r="AG393" s="256" t="n"/>
      <c r="AH393" s="256">
        <f>IFERROR(IFERROR(V393,0)+IFERROR(AC393,0)+IFERROR(AD393,0)+IFERROR(AE393,0)+IFERROR(AF393,0)+IFERROR(AG393,0),0)</f>
        <v/>
      </c>
    </row>
    <row r="394" ht="15" customHeight="1" s="199">
      <c r="A394" s="104" t="n"/>
      <c r="B394" s="104" t="n"/>
      <c r="C394" s="104" t="n"/>
      <c r="D394" s="105" t="n"/>
      <c r="E394" s="105" t="n"/>
      <c r="F394" s="105" t="n"/>
      <c r="G394" s="106" t="n"/>
      <c r="H394" s="106" t="n"/>
      <c r="I394" s="106" t="n"/>
      <c r="J394" s="107" t="n"/>
      <c r="K394" s="105" t="n"/>
      <c r="L394" s="106" t="n"/>
      <c r="M394" s="106" t="n"/>
      <c r="N394" s="106" t="n"/>
      <c r="O394" s="106" t="n"/>
      <c r="P394" s="105" t="n"/>
      <c r="Q394" s="107" t="n"/>
      <c r="R394" s="105" t="n"/>
      <c r="S394" s="107" t="n"/>
      <c r="T394" s="108">
        <f>IFERROR(L394+M394+N394+O394,0)</f>
        <v/>
      </c>
      <c r="U394" s="108">
        <f>IFERROR(H394+IFERROR(I394,0)+T394+IFERROR(AH394,0),0)</f>
        <v/>
      </c>
      <c r="V394" s="256" t="n"/>
      <c r="W394" s="257" t="n"/>
      <c r="X394" s="256" t="n"/>
      <c r="Y394" s="258" t="n"/>
      <c r="Z394" s="259" t="n"/>
      <c r="AA394" s="259" t="n"/>
      <c r="AB394" s="258" t="n"/>
      <c r="AC394" s="256" t="n"/>
      <c r="AD394" s="256" t="n"/>
      <c r="AE394" s="256" t="n"/>
      <c r="AF394" s="256" t="n"/>
      <c r="AG394" s="256" t="n"/>
      <c r="AH394" s="256">
        <f>IFERROR(IFERROR(V394,0)+IFERROR(AC394,0)+IFERROR(AD394,0)+IFERROR(AE394,0)+IFERROR(AF394,0)+IFERROR(AG394,0),0)</f>
        <v/>
      </c>
    </row>
    <row r="395" ht="15" customHeight="1" s="199">
      <c r="A395" s="104" t="n"/>
      <c r="B395" s="104" t="n"/>
      <c r="C395" s="104" t="n"/>
      <c r="D395" s="105" t="n"/>
      <c r="E395" s="105" t="n"/>
      <c r="F395" s="105" t="n"/>
      <c r="G395" s="106" t="n"/>
      <c r="H395" s="106" t="n"/>
      <c r="I395" s="106" t="n"/>
      <c r="J395" s="107" t="n"/>
      <c r="K395" s="105" t="n"/>
      <c r="L395" s="106" t="n"/>
      <c r="M395" s="106" t="n"/>
      <c r="N395" s="106" t="n"/>
      <c r="O395" s="106" t="n"/>
      <c r="P395" s="105" t="n"/>
      <c r="Q395" s="107" t="n"/>
      <c r="R395" s="105" t="n"/>
      <c r="S395" s="107" t="n"/>
      <c r="T395" s="108">
        <f>IFERROR(L395+M395+N395+O395,0)</f>
        <v/>
      </c>
      <c r="U395" s="108">
        <f>IFERROR(H395+IFERROR(I395,0)+T395+IFERROR(AH395,0),0)</f>
        <v/>
      </c>
      <c r="V395" s="256" t="n"/>
      <c r="W395" s="257" t="n"/>
      <c r="X395" s="256" t="n"/>
      <c r="Y395" s="258" t="n"/>
      <c r="Z395" s="259" t="n"/>
      <c r="AA395" s="259" t="n"/>
      <c r="AB395" s="258" t="n"/>
      <c r="AC395" s="256" t="n"/>
      <c r="AD395" s="256" t="n"/>
      <c r="AE395" s="256" t="n"/>
      <c r="AF395" s="256" t="n"/>
      <c r="AG395" s="256" t="n"/>
      <c r="AH395" s="256">
        <f>IFERROR(IFERROR(V395,0)+IFERROR(AC395,0)+IFERROR(AD395,0)+IFERROR(AE395,0)+IFERROR(AF395,0)+IFERROR(AG395,0),0)</f>
        <v/>
      </c>
    </row>
    <row r="396" ht="15" customHeight="1" s="199">
      <c r="A396" s="104" t="n"/>
      <c r="B396" s="104" t="n"/>
      <c r="C396" s="104" t="n"/>
      <c r="D396" s="105" t="n"/>
      <c r="E396" s="105" t="n"/>
      <c r="F396" s="105" t="n"/>
      <c r="G396" s="106" t="n"/>
      <c r="H396" s="106" t="n"/>
      <c r="I396" s="106" t="n"/>
      <c r="J396" s="107" t="n"/>
      <c r="K396" s="105" t="n"/>
      <c r="L396" s="106" t="n"/>
      <c r="M396" s="106" t="n"/>
      <c r="N396" s="106" t="n"/>
      <c r="O396" s="106" t="n"/>
      <c r="P396" s="105" t="n"/>
      <c r="Q396" s="107" t="n"/>
      <c r="R396" s="105" t="n"/>
      <c r="S396" s="107" t="n"/>
      <c r="T396" s="108">
        <f>IFERROR(L396+M396+N396+O396,0)</f>
        <v/>
      </c>
      <c r="U396" s="108">
        <f>IFERROR(H396+IFERROR(I396,0)+T396+IFERROR(AH396,0),0)</f>
        <v/>
      </c>
      <c r="V396" s="256" t="n"/>
      <c r="W396" s="257" t="n"/>
      <c r="X396" s="256" t="n"/>
      <c r="Y396" s="258" t="n"/>
      <c r="Z396" s="259" t="n"/>
      <c r="AA396" s="259" t="n"/>
      <c r="AB396" s="258" t="n"/>
      <c r="AC396" s="256" t="n"/>
      <c r="AD396" s="256" t="n"/>
      <c r="AE396" s="256" t="n"/>
      <c r="AF396" s="256" t="n"/>
      <c r="AG396" s="256" t="n"/>
      <c r="AH396" s="256">
        <f>IFERROR(IFERROR(V396,0)+IFERROR(AC396,0)+IFERROR(AD396,0)+IFERROR(AE396,0)+IFERROR(AF396,0)+IFERROR(AG396,0),0)</f>
        <v/>
      </c>
    </row>
    <row r="397" ht="15" customHeight="1" s="199">
      <c r="A397" s="104" t="n"/>
      <c r="B397" s="104" t="n"/>
      <c r="C397" s="104" t="n"/>
      <c r="D397" s="105" t="n"/>
      <c r="E397" s="105" t="n"/>
      <c r="F397" s="105" t="n"/>
      <c r="G397" s="106" t="n"/>
      <c r="H397" s="106" t="n"/>
      <c r="I397" s="106" t="n"/>
      <c r="J397" s="107" t="n"/>
      <c r="K397" s="105" t="n"/>
      <c r="L397" s="106" t="n"/>
      <c r="M397" s="106" t="n"/>
      <c r="N397" s="106" t="n"/>
      <c r="O397" s="106" t="n"/>
      <c r="P397" s="105" t="n"/>
      <c r="Q397" s="107" t="n"/>
      <c r="R397" s="105" t="n"/>
      <c r="S397" s="107" t="n"/>
      <c r="T397" s="108">
        <f>IFERROR(L397+M397+N397+O397,0)</f>
        <v/>
      </c>
      <c r="U397" s="108">
        <f>IFERROR(H397+IFERROR(I397,0)+T397+IFERROR(AH397,0),0)</f>
        <v/>
      </c>
      <c r="V397" s="256" t="n"/>
      <c r="W397" s="257" t="n"/>
      <c r="X397" s="256" t="n"/>
      <c r="Y397" s="258" t="n"/>
      <c r="Z397" s="259" t="n"/>
      <c r="AA397" s="259" t="n"/>
      <c r="AB397" s="258" t="n"/>
      <c r="AC397" s="256" t="n"/>
      <c r="AD397" s="256" t="n"/>
      <c r="AE397" s="256" t="n"/>
      <c r="AF397" s="256" t="n"/>
      <c r="AG397" s="256" t="n"/>
      <c r="AH397" s="256">
        <f>IFERROR(IFERROR(V397,0)+IFERROR(AC397,0)+IFERROR(AD397,0)+IFERROR(AE397,0)+IFERROR(AF397,0)+IFERROR(AG397,0),0)</f>
        <v/>
      </c>
    </row>
    <row r="398" ht="15" customHeight="1" s="199">
      <c r="A398" s="104" t="n"/>
      <c r="B398" s="104" t="n"/>
      <c r="C398" s="104" t="n"/>
      <c r="D398" s="105" t="n"/>
      <c r="E398" s="105" t="n"/>
      <c r="F398" s="105" t="n"/>
      <c r="G398" s="106" t="n"/>
      <c r="H398" s="106" t="n"/>
      <c r="I398" s="106" t="n"/>
      <c r="J398" s="107" t="n"/>
      <c r="K398" s="105" t="n"/>
      <c r="L398" s="106" t="n"/>
      <c r="M398" s="106" t="n"/>
      <c r="N398" s="106" t="n"/>
      <c r="O398" s="106" t="n"/>
      <c r="P398" s="105" t="n"/>
      <c r="Q398" s="107" t="n"/>
      <c r="R398" s="105" t="n"/>
      <c r="S398" s="107" t="n"/>
      <c r="T398" s="108">
        <f>IFERROR(L398+M398+N398+O398,0)</f>
        <v/>
      </c>
      <c r="U398" s="108">
        <f>IFERROR(H398+IFERROR(I398,0)+T398+IFERROR(AH398,0),0)</f>
        <v/>
      </c>
      <c r="V398" s="256" t="n"/>
      <c r="W398" s="257" t="n"/>
      <c r="X398" s="256" t="n"/>
      <c r="Y398" s="258" t="n"/>
      <c r="Z398" s="259" t="n"/>
      <c r="AA398" s="259" t="n"/>
      <c r="AB398" s="258" t="n"/>
      <c r="AC398" s="256" t="n"/>
      <c r="AD398" s="256" t="n"/>
      <c r="AE398" s="256" t="n"/>
      <c r="AF398" s="256" t="n"/>
      <c r="AG398" s="256" t="n"/>
      <c r="AH398" s="256">
        <f>IFERROR(IFERROR(V398,0)+IFERROR(AC398,0)+IFERROR(AD398,0)+IFERROR(AE398,0)+IFERROR(AF398,0)+IFERROR(AG398,0),0)</f>
        <v/>
      </c>
    </row>
    <row r="399" ht="15" customHeight="1" s="199">
      <c r="A399" s="104" t="n"/>
      <c r="B399" s="104" t="n"/>
      <c r="C399" s="104" t="n"/>
      <c r="D399" s="105" t="n"/>
      <c r="E399" s="105" t="n"/>
      <c r="F399" s="105" t="n"/>
      <c r="G399" s="106" t="n"/>
      <c r="H399" s="106" t="n"/>
      <c r="I399" s="106" t="n"/>
      <c r="J399" s="107" t="n"/>
      <c r="K399" s="105" t="n"/>
      <c r="L399" s="106" t="n"/>
      <c r="M399" s="106" t="n"/>
      <c r="N399" s="106" t="n"/>
      <c r="O399" s="106" t="n"/>
      <c r="P399" s="105" t="n"/>
      <c r="Q399" s="107" t="n"/>
      <c r="R399" s="105" t="n"/>
      <c r="S399" s="107" t="n"/>
      <c r="T399" s="108">
        <f>IFERROR(L399+M399+N399+O399,0)</f>
        <v/>
      </c>
      <c r="U399" s="108">
        <f>IFERROR(H399+IFERROR(I399,0)+T399+IFERROR(AH399,0),0)</f>
        <v/>
      </c>
      <c r="V399" s="256" t="n"/>
      <c r="W399" s="257" t="n"/>
      <c r="X399" s="256" t="n"/>
      <c r="Y399" s="258" t="n"/>
      <c r="Z399" s="259" t="n"/>
      <c r="AA399" s="259" t="n"/>
      <c r="AB399" s="258" t="n"/>
      <c r="AC399" s="256" t="n"/>
      <c r="AD399" s="256" t="n"/>
      <c r="AE399" s="256" t="n"/>
      <c r="AF399" s="256" t="n"/>
      <c r="AG399" s="256" t="n"/>
      <c r="AH399" s="256">
        <f>IFERROR(IFERROR(V399,0)+IFERROR(AC399,0)+IFERROR(AD399,0)+IFERROR(AE399,0)+IFERROR(AF399,0)+IFERROR(AG399,0),0)</f>
        <v/>
      </c>
    </row>
    <row r="400" ht="15" customHeight="1" s="199">
      <c r="A400" s="104" t="n"/>
      <c r="B400" s="104" t="n"/>
      <c r="C400" s="104" t="n"/>
      <c r="D400" s="105" t="n"/>
      <c r="E400" s="105" t="n"/>
      <c r="F400" s="105" t="n"/>
      <c r="G400" s="106" t="n"/>
      <c r="H400" s="106" t="n"/>
      <c r="I400" s="106" t="n"/>
      <c r="J400" s="107" t="n"/>
      <c r="K400" s="105" t="n"/>
      <c r="L400" s="106" t="n"/>
      <c r="M400" s="106" t="n"/>
      <c r="N400" s="106" t="n"/>
      <c r="O400" s="106" t="n"/>
      <c r="P400" s="105" t="n"/>
      <c r="Q400" s="107" t="n"/>
      <c r="R400" s="105" t="n"/>
      <c r="S400" s="107" t="n"/>
      <c r="T400" s="108">
        <f>IFERROR(L400+M400+N400+O400,0)</f>
        <v/>
      </c>
      <c r="U400" s="108">
        <f>IFERROR(H400+IFERROR(I400,0)+T400+IFERROR(AH400,0),0)</f>
        <v/>
      </c>
      <c r="V400" s="256" t="n"/>
      <c r="W400" s="257" t="n"/>
      <c r="X400" s="256" t="n"/>
      <c r="Y400" s="258" t="n"/>
      <c r="Z400" s="259" t="n"/>
      <c r="AA400" s="259" t="n"/>
      <c r="AB400" s="258" t="n"/>
      <c r="AC400" s="256" t="n"/>
      <c r="AD400" s="256" t="n"/>
      <c r="AE400" s="256" t="n"/>
      <c r="AF400" s="256" t="n"/>
      <c r="AG400" s="256" t="n"/>
      <c r="AH400" s="256">
        <f>IFERROR(IFERROR(V400,0)+IFERROR(AC400,0)+IFERROR(AD400,0)+IFERROR(AE400,0)+IFERROR(AF400,0)+IFERROR(AG400,0),0)</f>
        <v/>
      </c>
    </row>
    <row r="401" ht="15" customHeight="1" s="199">
      <c r="A401" s="104" t="n"/>
      <c r="B401" s="104" t="n"/>
      <c r="C401" s="104" t="n"/>
      <c r="D401" s="105" t="n"/>
      <c r="E401" s="105" t="n"/>
      <c r="F401" s="105" t="n"/>
      <c r="G401" s="106" t="n"/>
      <c r="H401" s="106" t="n"/>
      <c r="I401" s="106" t="n"/>
      <c r="J401" s="107" t="n"/>
      <c r="K401" s="105" t="n"/>
      <c r="L401" s="106" t="n"/>
      <c r="M401" s="106" t="n"/>
      <c r="N401" s="106" t="n"/>
      <c r="O401" s="106" t="n"/>
      <c r="P401" s="105" t="n"/>
      <c r="Q401" s="107" t="n"/>
      <c r="R401" s="105" t="n"/>
      <c r="S401" s="107" t="n"/>
      <c r="T401" s="108">
        <f>IFERROR(L401+M401+N401+O401,0)</f>
        <v/>
      </c>
      <c r="U401" s="108">
        <f>IFERROR(H401+IFERROR(I401,0)+T401+IFERROR(AH401,0),0)</f>
        <v/>
      </c>
      <c r="V401" s="256" t="n"/>
      <c r="W401" s="257" t="n"/>
      <c r="X401" s="256" t="n"/>
      <c r="Y401" s="258" t="n"/>
      <c r="Z401" s="259" t="n"/>
      <c r="AA401" s="259" t="n"/>
      <c r="AB401" s="258" t="n"/>
      <c r="AC401" s="256" t="n"/>
      <c r="AD401" s="256" t="n"/>
      <c r="AE401" s="256" t="n"/>
      <c r="AF401" s="256" t="n"/>
      <c r="AG401" s="256" t="n"/>
      <c r="AH401" s="256">
        <f>IFERROR(IFERROR(V401,0)+IFERROR(AC401,0)+IFERROR(AD401,0)+IFERROR(AE401,0)+IFERROR(AF401,0)+IFERROR(AG401,0),0)</f>
        <v/>
      </c>
    </row>
    <row r="402" ht="15" customHeight="1" s="199">
      <c r="A402" s="104" t="n"/>
      <c r="B402" s="104" t="n"/>
      <c r="C402" s="104" t="n"/>
      <c r="D402" s="105" t="n"/>
      <c r="E402" s="105" t="n"/>
      <c r="F402" s="105" t="n"/>
      <c r="G402" s="106" t="n"/>
      <c r="H402" s="106" t="n"/>
      <c r="I402" s="106" t="n"/>
      <c r="J402" s="107" t="n"/>
      <c r="K402" s="105" t="n"/>
      <c r="L402" s="106" t="n"/>
      <c r="M402" s="106" t="n"/>
      <c r="N402" s="106" t="n"/>
      <c r="O402" s="106" t="n"/>
      <c r="P402" s="105" t="n"/>
      <c r="Q402" s="107" t="n"/>
      <c r="R402" s="105" t="n"/>
      <c r="S402" s="107" t="n"/>
      <c r="T402" s="108">
        <f>IFERROR(L402+M402+N402+O402,0)</f>
        <v/>
      </c>
      <c r="U402" s="108">
        <f>IFERROR(H402+IFERROR(I402,0)+T402+IFERROR(AH402,0),0)</f>
        <v/>
      </c>
      <c r="V402" s="256" t="n"/>
      <c r="W402" s="257" t="n"/>
      <c r="X402" s="256" t="n"/>
      <c r="Y402" s="258" t="n"/>
      <c r="Z402" s="259" t="n"/>
      <c r="AA402" s="259" t="n"/>
      <c r="AB402" s="258" t="n"/>
      <c r="AC402" s="256" t="n"/>
      <c r="AD402" s="256" t="n"/>
      <c r="AE402" s="256" t="n"/>
      <c r="AF402" s="256" t="n"/>
      <c r="AG402" s="256" t="n"/>
      <c r="AH402" s="256">
        <f>IFERROR(IFERROR(V402,0)+IFERROR(AC402,0)+IFERROR(AD402,0)+IFERROR(AE402,0)+IFERROR(AF402,0)+IFERROR(AG402,0),0)</f>
        <v/>
      </c>
    </row>
    <row r="403" ht="15" customHeight="1" s="199">
      <c r="A403" s="104" t="n"/>
      <c r="B403" s="104" t="n"/>
      <c r="C403" s="104" t="n"/>
      <c r="D403" s="105" t="n"/>
      <c r="E403" s="105" t="n"/>
      <c r="F403" s="105" t="n"/>
      <c r="G403" s="106" t="n"/>
      <c r="H403" s="106" t="n"/>
      <c r="I403" s="106" t="n"/>
      <c r="J403" s="107" t="n"/>
      <c r="K403" s="105" t="n"/>
      <c r="L403" s="106" t="n"/>
      <c r="M403" s="106" t="n"/>
      <c r="N403" s="106" t="n"/>
      <c r="O403" s="106" t="n"/>
      <c r="P403" s="105" t="n"/>
      <c r="Q403" s="107" t="n"/>
      <c r="R403" s="105" t="n"/>
      <c r="S403" s="107" t="n"/>
      <c r="T403" s="108">
        <f>IFERROR(L403+M403+N403+O403,0)</f>
        <v/>
      </c>
      <c r="U403" s="108">
        <f>IFERROR(H403+IFERROR(I403,0)+T403+IFERROR(AH403,0),0)</f>
        <v/>
      </c>
      <c r="V403" s="256" t="n"/>
      <c r="W403" s="257" t="n"/>
      <c r="X403" s="256" t="n"/>
      <c r="Y403" s="258" t="n"/>
      <c r="Z403" s="259" t="n"/>
      <c r="AA403" s="259" t="n"/>
      <c r="AB403" s="258" t="n"/>
      <c r="AC403" s="256" t="n"/>
      <c r="AD403" s="256" t="n"/>
      <c r="AE403" s="256" t="n"/>
      <c r="AF403" s="256" t="n"/>
      <c r="AG403" s="256" t="n"/>
      <c r="AH403" s="256">
        <f>IFERROR(IFERROR(V403,0)+IFERROR(AC403,0)+IFERROR(AD403,0)+IFERROR(AE403,0)+IFERROR(AF403,0)+IFERROR(AG403,0),0)</f>
        <v/>
      </c>
    </row>
    <row r="404" ht="15" customHeight="1" s="199">
      <c r="A404" s="104" t="n"/>
      <c r="B404" s="104" t="n"/>
      <c r="C404" s="104" t="n"/>
      <c r="D404" s="105" t="n"/>
      <c r="E404" s="105" t="n"/>
      <c r="F404" s="105" t="n"/>
      <c r="G404" s="106" t="n"/>
      <c r="H404" s="106" t="n"/>
      <c r="I404" s="106" t="n"/>
      <c r="J404" s="107" t="n"/>
      <c r="K404" s="105" t="n"/>
      <c r="L404" s="106" t="n"/>
      <c r="M404" s="106" t="n"/>
      <c r="N404" s="106" t="n"/>
      <c r="O404" s="106" t="n"/>
      <c r="P404" s="105" t="n"/>
      <c r="Q404" s="107" t="n"/>
      <c r="R404" s="105" t="n"/>
      <c r="S404" s="107" t="n"/>
      <c r="T404" s="108">
        <f>IFERROR(L404+M404+N404+O404,0)</f>
        <v/>
      </c>
      <c r="U404" s="108">
        <f>IFERROR(H404+IFERROR(I404,0)+T404+IFERROR(AH404,0),0)</f>
        <v/>
      </c>
      <c r="V404" s="256" t="n"/>
      <c r="W404" s="257" t="n"/>
      <c r="X404" s="256" t="n"/>
      <c r="Y404" s="258" t="n"/>
      <c r="Z404" s="259" t="n"/>
      <c r="AA404" s="259" t="n"/>
      <c r="AB404" s="258" t="n"/>
      <c r="AC404" s="256" t="n"/>
      <c r="AD404" s="256" t="n"/>
      <c r="AE404" s="256" t="n"/>
      <c r="AF404" s="256" t="n"/>
      <c r="AG404" s="256" t="n"/>
      <c r="AH404" s="256">
        <f>IFERROR(IFERROR(V404,0)+IFERROR(AC404,0)+IFERROR(AD404,0)+IFERROR(AE404,0)+IFERROR(AF404,0)+IFERROR(AG404,0),0)</f>
        <v/>
      </c>
    </row>
    <row r="405" ht="15" customHeight="1" s="199">
      <c r="A405" s="104" t="n"/>
      <c r="B405" s="104" t="n"/>
      <c r="C405" s="104" t="n"/>
      <c r="D405" s="105" t="n"/>
      <c r="E405" s="105" t="n"/>
      <c r="F405" s="105" t="n"/>
      <c r="G405" s="106" t="n"/>
      <c r="H405" s="106" t="n"/>
      <c r="I405" s="106" t="n"/>
      <c r="J405" s="107" t="n"/>
      <c r="K405" s="105" t="n"/>
      <c r="L405" s="106" t="n"/>
      <c r="M405" s="106" t="n"/>
      <c r="N405" s="106" t="n"/>
      <c r="O405" s="106" t="n"/>
      <c r="P405" s="105" t="n"/>
      <c r="Q405" s="107" t="n"/>
      <c r="R405" s="105" t="n"/>
      <c r="S405" s="107" t="n"/>
      <c r="T405" s="108">
        <f>IFERROR(L405+M405+N405+O405,0)</f>
        <v/>
      </c>
      <c r="U405" s="108">
        <f>IFERROR(H405+IFERROR(I405,0)+T405+IFERROR(AH405,0),0)</f>
        <v/>
      </c>
      <c r="V405" s="256" t="n"/>
      <c r="W405" s="257" t="n"/>
      <c r="X405" s="256" t="n"/>
      <c r="Y405" s="258" t="n"/>
      <c r="Z405" s="259" t="n"/>
      <c r="AA405" s="259" t="n"/>
      <c r="AB405" s="258" t="n"/>
      <c r="AC405" s="256" t="n"/>
      <c r="AD405" s="256" t="n"/>
      <c r="AE405" s="256" t="n"/>
      <c r="AF405" s="256" t="n"/>
      <c r="AG405" s="256" t="n"/>
      <c r="AH405" s="256">
        <f>IFERROR(IFERROR(V405,0)+IFERROR(AC405,0)+IFERROR(AD405,0)+IFERROR(AE405,0)+IFERROR(AF405,0)+IFERROR(AG405,0),0)</f>
        <v/>
      </c>
    </row>
    <row r="406" ht="15" customHeight="1" s="199">
      <c r="A406" s="104" t="n"/>
      <c r="B406" s="104" t="n"/>
      <c r="C406" s="104" t="n"/>
      <c r="D406" s="105" t="n"/>
      <c r="E406" s="105" t="n"/>
      <c r="F406" s="105" t="n"/>
      <c r="G406" s="106" t="n"/>
      <c r="H406" s="106" t="n"/>
      <c r="I406" s="106" t="n"/>
      <c r="J406" s="107" t="n"/>
      <c r="K406" s="105" t="n"/>
      <c r="L406" s="106" t="n"/>
      <c r="M406" s="106" t="n"/>
      <c r="N406" s="106" t="n"/>
      <c r="O406" s="106" t="n"/>
      <c r="P406" s="105" t="n"/>
      <c r="Q406" s="107" t="n"/>
      <c r="R406" s="105" t="n"/>
      <c r="S406" s="107" t="n"/>
      <c r="T406" s="108">
        <f>IFERROR(L406+M406+N406+O406,0)</f>
        <v/>
      </c>
      <c r="U406" s="108">
        <f>IFERROR(H406+IFERROR(I406,0)+T406+IFERROR(AH406,0),0)</f>
        <v/>
      </c>
      <c r="V406" s="256" t="n"/>
      <c r="W406" s="257" t="n"/>
      <c r="X406" s="256" t="n"/>
      <c r="Y406" s="258" t="n"/>
      <c r="Z406" s="259" t="n"/>
      <c r="AA406" s="259" t="n"/>
      <c r="AB406" s="258" t="n"/>
      <c r="AC406" s="256" t="n"/>
      <c r="AD406" s="256" t="n"/>
      <c r="AE406" s="256" t="n"/>
      <c r="AF406" s="256" t="n"/>
      <c r="AG406" s="256" t="n"/>
      <c r="AH406" s="256">
        <f>IFERROR(IFERROR(V406,0)+IFERROR(AC406,0)+IFERROR(AD406,0)+IFERROR(AE406,0)+IFERROR(AF406,0)+IFERROR(AG406,0),0)</f>
        <v/>
      </c>
    </row>
    <row r="407" ht="15" customHeight="1" s="199">
      <c r="A407" s="104" t="n"/>
      <c r="B407" s="104" t="n"/>
      <c r="C407" s="104" t="n"/>
      <c r="D407" s="105" t="n"/>
      <c r="E407" s="105" t="n"/>
      <c r="F407" s="105" t="n"/>
      <c r="G407" s="106" t="n"/>
      <c r="H407" s="106" t="n"/>
      <c r="I407" s="106" t="n"/>
      <c r="J407" s="107" t="n"/>
      <c r="K407" s="105" t="n"/>
      <c r="L407" s="106" t="n"/>
      <c r="M407" s="106" t="n"/>
      <c r="N407" s="106" t="n"/>
      <c r="O407" s="106" t="n"/>
      <c r="P407" s="105" t="n"/>
      <c r="Q407" s="107" t="n"/>
      <c r="R407" s="105" t="n"/>
      <c r="S407" s="107" t="n"/>
      <c r="T407" s="108">
        <f>IFERROR(L407+M407+N407+O407,0)</f>
        <v/>
      </c>
      <c r="U407" s="108">
        <f>IFERROR(H407+IFERROR(I407,0)+T407+IFERROR(AH407,0),0)</f>
        <v/>
      </c>
      <c r="V407" s="256" t="n"/>
      <c r="W407" s="257" t="n"/>
      <c r="X407" s="256" t="n"/>
      <c r="Y407" s="258" t="n"/>
      <c r="Z407" s="259" t="n"/>
      <c r="AA407" s="259" t="n"/>
      <c r="AB407" s="258" t="n"/>
      <c r="AC407" s="256" t="n"/>
      <c r="AD407" s="256" t="n"/>
      <c r="AE407" s="256" t="n"/>
      <c r="AF407" s="256" t="n"/>
      <c r="AG407" s="256" t="n"/>
      <c r="AH407" s="256">
        <f>IFERROR(IFERROR(V407,0)+IFERROR(AC407,0)+IFERROR(AD407,0)+IFERROR(AE407,0)+IFERROR(AF407,0)+IFERROR(AG407,0),0)</f>
        <v/>
      </c>
    </row>
    <row r="408" ht="15" customHeight="1" s="199">
      <c r="A408" s="104" t="n"/>
      <c r="B408" s="104" t="n"/>
      <c r="C408" s="104" t="n"/>
      <c r="D408" s="105" t="n"/>
      <c r="E408" s="105" t="n"/>
      <c r="F408" s="105" t="n"/>
      <c r="G408" s="106" t="n"/>
      <c r="H408" s="106" t="n"/>
      <c r="I408" s="106" t="n"/>
      <c r="J408" s="107" t="n"/>
      <c r="K408" s="105" t="n"/>
      <c r="L408" s="106" t="n"/>
      <c r="M408" s="106" t="n"/>
      <c r="N408" s="106" t="n"/>
      <c r="O408" s="106" t="n"/>
      <c r="P408" s="105" t="n"/>
      <c r="Q408" s="107" t="n"/>
      <c r="R408" s="105" t="n"/>
      <c r="S408" s="107" t="n"/>
      <c r="T408" s="108">
        <f>IFERROR(L408+M408+N408+O408,0)</f>
        <v/>
      </c>
      <c r="U408" s="108">
        <f>IFERROR(H408+IFERROR(I408,0)+T408+IFERROR(AH408,0),0)</f>
        <v/>
      </c>
      <c r="V408" s="256" t="n"/>
      <c r="W408" s="257" t="n"/>
      <c r="X408" s="256" t="n"/>
      <c r="Y408" s="258" t="n"/>
      <c r="Z408" s="259" t="n"/>
      <c r="AA408" s="259" t="n"/>
      <c r="AB408" s="258" t="n"/>
      <c r="AC408" s="256" t="n"/>
      <c r="AD408" s="256" t="n"/>
      <c r="AE408" s="256" t="n"/>
      <c r="AF408" s="256" t="n"/>
      <c r="AG408" s="256" t="n"/>
      <c r="AH408" s="256">
        <f>IFERROR(IFERROR(V408,0)+IFERROR(AC408,0)+IFERROR(AD408,0)+IFERROR(AE408,0)+IFERROR(AF408,0)+IFERROR(AG408,0),0)</f>
        <v/>
      </c>
    </row>
    <row r="409" ht="15" customHeight="1" s="199">
      <c r="A409" s="104" t="n"/>
      <c r="B409" s="104" t="n"/>
      <c r="C409" s="104" t="n"/>
      <c r="D409" s="105" t="n"/>
      <c r="E409" s="105" t="n"/>
      <c r="F409" s="105" t="n"/>
      <c r="G409" s="106" t="n"/>
      <c r="H409" s="106" t="n"/>
      <c r="I409" s="106" t="n"/>
      <c r="J409" s="107" t="n"/>
      <c r="K409" s="105" t="n"/>
      <c r="L409" s="106" t="n"/>
      <c r="M409" s="106" t="n"/>
      <c r="N409" s="106" t="n"/>
      <c r="O409" s="106" t="n"/>
      <c r="P409" s="105" t="n"/>
      <c r="Q409" s="107" t="n"/>
      <c r="R409" s="105" t="n"/>
      <c r="S409" s="107" t="n"/>
      <c r="T409" s="108">
        <f>IFERROR(L409+M409+N409+O409,0)</f>
        <v/>
      </c>
      <c r="U409" s="108">
        <f>IFERROR(H409+IFERROR(I409,0)+T409+IFERROR(AH409,0),0)</f>
        <v/>
      </c>
      <c r="V409" s="256" t="n"/>
      <c r="W409" s="257" t="n"/>
      <c r="X409" s="256" t="n"/>
      <c r="Y409" s="258" t="n"/>
      <c r="Z409" s="259" t="n"/>
      <c r="AA409" s="259" t="n"/>
      <c r="AB409" s="258" t="n"/>
      <c r="AC409" s="256" t="n"/>
      <c r="AD409" s="256" t="n"/>
      <c r="AE409" s="256" t="n"/>
      <c r="AF409" s="256" t="n"/>
      <c r="AG409" s="256" t="n"/>
      <c r="AH409" s="256">
        <f>IFERROR(IFERROR(V409,0)+IFERROR(AC409,0)+IFERROR(AD409,0)+IFERROR(AE409,0)+IFERROR(AF409,0)+IFERROR(AG409,0),0)</f>
        <v/>
      </c>
    </row>
    <row r="410" ht="15" customHeight="1" s="199">
      <c r="A410" s="104" t="n"/>
      <c r="B410" s="104" t="n"/>
      <c r="C410" s="104" t="n"/>
      <c r="D410" s="105" t="n"/>
      <c r="E410" s="105" t="n"/>
      <c r="F410" s="105" t="n"/>
      <c r="G410" s="106" t="n"/>
      <c r="H410" s="106" t="n"/>
      <c r="I410" s="106" t="n"/>
      <c r="J410" s="107" t="n"/>
      <c r="K410" s="105" t="n"/>
      <c r="L410" s="106" t="n"/>
      <c r="M410" s="106" t="n"/>
      <c r="N410" s="106" t="n"/>
      <c r="O410" s="106" t="n"/>
      <c r="P410" s="105" t="n"/>
      <c r="Q410" s="107" t="n"/>
      <c r="R410" s="105" t="n"/>
      <c r="S410" s="107" t="n"/>
      <c r="T410" s="108">
        <f>IFERROR(L410+M410+N410+O410,0)</f>
        <v/>
      </c>
      <c r="U410" s="108">
        <f>IFERROR(H410+IFERROR(I410,0)+T410+IFERROR(AH410,0),0)</f>
        <v/>
      </c>
      <c r="V410" s="256" t="n"/>
      <c r="W410" s="257" t="n"/>
      <c r="X410" s="256" t="n"/>
      <c r="Y410" s="258" t="n"/>
      <c r="Z410" s="259" t="n"/>
      <c r="AA410" s="259" t="n"/>
      <c r="AB410" s="258" t="n"/>
      <c r="AC410" s="256" t="n"/>
      <c r="AD410" s="256" t="n"/>
      <c r="AE410" s="256" t="n"/>
      <c r="AF410" s="256" t="n"/>
      <c r="AG410" s="256" t="n"/>
      <c r="AH410" s="256">
        <f>IFERROR(IFERROR(V410,0)+IFERROR(AC410,0)+IFERROR(AD410,0)+IFERROR(AE410,0)+IFERROR(AF410,0)+IFERROR(AG410,0),0)</f>
        <v/>
      </c>
    </row>
    <row r="411" ht="15" customHeight="1" s="199">
      <c r="A411" s="104" t="n"/>
      <c r="B411" s="104" t="n"/>
      <c r="C411" s="104" t="n"/>
      <c r="D411" s="105" t="n"/>
      <c r="E411" s="105" t="n"/>
      <c r="F411" s="105" t="n"/>
      <c r="G411" s="106" t="n"/>
      <c r="H411" s="106" t="n"/>
      <c r="I411" s="106" t="n"/>
      <c r="J411" s="107" t="n"/>
      <c r="K411" s="105" t="n"/>
      <c r="L411" s="106" t="n"/>
      <c r="M411" s="106" t="n"/>
      <c r="N411" s="106" t="n"/>
      <c r="O411" s="106" t="n"/>
      <c r="P411" s="105" t="n"/>
      <c r="Q411" s="107" t="n"/>
      <c r="R411" s="105" t="n"/>
      <c r="S411" s="107" t="n"/>
      <c r="T411" s="108">
        <f>IFERROR(L411+M411+N411+O411,0)</f>
        <v/>
      </c>
      <c r="U411" s="108">
        <f>IFERROR(H411+IFERROR(I411,0)+T411+IFERROR(AH411,0),0)</f>
        <v/>
      </c>
      <c r="V411" s="256" t="n"/>
      <c r="W411" s="257" t="n"/>
      <c r="X411" s="256" t="n"/>
      <c r="Y411" s="258" t="n"/>
      <c r="Z411" s="259" t="n"/>
      <c r="AA411" s="259" t="n"/>
      <c r="AB411" s="258" t="n"/>
      <c r="AC411" s="256" t="n"/>
      <c r="AD411" s="256" t="n"/>
      <c r="AE411" s="256" t="n"/>
      <c r="AF411" s="256" t="n"/>
      <c r="AG411" s="256" t="n"/>
      <c r="AH411" s="256">
        <f>IFERROR(IFERROR(V411,0)+IFERROR(AC411,0)+IFERROR(AD411,0)+IFERROR(AE411,0)+IFERROR(AF411,0)+IFERROR(AG411,0),0)</f>
        <v/>
      </c>
    </row>
    <row r="412" ht="15" customHeight="1" s="199">
      <c r="A412" s="104" t="n"/>
      <c r="B412" s="104" t="n"/>
      <c r="C412" s="104" t="n"/>
      <c r="D412" s="105" t="n"/>
      <c r="E412" s="105" t="n"/>
      <c r="F412" s="105" t="n"/>
      <c r="G412" s="106" t="n"/>
      <c r="H412" s="106" t="n"/>
      <c r="I412" s="106" t="n"/>
      <c r="J412" s="107" t="n"/>
      <c r="K412" s="105" t="n"/>
      <c r="L412" s="106" t="n"/>
      <c r="M412" s="106" t="n"/>
      <c r="N412" s="106" t="n"/>
      <c r="O412" s="106" t="n"/>
      <c r="P412" s="105" t="n"/>
      <c r="Q412" s="107" t="n"/>
      <c r="R412" s="105" t="n"/>
      <c r="S412" s="107" t="n"/>
      <c r="T412" s="108">
        <f>IFERROR(L412+M412+N412+O412,0)</f>
        <v/>
      </c>
      <c r="U412" s="108">
        <f>IFERROR(H412+IFERROR(I412,0)+T412+IFERROR(AH412,0),0)</f>
        <v/>
      </c>
      <c r="V412" s="256" t="n"/>
      <c r="W412" s="257" t="n"/>
      <c r="X412" s="256" t="n"/>
      <c r="Y412" s="258" t="n"/>
      <c r="Z412" s="259" t="n"/>
      <c r="AA412" s="259" t="n"/>
      <c r="AB412" s="258" t="n"/>
      <c r="AC412" s="256" t="n"/>
      <c r="AD412" s="256" t="n"/>
      <c r="AE412" s="256" t="n"/>
      <c r="AF412" s="256" t="n"/>
      <c r="AG412" s="256" t="n"/>
      <c r="AH412" s="256">
        <f>IFERROR(IFERROR(V412,0)+IFERROR(AC412,0)+IFERROR(AD412,0)+IFERROR(AE412,0)+IFERROR(AF412,0)+IFERROR(AG412,0),0)</f>
        <v/>
      </c>
    </row>
    <row r="413" ht="15" customHeight="1" s="199">
      <c r="A413" s="104" t="n"/>
      <c r="B413" s="104" t="n"/>
      <c r="C413" s="104" t="n"/>
      <c r="D413" s="105" t="n"/>
      <c r="E413" s="105" t="n"/>
      <c r="F413" s="105" t="n"/>
      <c r="G413" s="106" t="n"/>
      <c r="H413" s="106" t="n"/>
      <c r="I413" s="106" t="n"/>
      <c r="J413" s="107" t="n"/>
      <c r="K413" s="105" t="n"/>
      <c r="L413" s="106" t="n"/>
      <c r="M413" s="106" t="n"/>
      <c r="N413" s="106" t="n"/>
      <c r="O413" s="106" t="n"/>
      <c r="P413" s="105" t="n"/>
      <c r="Q413" s="107" t="n"/>
      <c r="R413" s="105" t="n"/>
      <c r="S413" s="107" t="n"/>
      <c r="T413" s="108">
        <f>IFERROR(L413+M413+N413+O413,0)</f>
        <v/>
      </c>
      <c r="U413" s="108">
        <f>IFERROR(H413+IFERROR(I413,0)+T413+IFERROR(AH413,0),0)</f>
        <v/>
      </c>
      <c r="V413" s="256" t="n"/>
      <c r="W413" s="257" t="n"/>
      <c r="X413" s="256" t="n"/>
      <c r="Y413" s="258" t="n"/>
      <c r="Z413" s="259" t="n"/>
      <c r="AA413" s="259" t="n"/>
      <c r="AB413" s="258" t="n"/>
      <c r="AC413" s="256" t="n"/>
      <c r="AD413" s="256" t="n"/>
      <c r="AE413" s="256" t="n"/>
      <c r="AF413" s="256" t="n"/>
      <c r="AG413" s="256" t="n"/>
      <c r="AH413" s="256">
        <f>IFERROR(IFERROR(V413,0)+IFERROR(AC413,0)+IFERROR(AD413,0)+IFERROR(AE413,0)+IFERROR(AF413,0)+IFERROR(AG413,0),0)</f>
        <v/>
      </c>
    </row>
    <row r="414" ht="15" customHeight="1" s="199">
      <c r="A414" s="104" t="n"/>
      <c r="B414" s="104" t="n"/>
      <c r="C414" s="104" t="n"/>
      <c r="D414" s="105" t="n"/>
      <c r="E414" s="105" t="n"/>
      <c r="F414" s="105" t="n"/>
      <c r="G414" s="106" t="n"/>
      <c r="H414" s="106" t="n"/>
      <c r="I414" s="106" t="n"/>
      <c r="J414" s="107" t="n"/>
      <c r="K414" s="105" t="n"/>
      <c r="L414" s="106" t="n"/>
      <c r="M414" s="106" t="n"/>
      <c r="N414" s="106" t="n"/>
      <c r="O414" s="106" t="n"/>
      <c r="P414" s="105" t="n"/>
      <c r="Q414" s="107" t="n"/>
      <c r="R414" s="105" t="n"/>
      <c r="S414" s="107" t="n"/>
      <c r="T414" s="108">
        <f>IFERROR(L414+M414+N414+O414,0)</f>
        <v/>
      </c>
      <c r="U414" s="108">
        <f>IFERROR(H414+IFERROR(I414,0)+T414+IFERROR(AH414,0),0)</f>
        <v/>
      </c>
      <c r="V414" s="256" t="n"/>
      <c r="W414" s="257" t="n"/>
      <c r="X414" s="256" t="n"/>
      <c r="Y414" s="258" t="n"/>
      <c r="Z414" s="259" t="n"/>
      <c r="AA414" s="259" t="n"/>
      <c r="AB414" s="258" t="n"/>
      <c r="AC414" s="256" t="n"/>
      <c r="AD414" s="256" t="n"/>
      <c r="AE414" s="256" t="n"/>
      <c r="AF414" s="256" t="n"/>
      <c r="AG414" s="256" t="n"/>
      <c r="AH414" s="256">
        <f>IFERROR(IFERROR(V414,0)+IFERROR(AC414,0)+IFERROR(AD414,0)+IFERROR(AE414,0)+IFERROR(AF414,0)+IFERROR(AG414,0),0)</f>
        <v/>
      </c>
    </row>
    <row r="415" ht="15" customHeight="1" s="199">
      <c r="A415" s="104" t="n"/>
      <c r="B415" s="104" t="n"/>
      <c r="C415" s="104" t="n"/>
      <c r="D415" s="105" t="n"/>
      <c r="E415" s="105" t="n"/>
      <c r="F415" s="105" t="n"/>
      <c r="G415" s="106" t="n"/>
      <c r="H415" s="106" t="n"/>
      <c r="I415" s="106" t="n"/>
      <c r="J415" s="107" t="n"/>
      <c r="K415" s="105" t="n"/>
      <c r="L415" s="106" t="n"/>
      <c r="M415" s="106" t="n"/>
      <c r="N415" s="106" t="n"/>
      <c r="O415" s="106" t="n"/>
      <c r="P415" s="105" t="n"/>
      <c r="Q415" s="107" t="n"/>
      <c r="R415" s="105" t="n"/>
      <c r="S415" s="107" t="n"/>
      <c r="T415" s="108">
        <f>IFERROR(L415+M415+N415+O415,0)</f>
        <v/>
      </c>
      <c r="U415" s="108">
        <f>IFERROR(H415+IFERROR(I415,0)+T415+IFERROR(AH415,0),0)</f>
        <v/>
      </c>
      <c r="V415" s="256" t="n"/>
      <c r="W415" s="257" t="n"/>
      <c r="X415" s="256" t="n"/>
      <c r="Y415" s="258" t="n"/>
      <c r="Z415" s="259" t="n"/>
      <c r="AA415" s="259" t="n"/>
      <c r="AB415" s="258" t="n"/>
      <c r="AC415" s="256" t="n"/>
      <c r="AD415" s="256" t="n"/>
      <c r="AE415" s="256" t="n"/>
      <c r="AF415" s="256" t="n"/>
      <c r="AG415" s="256" t="n"/>
      <c r="AH415" s="256">
        <f>IFERROR(IFERROR(V415,0)+IFERROR(AC415,0)+IFERROR(AD415,0)+IFERROR(AE415,0)+IFERROR(AF415,0)+IFERROR(AG415,0),0)</f>
        <v/>
      </c>
    </row>
    <row r="416" ht="15" customHeight="1" s="199">
      <c r="A416" s="104" t="n"/>
      <c r="B416" s="104" t="n"/>
      <c r="C416" s="104" t="n"/>
      <c r="D416" s="105" t="n"/>
      <c r="E416" s="105" t="n"/>
      <c r="F416" s="105" t="n"/>
      <c r="G416" s="106" t="n"/>
      <c r="H416" s="106" t="n"/>
      <c r="I416" s="106" t="n"/>
      <c r="J416" s="107" t="n"/>
      <c r="K416" s="105" t="n"/>
      <c r="L416" s="106" t="n"/>
      <c r="M416" s="106" t="n"/>
      <c r="N416" s="106" t="n"/>
      <c r="O416" s="106" t="n"/>
      <c r="P416" s="105" t="n"/>
      <c r="Q416" s="107" t="n"/>
      <c r="R416" s="105" t="n"/>
      <c r="S416" s="107" t="n"/>
      <c r="T416" s="108">
        <f>IFERROR(L416+M416+N416+O416,0)</f>
        <v/>
      </c>
      <c r="U416" s="108">
        <f>IFERROR(H416+IFERROR(I416,0)+T416+IFERROR(AH416,0),0)</f>
        <v/>
      </c>
      <c r="V416" s="256" t="n"/>
      <c r="W416" s="257" t="n"/>
      <c r="X416" s="256" t="n"/>
      <c r="Y416" s="258" t="n"/>
      <c r="Z416" s="259" t="n"/>
      <c r="AA416" s="259" t="n"/>
      <c r="AB416" s="258" t="n"/>
      <c r="AC416" s="256" t="n"/>
      <c r="AD416" s="256" t="n"/>
      <c r="AE416" s="256" t="n"/>
      <c r="AF416" s="256" t="n"/>
      <c r="AG416" s="256" t="n"/>
      <c r="AH416" s="256">
        <f>IFERROR(IFERROR(V416,0)+IFERROR(AC416,0)+IFERROR(AD416,0)+IFERROR(AE416,0)+IFERROR(AF416,0)+IFERROR(AG416,0),0)</f>
        <v/>
      </c>
    </row>
    <row r="417" ht="15" customHeight="1" s="199">
      <c r="A417" s="104" t="n"/>
      <c r="B417" s="104" t="n"/>
      <c r="C417" s="104" t="n"/>
      <c r="D417" s="105" t="n"/>
      <c r="E417" s="105" t="n"/>
      <c r="F417" s="105" t="n"/>
      <c r="G417" s="106" t="n"/>
      <c r="H417" s="106" t="n"/>
      <c r="I417" s="106" t="n"/>
      <c r="J417" s="107" t="n"/>
      <c r="K417" s="105" t="n"/>
      <c r="L417" s="106" t="n"/>
      <c r="M417" s="106" t="n"/>
      <c r="N417" s="106" t="n"/>
      <c r="O417" s="106" t="n"/>
      <c r="P417" s="105" t="n"/>
      <c r="Q417" s="107" t="n"/>
      <c r="R417" s="105" t="n"/>
      <c r="S417" s="107" t="n"/>
      <c r="T417" s="108">
        <f>IFERROR(L417+M417+N417+O417,0)</f>
        <v/>
      </c>
      <c r="U417" s="108">
        <f>IFERROR(H417+IFERROR(I417,0)+T417+IFERROR(AH417,0),0)</f>
        <v/>
      </c>
      <c r="V417" s="256" t="n"/>
      <c r="W417" s="257" t="n"/>
      <c r="X417" s="256" t="n"/>
      <c r="Y417" s="258" t="n"/>
      <c r="Z417" s="259" t="n"/>
      <c r="AA417" s="259" t="n"/>
      <c r="AB417" s="258" t="n"/>
      <c r="AC417" s="256" t="n"/>
      <c r="AD417" s="256" t="n"/>
      <c r="AE417" s="256" t="n"/>
      <c r="AF417" s="256" t="n"/>
      <c r="AG417" s="256" t="n"/>
      <c r="AH417" s="256">
        <f>IFERROR(IFERROR(V417,0)+IFERROR(AC417,0)+IFERROR(AD417,0)+IFERROR(AE417,0)+IFERROR(AF417,0)+IFERROR(AG417,0),0)</f>
        <v/>
      </c>
    </row>
    <row r="418" ht="15" customHeight="1" s="199">
      <c r="A418" s="104" t="n"/>
      <c r="B418" s="104" t="n"/>
      <c r="C418" s="104" t="n"/>
      <c r="D418" s="105" t="n"/>
      <c r="E418" s="105" t="n"/>
      <c r="F418" s="105" t="n"/>
      <c r="G418" s="106" t="n"/>
      <c r="H418" s="106" t="n"/>
      <c r="I418" s="106" t="n"/>
      <c r="J418" s="107" t="n"/>
      <c r="K418" s="105" t="n"/>
      <c r="L418" s="106" t="n"/>
      <c r="M418" s="106" t="n"/>
      <c r="N418" s="106" t="n"/>
      <c r="O418" s="106" t="n"/>
      <c r="P418" s="105" t="n"/>
      <c r="Q418" s="107" t="n"/>
      <c r="R418" s="105" t="n"/>
      <c r="S418" s="107" t="n"/>
      <c r="T418" s="108">
        <f>IFERROR(L418+M418+N418+O418,0)</f>
        <v/>
      </c>
      <c r="U418" s="108">
        <f>IFERROR(H418+IFERROR(I418,0)+T418+IFERROR(AH418,0),0)</f>
        <v/>
      </c>
      <c r="V418" s="256" t="n"/>
      <c r="W418" s="257" t="n"/>
      <c r="X418" s="256" t="n"/>
      <c r="Y418" s="258" t="n"/>
      <c r="Z418" s="259" t="n"/>
      <c r="AA418" s="259" t="n"/>
      <c r="AB418" s="258" t="n"/>
      <c r="AC418" s="256" t="n"/>
      <c r="AD418" s="256" t="n"/>
      <c r="AE418" s="256" t="n"/>
      <c r="AF418" s="256" t="n"/>
      <c r="AG418" s="256" t="n"/>
      <c r="AH418" s="256">
        <f>IFERROR(IFERROR(V418,0)+IFERROR(AC418,0)+IFERROR(AD418,0)+IFERROR(AE418,0)+IFERROR(AF418,0)+IFERROR(AG418,0),0)</f>
        <v/>
      </c>
    </row>
    <row r="419" ht="15" customHeight="1" s="199">
      <c r="A419" s="104" t="n"/>
      <c r="B419" s="104" t="n"/>
      <c r="C419" s="104" t="n"/>
      <c r="D419" s="105" t="n"/>
      <c r="E419" s="105" t="n"/>
      <c r="F419" s="105" t="n"/>
      <c r="G419" s="106" t="n"/>
      <c r="H419" s="106" t="n"/>
      <c r="I419" s="106" t="n"/>
      <c r="J419" s="107" t="n"/>
      <c r="K419" s="105" t="n"/>
      <c r="L419" s="106" t="n"/>
      <c r="M419" s="106" t="n"/>
      <c r="N419" s="106" t="n"/>
      <c r="O419" s="106" t="n"/>
      <c r="P419" s="105" t="n"/>
      <c r="Q419" s="107" t="n"/>
      <c r="R419" s="105" t="n"/>
      <c r="S419" s="107" t="n"/>
      <c r="T419" s="108">
        <f>IFERROR(L419+M419+N419+O419,0)</f>
        <v/>
      </c>
      <c r="U419" s="108">
        <f>IFERROR(H419+IFERROR(I419,0)+T419+IFERROR(AH419,0),0)</f>
        <v/>
      </c>
      <c r="V419" s="256" t="n"/>
      <c r="W419" s="257" t="n"/>
      <c r="X419" s="256" t="n"/>
      <c r="Y419" s="258" t="n"/>
      <c r="Z419" s="259" t="n"/>
      <c r="AA419" s="259" t="n"/>
      <c r="AB419" s="258" t="n"/>
      <c r="AC419" s="256" t="n"/>
      <c r="AD419" s="256" t="n"/>
      <c r="AE419" s="256" t="n"/>
      <c r="AF419" s="256" t="n"/>
      <c r="AG419" s="256" t="n"/>
      <c r="AH419" s="256">
        <f>IFERROR(IFERROR(V419,0)+IFERROR(AC419,0)+IFERROR(AD419,0)+IFERROR(AE419,0)+IFERROR(AF419,0)+IFERROR(AG419,0),0)</f>
        <v/>
      </c>
    </row>
    <row r="420" ht="15" customHeight="1" s="199">
      <c r="A420" s="104" t="n"/>
      <c r="B420" s="104" t="n"/>
      <c r="C420" s="104" t="n"/>
      <c r="D420" s="105" t="n"/>
      <c r="E420" s="105" t="n"/>
      <c r="F420" s="105" t="n"/>
      <c r="G420" s="106" t="n"/>
      <c r="H420" s="106" t="n"/>
      <c r="I420" s="106" t="n"/>
      <c r="J420" s="107" t="n"/>
      <c r="K420" s="105" t="n"/>
      <c r="L420" s="106" t="n"/>
      <c r="M420" s="106" t="n"/>
      <c r="N420" s="106" t="n"/>
      <c r="O420" s="106" t="n"/>
      <c r="P420" s="105" t="n"/>
      <c r="Q420" s="107" t="n"/>
      <c r="R420" s="105" t="n"/>
      <c r="S420" s="107" t="n"/>
      <c r="T420" s="108">
        <f>IFERROR(L420+M420+N420+O420,0)</f>
        <v/>
      </c>
      <c r="U420" s="108">
        <f>IFERROR(H420+IFERROR(I420,0)+T420+IFERROR(AH420,0),0)</f>
        <v/>
      </c>
      <c r="V420" s="256" t="n"/>
      <c r="W420" s="257" t="n"/>
      <c r="X420" s="256" t="n"/>
      <c r="Y420" s="258" t="n"/>
      <c r="Z420" s="259" t="n"/>
      <c r="AA420" s="259" t="n"/>
      <c r="AB420" s="258" t="n"/>
      <c r="AC420" s="256" t="n"/>
      <c r="AD420" s="256" t="n"/>
      <c r="AE420" s="256" t="n"/>
      <c r="AF420" s="256" t="n"/>
      <c r="AG420" s="256" t="n"/>
      <c r="AH420" s="256">
        <f>IFERROR(IFERROR(V420,0)+IFERROR(AC420,0)+IFERROR(AD420,0)+IFERROR(AE420,0)+IFERROR(AF420,0)+IFERROR(AG420,0),0)</f>
        <v/>
      </c>
    </row>
    <row r="421" ht="15" customHeight="1" s="199">
      <c r="A421" s="104" t="n"/>
      <c r="B421" s="104" t="n"/>
      <c r="C421" s="104" t="n"/>
      <c r="D421" s="105" t="n"/>
      <c r="E421" s="105" t="n"/>
      <c r="F421" s="105" t="n"/>
      <c r="G421" s="106" t="n"/>
      <c r="H421" s="106" t="n"/>
      <c r="I421" s="106" t="n"/>
      <c r="J421" s="107" t="n"/>
      <c r="K421" s="105" t="n"/>
      <c r="L421" s="106" t="n"/>
      <c r="M421" s="106" t="n"/>
      <c r="N421" s="106" t="n"/>
      <c r="O421" s="106" t="n"/>
      <c r="P421" s="105" t="n"/>
      <c r="Q421" s="107" t="n"/>
      <c r="R421" s="105" t="n"/>
      <c r="S421" s="107" t="n"/>
      <c r="T421" s="108">
        <f>IFERROR(L421+M421+N421+O421,0)</f>
        <v/>
      </c>
      <c r="U421" s="108">
        <f>IFERROR(H421+IFERROR(I421,0)+T421+IFERROR(AH421,0),0)</f>
        <v/>
      </c>
      <c r="V421" s="256" t="n"/>
      <c r="W421" s="257" t="n"/>
      <c r="X421" s="256" t="n"/>
      <c r="Y421" s="258" t="n"/>
      <c r="Z421" s="259" t="n"/>
      <c r="AA421" s="259" t="n"/>
      <c r="AB421" s="258" t="n"/>
      <c r="AC421" s="256" t="n"/>
      <c r="AD421" s="256" t="n"/>
      <c r="AE421" s="256" t="n"/>
      <c r="AF421" s="256" t="n"/>
      <c r="AG421" s="256" t="n"/>
      <c r="AH421" s="256">
        <f>IFERROR(IFERROR(V421,0)+IFERROR(AC421,0)+IFERROR(AD421,0)+IFERROR(AE421,0)+IFERROR(AF421,0)+IFERROR(AG421,0),0)</f>
        <v/>
      </c>
    </row>
    <row r="422" ht="15" customHeight="1" s="199">
      <c r="A422" s="104" t="n"/>
      <c r="B422" s="104" t="n"/>
      <c r="C422" s="104" t="n"/>
      <c r="D422" s="105" t="n"/>
      <c r="E422" s="105" t="n"/>
      <c r="F422" s="105" t="n"/>
      <c r="G422" s="106" t="n"/>
      <c r="H422" s="106" t="n"/>
      <c r="I422" s="106" t="n"/>
      <c r="J422" s="107" t="n"/>
      <c r="K422" s="105" t="n"/>
      <c r="L422" s="106" t="n"/>
      <c r="M422" s="106" t="n"/>
      <c r="N422" s="106" t="n"/>
      <c r="O422" s="106" t="n"/>
      <c r="P422" s="105" t="n"/>
      <c r="Q422" s="107" t="n"/>
      <c r="R422" s="105" t="n"/>
      <c r="S422" s="107" t="n"/>
      <c r="T422" s="108">
        <f>IFERROR(L422+M422+N422+O422,0)</f>
        <v/>
      </c>
      <c r="U422" s="108">
        <f>IFERROR(H422+IFERROR(I422,0)+T422+IFERROR(AH422,0),0)</f>
        <v/>
      </c>
      <c r="V422" s="256" t="n"/>
      <c r="W422" s="257" t="n"/>
      <c r="X422" s="256" t="n"/>
      <c r="Y422" s="258" t="n"/>
      <c r="Z422" s="259" t="n"/>
      <c r="AA422" s="259" t="n"/>
      <c r="AB422" s="258" t="n"/>
      <c r="AC422" s="256" t="n"/>
      <c r="AD422" s="256" t="n"/>
      <c r="AE422" s="256" t="n"/>
      <c r="AF422" s="256" t="n"/>
      <c r="AG422" s="256" t="n"/>
      <c r="AH422" s="256">
        <f>IFERROR(IFERROR(V422,0)+IFERROR(AC422,0)+IFERROR(AD422,0)+IFERROR(AE422,0)+IFERROR(AF422,0)+IFERROR(AG422,0),0)</f>
        <v/>
      </c>
    </row>
    <row r="423" ht="15" customHeight="1" s="199">
      <c r="A423" s="104" t="n"/>
      <c r="B423" s="104" t="n"/>
      <c r="C423" s="104" t="n"/>
      <c r="D423" s="105" t="n"/>
      <c r="E423" s="105" t="n"/>
      <c r="F423" s="105" t="n"/>
      <c r="G423" s="106" t="n"/>
      <c r="H423" s="106" t="n"/>
      <c r="I423" s="106" t="n"/>
      <c r="J423" s="107" t="n"/>
      <c r="K423" s="105" t="n"/>
      <c r="L423" s="106" t="n"/>
      <c r="M423" s="106" t="n"/>
      <c r="N423" s="106" t="n"/>
      <c r="O423" s="106" t="n"/>
      <c r="P423" s="105" t="n"/>
      <c r="Q423" s="107" t="n"/>
      <c r="R423" s="105" t="n"/>
      <c r="S423" s="107" t="n"/>
      <c r="T423" s="108">
        <f>IFERROR(L423+M423+N423+O423,0)</f>
        <v/>
      </c>
      <c r="U423" s="108">
        <f>IFERROR(H423+IFERROR(I423,0)+T423+IFERROR(AH423,0),0)</f>
        <v/>
      </c>
      <c r="V423" s="256" t="n"/>
      <c r="W423" s="257" t="n"/>
      <c r="X423" s="256" t="n"/>
      <c r="Y423" s="258" t="n"/>
      <c r="Z423" s="259" t="n"/>
      <c r="AA423" s="259" t="n"/>
      <c r="AB423" s="258" t="n"/>
      <c r="AC423" s="256" t="n"/>
      <c r="AD423" s="256" t="n"/>
      <c r="AE423" s="256" t="n"/>
      <c r="AF423" s="256" t="n"/>
      <c r="AG423" s="256" t="n"/>
      <c r="AH423" s="256">
        <f>IFERROR(IFERROR(V423,0)+IFERROR(AC423,0)+IFERROR(AD423,0)+IFERROR(AE423,0)+IFERROR(AF423,0)+IFERROR(AG423,0),0)</f>
        <v/>
      </c>
    </row>
    <row r="424" ht="15" customHeight="1" s="199">
      <c r="A424" s="104" t="n"/>
      <c r="B424" s="104" t="n"/>
      <c r="C424" s="104" t="n"/>
      <c r="D424" s="105" t="n"/>
      <c r="E424" s="105" t="n"/>
      <c r="F424" s="105" t="n"/>
      <c r="G424" s="106" t="n"/>
      <c r="H424" s="106" t="n"/>
      <c r="I424" s="106" t="n"/>
      <c r="J424" s="107" t="n"/>
      <c r="K424" s="105" t="n"/>
      <c r="L424" s="106" t="n"/>
      <c r="M424" s="106" t="n"/>
      <c r="N424" s="106" t="n"/>
      <c r="O424" s="106" t="n"/>
      <c r="P424" s="105" t="n"/>
      <c r="Q424" s="107" t="n"/>
      <c r="R424" s="105" t="n"/>
      <c r="S424" s="107" t="n"/>
      <c r="T424" s="108">
        <f>IFERROR(L424+M424+N424+O424,0)</f>
        <v/>
      </c>
      <c r="U424" s="108">
        <f>IFERROR(H424+IFERROR(I424,0)+T424+IFERROR(AH424,0),0)</f>
        <v/>
      </c>
      <c r="V424" s="256" t="n"/>
      <c r="W424" s="257" t="n"/>
      <c r="X424" s="256" t="n"/>
      <c r="Y424" s="258" t="n"/>
      <c r="Z424" s="259" t="n"/>
      <c r="AA424" s="259" t="n"/>
      <c r="AB424" s="258" t="n"/>
      <c r="AC424" s="256" t="n"/>
      <c r="AD424" s="256" t="n"/>
      <c r="AE424" s="256" t="n"/>
      <c r="AF424" s="256" t="n"/>
      <c r="AG424" s="256" t="n"/>
      <c r="AH424" s="256">
        <f>IFERROR(IFERROR(V424,0)+IFERROR(AC424,0)+IFERROR(AD424,0)+IFERROR(AE424,0)+IFERROR(AF424,0)+IFERROR(AG424,0),0)</f>
        <v/>
      </c>
    </row>
    <row r="425" ht="15" customHeight="1" s="199">
      <c r="A425" s="104" t="n"/>
      <c r="B425" s="104" t="n"/>
      <c r="C425" s="104" t="n"/>
      <c r="D425" s="105" t="n"/>
      <c r="E425" s="105" t="n"/>
      <c r="F425" s="105" t="n"/>
      <c r="G425" s="106" t="n"/>
      <c r="H425" s="106" t="n"/>
      <c r="I425" s="106" t="n"/>
      <c r="J425" s="107" t="n"/>
      <c r="K425" s="105" t="n"/>
      <c r="L425" s="106" t="n"/>
      <c r="M425" s="106" t="n"/>
      <c r="N425" s="106" t="n"/>
      <c r="O425" s="106" t="n"/>
      <c r="P425" s="105" t="n"/>
      <c r="Q425" s="107" t="n"/>
      <c r="R425" s="105" t="n"/>
      <c r="S425" s="107" t="n"/>
      <c r="T425" s="108">
        <f>IFERROR(L425+M425+N425+O425,0)</f>
        <v/>
      </c>
      <c r="U425" s="108">
        <f>IFERROR(H425+IFERROR(I425,0)+T425+IFERROR(AH425,0),0)</f>
        <v/>
      </c>
      <c r="V425" s="256" t="n"/>
      <c r="W425" s="257" t="n"/>
      <c r="X425" s="256" t="n"/>
      <c r="Y425" s="258" t="n"/>
      <c r="Z425" s="259" t="n"/>
      <c r="AA425" s="259" t="n"/>
      <c r="AB425" s="258" t="n"/>
      <c r="AC425" s="256" t="n"/>
      <c r="AD425" s="256" t="n"/>
      <c r="AE425" s="256" t="n"/>
      <c r="AF425" s="256" t="n"/>
      <c r="AG425" s="256" t="n"/>
      <c r="AH425" s="256">
        <f>IFERROR(IFERROR(V425,0)+IFERROR(AC425,0)+IFERROR(AD425,0)+IFERROR(AE425,0)+IFERROR(AF425,0)+IFERROR(AG425,0),0)</f>
        <v/>
      </c>
    </row>
    <row r="426" ht="15" customHeight="1" s="199">
      <c r="A426" s="104" t="n"/>
      <c r="B426" s="104" t="n"/>
      <c r="C426" s="104" t="n"/>
      <c r="D426" s="105" t="n"/>
      <c r="E426" s="105" t="n"/>
      <c r="F426" s="105" t="n"/>
      <c r="G426" s="106" t="n"/>
      <c r="H426" s="106" t="n"/>
      <c r="I426" s="106" t="n"/>
      <c r="J426" s="107" t="n"/>
      <c r="K426" s="105" t="n"/>
      <c r="L426" s="106" t="n"/>
      <c r="M426" s="106" t="n"/>
      <c r="N426" s="106" t="n"/>
      <c r="O426" s="106" t="n"/>
      <c r="P426" s="105" t="n"/>
      <c r="Q426" s="107" t="n"/>
      <c r="R426" s="105" t="n"/>
      <c r="S426" s="107" t="n"/>
      <c r="T426" s="108">
        <f>IFERROR(L426+M426+N426+O426,0)</f>
        <v/>
      </c>
      <c r="U426" s="108">
        <f>IFERROR(H426+IFERROR(I426,0)+T426+IFERROR(AH426,0),0)</f>
        <v/>
      </c>
      <c r="V426" s="256" t="n"/>
      <c r="W426" s="257" t="n"/>
      <c r="X426" s="256" t="n"/>
      <c r="Y426" s="258" t="n"/>
      <c r="Z426" s="259" t="n"/>
      <c r="AA426" s="259" t="n"/>
      <c r="AB426" s="258" t="n"/>
      <c r="AC426" s="256" t="n"/>
      <c r="AD426" s="256" t="n"/>
      <c r="AE426" s="256" t="n"/>
      <c r="AF426" s="256" t="n"/>
      <c r="AG426" s="256" t="n"/>
      <c r="AH426" s="256">
        <f>IFERROR(IFERROR(V426,0)+IFERROR(AC426,0)+IFERROR(AD426,0)+IFERROR(AE426,0)+IFERROR(AF426,0)+IFERROR(AG426,0),0)</f>
        <v/>
      </c>
    </row>
    <row r="427" ht="15" customHeight="1" s="199">
      <c r="A427" s="104" t="n"/>
      <c r="B427" s="104" t="n"/>
      <c r="C427" s="104" t="n"/>
      <c r="D427" s="105" t="n"/>
      <c r="E427" s="105" t="n"/>
      <c r="F427" s="105" t="n"/>
      <c r="G427" s="106" t="n"/>
      <c r="H427" s="106" t="n"/>
      <c r="I427" s="106" t="n"/>
      <c r="J427" s="107" t="n"/>
      <c r="K427" s="105" t="n"/>
      <c r="L427" s="106" t="n"/>
      <c r="M427" s="106" t="n"/>
      <c r="N427" s="106" t="n"/>
      <c r="O427" s="106" t="n"/>
      <c r="P427" s="105" t="n"/>
      <c r="Q427" s="107" t="n"/>
      <c r="R427" s="105" t="n"/>
      <c r="S427" s="107" t="n"/>
      <c r="T427" s="108">
        <f>IFERROR(L427+M427+N427+O427,0)</f>
        <v/>
      </c>
      <c r="U427" s="108">
        <f>IFERROR(H427+IFERROR(I427,0)+T427+IFERROR(AH427,0),0)</f>
        <v/>
      </c>
      <c r="V427" s="256" t="n"/>
      <c r="W427" s="257" t="n"/>
      <c r="X427" s="256" t="n"/>
      <c r="Y427" s="258" t="n"/>
      <c r="Z427" s="259" t="n"/>
      <c r="AA427" s="259" t="n"/>
      <c r="AB427" s="258" t="n"/>
      <c r="AC427" s="256" t="n"/>
      <c r="AD427" s="256" t="n"/>
      <c r="AE427" s="256" t="n"/>
      <c r="AF427" s="256" t="n"/>
      <c r="AG427" s="256" t="n"/>
      <c r="AH427" s="256">
        <f>IFERROR(IFERROR(V427,0)+IFERROR(AC427,0)+IFERROR(AD427,0)+IFERROR(AE427,0)+IFERROR(AF427,0)+IFERROR(AG427,0),0)</f>
        <v/>
      </c>
    </row>
    <row r="428" ht="15" customHeight="1" s="199">
      <c r="A428" s="104" t="n"/>
      <c r="B428" s="104" t="n"/>
      <c r="C428" s="104" t="n"/>
      <c r="D428" s="105" t="n"/>
      <c r="E428" s="105" t="n"/>
      <c r="F428" s="105" t="n"/>
      <c r="G428" s="106" t="n"/>
      <c r="H428" s="106" t="n"/>
      <c r="I428" s="106" t="n"/>
      <c r="J428" s="107" t="n"/>
      <c r="K428" s="105" t="n"/>
      <c r="L428" s="106" t="n"/>
      <c r="M428" s="106" t="n"/>
      <c r="N428" s="106" t="n"/>
      <c r="O428" s="106" t="n"/>
      <c r="P428" s="105" t="n"/>
      <c r="Q428" s="107" t="n"/>
      <c r="R428" s="105" t="n"/>
      <c r="S428" s="107" t="n"/>
      <c r="T428" s="108">
        <f>IFERROR(L428+M428+N428+O428,0)</f>
        <v/>
      </c>
      <c r="U428" s="108">
        <f>IFERROR(H428+IFERROR(I428,0)+T428+IFERROR(AH428,0),0)</f>
        <v/>
      </c>
      <c r="V428" s="256" t="n"/>
      <c r="W428" s="257" t="n"/>
      <c r="X428" s="256" t="n"/>
      <c r="Y428" s="258" t="n"/>
      <c r="Z428" s="259" t="n"/>
      <c r="AA428" s="259" t="n"/>
      <c r="AB428" s="258" t="n"/>
      <c r="AC428" s="256" t="n"/>
      <c r="AD428" s="256" t="n"/>
      <c r="AE428" s="256" t="n"/>
      <c r="AF428" s="256" t="n"/>
      <c r="AG428" s="256" t="n"/>
      <c r="AH428" s="256">
        <f>IFERROR(IFERROR(V428,0)+IFERROR(AC428,0)+IFERROR(AD428,0)+IFERROR(AE428,0)+IFERROR(AF428,0)+IFERROR(AG428,0),0)</f>
        <v/>
      </c>
    </row>
    <row r="429" ht="15" customHeight="1" s="199">
      <c r="A429" s="104" t="n"/>
      <c r="B429" s="104" t="n"/>
      <c r="C429" s="104" t="n"/>
      <c r="D429" s="105" t="n"/>
      <c r="E429" s="105" t="n"/>
      <c r="F429" s="105" t="n"/>
      <c r="G429" s="106" t="n"/>
      <c r="H429" s="106" t="n"/>
      <c r="I429" s="106" t="n"/>
      <c r="J429" s="107" t="n"/>
      <c r="K429" s="105" t="n"/>
      <c r="L429" s="106" t="n"/>
      <c r="M429" s="106" t="n"/>
      <c r="N429" s="106" t="n"/>
      <c r="O429" s="106" t="n"/>
      <c r="P429" s="105" t="n"/>
      <c r="Q429" s="107" t="n"/>
      <c r="R429" s="105" t="n"/>
      <c r="S429" s="107" t="n"/>
      <c r="T429" s="108">
        <f>IFERROR(L429+M429+N429+O429,0)</f>
        <v/>
      </c>
      <c r="U429" s="108">
        <f>IFERROR(H429+IFERROR(I429,0)+T429+IFERROR(AH429,0),0)</f>
        <v/>
      </c>
      <c r="V429" s="256" t="n"/>
      <c r="W429" s="257" t="n"/>
      <c r="X429" s="256" t="n"/>
      <c r="Y429" s="258" t="n"/>
      <c r="Z429" s="259" t="n"/>
      <c r="AA429" s="259" t="n"/>
      <c r="AB429" s="258" t="n"/>
      <c r="AC429" s="256" t="n"/>
      <c r="AD429" s="256" t="n"/>
      <c r="AE429" s="256" t="n"/>
      <c r="AF429" s="256" t="n"/>
      <c r="AG429" s="256" t="n"/>
      <c r="AH429" s="256">
        <f>IFERROR(IFERROR(V429,0)+IFERROR(AC429,0)+IFERROR(AD429,0)+IFERROR(AE429,0)+IFERROR(AF429,0)+IFERROR(AG429,0),0)</f>
        <v/>
      </c>
    </row>
    <row r="430" ht="15" customHeight="1" s="199">
      <c r="A430" s="104" t="n"/>
      <c r="B430" s="104" t="n"/>
      <c r="C430" s="104" t="n"/>
      <c r="D430" s="105" t="n"/>
      <c r="E430" s="105" t="n"/>
      <c r="F430" s="105" t="n"/>
      <c r="G430" s="106" t="n"/>
      <c r="H430" s="106" t="n"/>
      <c r="I430" s="106" t="n"/>
      <c r="J430" s="107" t="n"/>
      <c r="K430" s="105" t="n"/>
      <c r="L430" s="106" t="n"/>
      <c r="M430" s="106" t="n"/>
      <c r="N430" s="106" t="n"/>
      <c r="O430" s="106" t="n"/>
      <c r="P430" s="105" t="n"/>
      <c r="Q430" s="107" t="n"/>
      <c r="R430" s="105" t="n"/>
      <c r="S430" s="107" t="n"/>
      <c r="T430" s="108">
        <f>IFERROR(L430+M430+N430+O430,0)</f>
        <v/>
      </c>
      <c r="U430" s="108">
        <f>IFERROR(H430+IFERROR(I430,0)+T430+IFERROR(AH430,0),0)</f>
        <v/>
      </c>
      <c r="V430" s="256" t="n"/>
      <c r="W430" s="257" t="n"/>
      <c r="X430" s="256" t="n"/>
      <c r="Y430" s="258" t="n"/>
      <c r="Z430" s="259" t="n"/>
      <c r="AA430" s="259" t="n"/>
      <c r="AB430" s="258" t="n"/>
      <c r="AC430" s="256" t="n"/>
      <c r="AD430" s="256" t="n"/>
      <c r="AE430" s="256" t="n"/>
      <c r="AF430" s="256" t="n"/>
      <c r="AG430" s="256" t="n"/>
      <c r="AH430" s="256">
        <f>IFERROR(IFERROR(V430,0)+IFERROR(AC430,0)+IFERROR(AD430,0)+IFERROR(AE430,0)+IFERROR(AF430,0)+IFERROR(AG430,0),0)</f>
        <v/>
      </c>
    </row>
    <row r="431" ht="15" customHeight="1" s="199">
      <c r="A431" s="104" t="n"/>
      <c r="B431" s="104" t="n"/>
      <c r="C431" s="104" t="n"/>
      <c r="D431" s="105" t="n"/>
      <c r="E431" s="105" t="n"/>
      <c r="F431" s="105" t="n"/>
      <c r="G431" s="106" t="n"/>
      <c r="H431" s="106" t="n"/>
      <c r="I431" s="106" t="n"/>
      <c r="J431" s="107" t="n"/>
      <c r="K431" s="105" t="n"/>
      <c r="L431" s="106" t="n"/>
      <c r="M431" s="106" t="n"/>
      <c r="N431" s="106" t="n"/>
      <c r="O431" s="106" t="n"/>
      <c r="P431" s="105" t="n"/>
      <c r="Q431" s="107" t="n"/>
      <c r="R431" s="105" t="n"/>
      <c r="S431" s="107" t="n"/>
      <c r="T431" s="108">
        <f>IFERROR(L431+M431+N431+O431,0)</f>
        <v/>
      </c>
      <c r="U431" s="108">
        <f>IFERROR(H431+IFERROR(I431,0)+T431+IFERROR(AH431,0),0)</f>
        <v/>
      </c>
      <c r="V431" s="256" t="n"/>
      <c r="W431" s="257" t="n"/>
      <c r="X431" s="256" t="n"/>
      <c r="Y431" s="258" t="n"/>
      <c r="Z431" s="259" t="n"/>
      <c r="AA431" s="259" t="n"/>
      <c r="AB431" s="258" t="n"/>
      <c r="AC431" s="256" t="n"/>
      <c r="AD431" s="256" t="n"/>
      <c r="AE431" s="256" t="n"/>
      <c r="AF431" s="256" t="n"/>
      <c r="AG431" s="256" t="n"/>
      <c r="AH431" s="256">
        <f>IFERROR(IFERROR(V431,0)+IFERROR(AC431,0)+IFERROR(AD431,0)+IFERROR(AE431,0)+IFERROR(AF431,0)+IFERROR(AG431,0),0)</f>
        <v/>
      </c>
    </row>
    <row r="432" ht="15" customHeight="1" s="199">
      <c r="A432" s="104" t="n"/>
      <c r="B432" s="104" t="n"/>
      <c r="C432" s="104" t="n"/>
      <c r="D432" s="105" t="n"/>
      <c r="E432" s="105" t="n"/>
      <c r="F432" s="105" t="n"/>
      <c r="G432" s="106" t="n"/>
      <c r="H432" s="106" t="n"/>
      <c r="I432" s="106" t="n"/>
      <c r="J432" s="107" t="n"/>
      <c r="K432" s="105" t="n"/>
      <c r="L432" s="106" t="n"/>
      <c r="M432" s="106" t="n"/>
      <c r="N432" s="106" t="n"/>
      <c r="O432" s="106" t="n"/>
      <c r="P432" s="105" t="n"/>
      <c r="Q432" s="107" t="n"/>
      <c r="R432" s="105" t="n"/>
      <c r="S432" s="107" t="n"/>
      <c r="T432" s="108">
        <f>IFERROR(L432+M432+N432+O432,0)</f>
        <v/>
      </c>
      <c r="U432" s="108">
        <f>IFERROR(H432+IFERROR(I432,0)+T432+IFERROR(AH432,0),0)</f>
        <v/>
      </c>
      <c r="V432" s="256" t="n"/>
      <c r="W432" s="257" t="n"/>
      <c r="X432" s="256" t="n"/>
      <c r="Y432" s="258" t="n"/>
      <c r="Z432" s="259" t="n"/>
      <c r="AA432" s="259" t="n"/>
      <c r="AB432" s="258" t="n"/>
      <c r="AC432" s="256" t="n"/>
      <c r="AD432" s="256" t="n"/>
      <c r="AE432" s="256" t="n"/>
      <c r="AF432" s="256" t="n"/>
      <c r="AG432" s="256" t="n"/>
      <c r="AH432" s="256">
        <f>IFERROR(IFERROR(V432,0)+IFERROR(AC432,0)+IFERROR(AD432,0)+IFERROR(AE432,0)+IFERROR(AF432,0)+IFERROR(AG432,0),0)</f>
        <v/>
      </c>
    </row>
    <row r="433" ht="15" customHeight="1" s="199">
      <c r="A433" s="104" t="n"/>
      <c r="B433" s="104" t="n"/>
      <c r="C433" s="104" t="n"/>
      <c r="D433" s="105" t="n"/>
      <c r="E433" s="105" t="n"/>
      <c r="F433" s="105" t="n"/>
      <c r="G433" s="106" t="n"/>
      <c r="H433" s="106" t="n"/>
      <c r="I433" s="106" t="n"/>
      <c r="J433" s="107" t="n"/>
      <c r="K433" s="105" t="n"/>
      <c r="L433" s="106" t="n"/>
      <c r="M433" s="106" t="n"/>
      <c r="N433" s="106" t="n"/>
      <c r="O433" s="106" t="n"/>
      <c r="P433" s="105" t="n"/>
      <c r="Q433" s="107" t="n"/>
      <c r="R433" s="105" t="n"/>
      <c r="S433" s="107" t="n"/>
      <c r="T433" s="108">
        <f>IFERROR(L433+M433+N433+O433,0)</f>
        <v/>
      </c>
      <c r="U433" s="108">
        <f>IFERROR(H433+IFERROR(I433,0)+T433+IFERROR(AH433,0),0)</f>
        <v/>
      </c>
      <c r="V433" s="256" t="n"/>
      <c r="W433" s="257" t="n"/>
      <c r="X433" s="256" t="n"/>
      <c r="Y433" s="258" t="n"/>
      <c r="Z433" s="259" t="n"/>
      <c r="AA433" s="259" t="n"/>
      <c r="AB433" s="258" t="n"/>
      <c r="AC433" s="256" t="n"/>
      <c r="AD433" s="256" t="n"/>
      <c r="AE433" s="256" t="n"/>
      <c r="AF433" s="256" t="n"/>
      <c r="AG433" s="256" t="n"/>
      <c r="AH433" s="256">
        <f>IFERROR(IFERROR(V433,0)+IFERROR(AC433,0)+IFERROR(AD433,0)+IFERROR(AE433,0)+IFERROR(AF433,0)+IFERROR(AG433,0),0)</f>
        <v/>
      </c>
    </row>
    <row r="434" ht="15" customHeight="1" s="199">
      <c r="A434" s="104" t="n"/>
      <c r="B434" s="104" t="n"/>
      <c r="C434" s="104" t="n"/>
      <c r="D434" s="105" t="n"/>
      <c r="E434" s="105" t="n"/>
      <c r="F434" s="105" t="n"/>
      <c r="G434" s="106" t="n"/>
      <c r="H434" s="106" t="n"/>
      <c r="I434" s="106" t="n"/>
      <c r="J434" s="107" t="n"/>
      <c r="K434" s="105" t="n"/>
      <c r="L434" s="106" t="n"/>
      <c r="M434" s="106" t="n"/>
      <c r="N434" s="106" t="n"/>
      <c r="O434" s="106" t="n"/>
      <c r="P434" s="105" t="n"/>
      <c r="Q434" s="107" t="n"/>
      <c r="R434" s="105" t="n"/>
      <c r="S434" s="107" t="n"/>
      <c r="T434" s="108">
        <f>IFERROR(L434+M434+N434+O434,0)</f>
        <v/>
      </c>
      <c r="U434" s="108">
        <f>IFERROR(H434+IFERROR(I434,0)+T434+IFERROR(AH434,0),0)</f>
        <v/>
      </c>
      <c r="V434" s="256" t="n"/>
      <c r="W434" s="257" t="n"/>
      <c r="X434" s="256" t="n"/>
      <c r="Y434" s="258" t="n"/>
      <c r="Z434" s="259" t="n"/>
      <c r="AA434" s="259" t="n"/>
      <c r="AB434" s="258" t="n"/>
      <c r="AC434" s="256" t="n"/>
      <c r="AD434" s="256" t="n"/>
      <c r="AE434" s="256" t="n"/>
      <c r="AF434" s="256" t="n"/>
      <c r="AG434" s="256" t="n"/>
      <c r="AH434" s="256">
        <f>IFERROR(IFERROR(V434,0)+IFERROR(AC434,0)+IFERROR(AD434,0)+IFERROR(AE434,0)+IFERROR(AF434,0)+IFERROR(AG434,0),0)</f>
        <v/>
      </c>
    </row>
    <row r="435" ht="15" customHeight="1" s="199">
      <c r="A435" s="104" t="n"/>
      <c r="B435" s="104" t="n"/>
      <c r="C435" s="104" t="n"/>
      <c r="D435" s="105" t="n"/>
      <c r="E435" s="105" t="n"/>
      <c r="F435" s="105" t="n"/>
      <c r="G435" s="106" t="n"/>
      <c r="H435" s="106" t="n"/>
      <c r="I435" s="106" t="n"/>
      <c r="J435" s="107" t="n"/>
      <c r="K435" s="105" t="n"/>
      <c r="L435" s="106" t="n"/>
      <c r="M435" s="106" t="n"/>
      <c r="N435" s="106" t="n"/>
      <c r="O435" s="106" t="n"/>
      <c r="P435" s="105" t="n"/>
      <c r="Q435" s="107" t="n"/>
      <c r="R435" s="105" t="n"/>
      <c r="S435" s="107" t="n"/>
      <c r="T435" s="108">
        <f>IFERROR(L435+M435+N435+O435,0)</f>
        <v/>
      </c>
      <c r="U435" s="108">
        <f>IFERROR(H435+IFERROR(I435,0)+T435+IFERROR(AH435,0),0)</f>
        <v/>
      </c>
      <c r="V435" s="256" t="n"/>
      <c r="W435" s="257" t="n"/>
      <c r="X435" s="256" t="n"/>
      <c r="Y435" s="258" t="n"/>
      <c r="Z435" s="259" t="n"/>
      <c r="AA435" s="259" t="n"/>
      <c r="AB435" s="258" t="n"/>
      <c r="AC435" s="256" t="n"/>
      <c r="AD435" s="256" t="n"/>
      <c r="AE435" s="256" t="n"/>
      <c r="AF435" s="256" t="n"/>
      <c r="AG435" s="256" t="n"/>
      <c r="AH435" s="256">
        <f>IFERROR(IFERROR(V435,0)+IFERROR(AC435,0)+IFERROR(AD435,0)+IFERROR(AE435,0)+IFERROR(AF435,0)+IFERROR(AG435,0),0)</f>
        <v/>
      </c>
    </row>
    <row r="436" ht="15" customHeight="1" s="199">
      <c r="A436" s="104" t="n"/>
      <c r="B436" s="104" t="n"/>
      <c r="C436" s="104" t="n"/>
      <c r="D436" s="105" t="n"/>
      <c r="E436" s="105" t="n"/>
      <c r="F436" s="105" t="n"/>
      <c r="G436" s="106" t="n"/>
      <c r="H436" s="106" t="n"/>
      <c r="I436" s="106" t="n"/>
      <c r="J436" s="107" t="n"/>
      <c r="K436" s="105" t="n"/>
      <c r="L436" s="106" t="n"/>
      <c r="M436" s="106" t="n"/>
      <c r="N436" s="106" t="n"/>
      <c r="O436" s="106" t="n"/>
      <c r="P436" s="105" t="n"/>
      <c r="Q436" s="107" t="n"/>
      <c r="R436" s="105" t="n"/>
      <c r="S436" s="107" t="n"/>
      <c r="T436" s="108">
        <f>IFERROR(L436+M436+N436+O436,0)</f>
        <v/>
      </c>
      <c r="U436" s="108">
        <f>IFERROR(H436+IFERROR(I436,0)+T436+IFERROR(AH436,0),0)</f>
        <v/>
      </c>
      <c r="V436" s="256" t="n"/>
      <c r="W436" s="257" t="n"/>
      <c r="X436" s="256" t="n"/>
      <c r="Y436" s="258" t="n"/>
      <c r="Z436" s="259" t="n"/>
      <c r="AA436" s="259" t="n"/>
      <c r="AB436" s="258" t="n"/>
      <c r="AC436" s="256" t="n"/>
      <c r="AD436" s="256" t="n"/>
      <c r="AE436" s="256" t="n"/>
      <c r="AF436" s="256" t="n"/>
      <c r="AG436" s="256" t="n"/>
      <c r="AH436" s="256">
        <f>IFERROR(IFERROR(V436,0)+IFERROR(AC436,0)+IFERROR(AD436,0)+IFERROR(AE436,0)+IFERROR(AF436,0)+IFERROR(AG436,0),0)</f>
        <v/>
      </c>
    </row>
    <row r="437" ht="15" customHeight="1" s="199">
      <c r="A437" s="104" t="n"/>
      <c r="B437" s="104" t="n"/>
      <c r="C437" s="104" t="n"/>
      <c r="D437" s="105" t="n"/>
      <c r="E437" s="105" t="n"/>
      <c r="F437" s="105" t="n"/>
      <c r="G437" s="106" t="n"/>
      <c r="H437" s="106" t="n"/>
      <c r="I437" s="106" t="n"/>
      <c r="J437" s="107" t="n"/>
      <c r="K437" s="105" t="n"/>
      <c r="L437" s="106" t="n"/>
      <c r="M437" s="106" t="n"/>
      <c r="N437" s="106" t="n"/>
      <c r="O437" s="106" t="n"/>
      <c r="P437" s="105" t="n"/>
      <c r="Q437" s="107" t="n"/>
      <c r="R437" s="105" t="n"/>
      <c r="S437" s="107" t="n"/>
      <c r="T437" s="108">
        <f>IFERROR(L437+M437+N437+O437,0)</f>
        <v/>
      </c>
      <c r="U437" s="108">
        <f>IFERROR(H437+IFERROR(I437,0)+T437+IFERROR(AH437,0),0)</f>
        <v/>
      </c>
      <c r="V437" s="256" t="n"/>
      <c r="W437" s="257" t="n"/>
      <c r="X437" s="256" t="n"/>
      <c r="Y437" s="258" t="n"/>
      <c r="Z437" s="259" t="n"/>
      <c r="AA437" s="259" t="n"/>
      <c r="AB437" s="258" t="n"/>
      <c r="AC437" s="256" t="n"/>
      <c r="AD437" s="256" t="n"/>
      <c r="AE437" s="256" t="n"/>
      <c r="AF437" s="256" t="n"/>
      <c r="AG437" s="256" t="n"/>
      <c r="AH437" s="256">
        <f>IFERROR(IFERROR(V437,0)+IFERROR(AC437,0)+IFERROR(AD437,0)+IFERROR(AE437,0)+IFERROR(AF437,0)+IFERROR(AG437,0),0)</f>
        <v/>
      </c>
    </row>
    <row r="438" ht="15" customHeight="1" s="199">
      <c r="A438" s="104" t="n"/>
      <c r="B438" s="104" t="n"/>
      <c r="C438" s="104" t="n"/>
      <c r="D438" s="105" t="n"/>
      <c r="E438" s="105" t="n"/>
      <c r="F438" s="105" t="n"/>
      <c r="G438" s="106" t="n"/>
      <c r="H438" s="106" t="n"/>
      <c r="I438" s="106" t="n"/>
      <c r="J438" s="107" t="n"/>
      <c r="K438" s="105" t="n"/>
      <c r="L438" s="106" t="n"/>
      <c r="M438" s="106" t="n"/>
      <c r="N438" s="106" t="n"/>
      <c r="O438" s="106" t="n"/>
      <c r="P438" s="105" t="n"/>
      <c r="Q438" s="107" t="n"/>
      <c r="R438" s="105" t="n"/>
      <c r="S438" s="107" t="n"/>
      <c r="T438" s="108">
        <f>IFERROR(L438+M438+N438+O438,0)</f>
        <v/>
      </c>
      <c r="U438" s="108">
        <f>IFERROR(H438+IFERROR(I438,0)+T438+IFERROR(AH438,0),0)</f>
        <v/>
      </c>
      <c r="V438" s="256" t="n"/>
      <c r="W438" s="257" t="n"/>
      <c r="X438" s="256" t="n"/>
      <c r="Y438" s="258" t="n"/>
      <c r="Z438" s="259" t="n"/>
      <c r="AA438" s="259" t="n"/>
      <c r="AB438" s="258" t="n"/>
      <c r="AC438" s="256" t="n"/>
      <c r="AD438" s="256" t="n"/>
      <c r="AE438" s="256" t="n"/>
      <c r="AF438" s="256" t="n"/>
      <c r="AG438" s="256" t="n"/>
      <c r="AH438" s="256">
        <f>IFERROR(IFERROR(V438,0)+IFERROR(AC438,0)+IFERROR(AD438,0)+IFERROR(AE438,0)+IFERROR(AF438,0)+IFERROR(AG438,0),0)</f>
        <v/>
      </c>
    </row>
    <row r="439" ht="15" customHeight="1" s="199">
      <c r="A439" s="104" t="n"/>
      <c r="B439" s="104" t="n"/>
      <c r="C439" s="104" t="n"/>
      <c r="D439" s="105" t="n"/>
      <c r="E439" s="105" t="n"/>
      <c r="F439" s="105" t="n"/>
      <c r="G439" s="106" t="n"/>
      <c r="H439" s="106" t="n"/>
      <c r="I439" s="106" t="n"/>
      <c r="J439" s="107" t="n"/>
      <c r="K439" s="105" t="n"/>
      <c r="L439" s="106" t="n"/>
      <c r="M439" s="106" t="n"/>
      <c r="N439" s="106" t="n"/>
      <c r="O439" s="106" t="n"/>
      <c r="P439" s="105" t="n"/>
      <c r="Q439" s="107" t="n"/>
      <c r="R439" s="105" t="n"/>
      <c r="S439" s="107" t="n"/>
      <c r="T439" s="108">
        <f>IFERROR(L439+M439+N439+O439,0)</f>
        <v/>
      </c>
      <c r="U439" s="108">
        <f>IFERROR(H439+IFERROR(I439,0)+T439+IFERROR(AH439,0),0)</f>
        <v/>
      </c>
      <c r="V439" s="256" t="n"/>
      <c r="W439" s="257" t="n"/>
      <c r="X439" s="256" t="n"/>
      <c r="Y439" s="258" t="n"/>
      <c r="Z439" s="259" t="n"/>
      <c r="AA439" s="259" t="n"/>
      <c r="AB439" s="258" t="n"/>
      <c r="AC439" s="256" t="n"/>
      <c r="AD439" s="256" t="n"/>
      <c r="AE439" s="256" t="n"/>
      <c r="AF439" s="256" t="n"/>
      <c r="AG439" s="256" t="n"/>
      <c r="AH439" s="256">
        <f>IFERROR(IFERROR(V439,0)+IFERROR(AC439,0)+IFERROR(AD439,0)+IFERROR(AE439,0)+IFERROR(AF439,0)+IFERROR(AG439,0),0)</f>
        <v/>
      </c>
    </row>
    <row r="440" ht="15" customHeight="1" s="199">
      <c r="A440" s="104" t="n"/>
      <c r="B440" s="104" t="n"/>
      <c r="C440" s="104" t="n"/>
      <c r="D440" s="105" t="n"/>
      <c r="E440" s="105" t="n"/>
      <c r="F440" s="105" t="n"/>
      <c r="G440" s="106" t="n"/>
      <c r="H440" s="106" t="n"/>
      <c r="I440" s="106" t="n"/>
      <c r="J440" s="107" t="n"/>
      <c r="K440" s="105" t="n"/>
      <c r="L440" s="106" t="n"/>
      <c r="M440" s="106" t="n"/>
      <c r="N440" s="106" t="n"/>
      <c r="O440" s="106" t="n"/>
      <c r="P440" s="105" t="n"/>
      <c r="Q440" s="107" t="n"/>
      <c r="R440" s="105" t="n"/>
      <c r="S440" s="107" t="n"/>
      <c r="T440" s="108">
        <f>IFERROR(L440+M440+N440+O440,0)</f>
        <v/>
      </c>
      <c r="U440" s="108">
        <f>IFERROR(H440+IFERROR(I440,0)+T440+IFERROR(AH440,0),0)</f>
        <v/>
      </c>
      <c r="V440" s="256" t="n"/>
      <c r="W440" s="257" t="n"/>
      <c r="X440" s="256" t="n"/>
      <c r="Y440" s="258" t="n"/>
      <c r="Z440" s="259" t="n"/>
      <c r="AA440" s="259" t="n"/>
      <c r="AB440" s="258" t="n"/>
      <c r="AC440" s="256" t="n"/>
      <c r="AD440" s="256" t="n"/>
      <c r="AE440" s="256" t="n"/>
      <c r="AF440" s="256" t="n"/>
      <c r="AG440" s="256" t="n"/>
      <c r="AH440" s="256">
        <f>IFERROR(IFERROR(V440,0)+IFERROR(AC440,0)+IFERROR(AD440,0)+IFERROR(AE440,0)+IFERROR(AF440,0)+IFERROR(AG440,0),0)</f>
        <v/>
      </c>
    </row>
    <row r="441" ht="15" customHeight="1" s="199">
      <c r="A441" s="104" t="n"/>
      <c r="B441" s="104" t="n"/>
      <c r="C441" s="104" t="n"/>
      <c r="D441" s="105" t="n"/>
      <c r="E441" s="105" t="n"/>
      <c r="F441" s="105" t="n"/>
      <c r="G441" s="106" t="n"/>
      <c r="H441" s="106" t="n"/>
      <c r="I441" s="106" t="n"/>
      <c r="J441" s="107" t="n"/>
      <c r="K441" s="105" t="n"/>
      <c r="L441" s="106" t="n"/>
      <c r="M441" s="106" t="n"/>
      <c r="N441" s="106" t="n"/>
      <c r="O441" s="106" t="n"/>
      <c r="P441" s="105" t="n"/>
      <c r="Q441" s="107" t="n"/>
      <c r="R441" s="105" t="n"/>
      <c r="S441" s="107" t="n"/>
      <c r="T441" s="108">
        <f>IFERROR(L441+M441+N441+O441,0)</f>
        <v/>
      </c>
      <c r="U441" s="108">
        <f>IFERROR(H441+IFERROR(I441,0)+T441+IFERROR(AH441,0),0)</f>
        <v/>
      </c>
      <c r="V441" s="256" t="n"/>
      <c r="W441" s="257" t="n"/>
      <c r="X441" s="256" t="n"/>
      <c r="Y441" s="258" t="n"/>
      <c r="Z441" s="259" t="n"/>
      <c r="AA441" s="259" t="n"/>
      <c r="AB441" s="258" t="n"/>
      <c r="AC441" s="256" t="n"/>
      <c r="AD441" s="256" t="n"/>
      <c r="AE441" s="256" t="n"/>
      <c r="AF441" s="256" t="n"/>
      <c r="AG441" s="256" t="n"/>
      <c r="AH441" s="256">
        <f>IFERROR(IFERROR(V441,0)+IFERROR(AC441,0)+IFERROR(AD441,0)+IFERROR(AE441,0)+IFERROR(AF441,0)+IFERROR(AG441,0),0)</f>
        <v/>
      </c>
    </row>
    <row r="442" ht="15" customHeight="1" s="199">
      <c r="A442" s="104" t="n"/>
      <c r="B442" s="104" t="n"/>
      <c r="C442" s="104" t="n"/>
      <c r="D442" s="105" t="n"/>
      <c r="E442" s="105" t="n"/>
      <c r="F442" s="105" t="n"/>
      <c r="G442" s="106" t="n"/>
      <c r="H442" s="106" t="n"/>
      <c r="I442" s="106" t="n"/>
      <c r="J442" s="107" t="n"/>
      <c r="K442" s="105" t="n"/>
      <c r="L442" s="106" t="n"/>
      <c r="M442" s="106" t="n"/>
      <c r="N442" s="106" t="n"/>
      <c r="O442" s="106" t="n"/>
      <c r="P442" s="105" t="n"/>
      <c r="Q442" s="107" t="n"/>
      <c r="R442" s="105" t="n"/>
      <c r="S442" s="107" t="n"/>
      <c r="T442" s="108">
        <f>IFERROR(L442+M442+N442+O442,0)</f>
        <v/>
      </c>
      <c r="U442" s="108">
        <f>IFERROR(H442+IFERROR(I442,0)+T442+IFERROR(AH442,0),0)</f>
        <v/>
      </c>
      <c r="V442" s="256" t="n"/>
      <c r="W442" s="257" t="n"/>
      <c r="X442" s="256" t="n"/>
      <c r="Y442" s="258" t="n"/>
      <c r="Z442" s="259" t="n"/>
      <c r="AA442" s="259" t="n"/>
      <c r="AB442" s="258" t="n"/>
      <c r="AC442" s="256" t="n"/>
      <c r="AD442" s="256" t="n"/>
      <c r="AE442" s="256" t="n"/>
      <c r="AF442" s="256" t="n"/>
      <c r="AG442" s="256" t="n"/>
      <c r="AH442" s="256">
        <f>IFERROR(IFERROR(V442,0)+IFERROR(AC442,0)+IFERROR(AD442,0)+IFERROR(AE442,0)+IFERROR(AF442,0)+IFERROR(AG442,0),0)</f>
        <v/>
      </c>
    </row>
    <row r="443" ht="15" customHeight="1" s="199">
      <c r="A443" s="104" t="n"/>
      <c r="B443" s="104" t="n"/>
      <c r="C443" s="104" t="n"/>
      <c r="D443" s="105" t="n"/>
      <c r="E443" s="105" t="n"/>
      <c r="F443" s="105" t="n"/>
      <c r="G443" s="106" t="n"/>
      <c r="H443" s="106" t="n"/>
      <c r="I443" s="106" t="n"/>
      <c r="J443" s="107" t="n"/>
      <c r="K443" s="105" t="n"/>
      <c r="L443" s="106" t="n"/>
      <c r="M443" s="106" t="n"/>
      <c r="N443" s="106" t="n"/>
      <c r="O443" s="106" t="n"/>
      <c r="P443" s="105" t="n"/>
      <c r="Q443" s="107" t="n"/>
      <c r="R443" s="105" t="n"/>
      <c r="S443" s="107" t="n"/>
      <c r="T443" s="108">
        <f>IFERROR(L443+M443+N443+O443,0)</f>
        <v/>
      </c>
      <c r="U443" s="108">
        <f>IFERROR(H443+IFERROR(I443,0)+T443+IFERROR(AH443,0),0)</f>
        <v/>
      </c>
      <c r="V443" s="256" t="n"/>
      <c r="W443" s="257" t="n"/>
      <c r="X443" s="256" t="n"/>
      <c r="Y443" s="258" t="n"/>
      <c r="Z443" s="259" t="n"/>
      <c r="AA443" s="259" t="n"/>
      <c r="AB443" s="258" t="n"/>
      <c r="AC443" s="256" t="n"/>
      <c r="AD443" s="256" t="n"/>
      <c r="AE443" s="256" t="n"/>
      <c r="AF443" s="256" t="n"/>
      <c r="AG443" s="256" t="n"/>
      <c r="AH443" s="256">
        <f>IFERROR(IFERROR(V443,0)+IFERROR(AC443,0)+IFERROR(AD443,0)+IFERROR(AE443,0)+IFERROR(AF443,0)+IFERROR(AG443,0),0)</f>
        <v/>
      </c>
    </row>
    <row r="444" ht="15" customHeight="1" s="199">
      <c r="A444" s="104" t="n"/>
      <c r="B444" s="104" t="n"/>
      <c r="C444" s="104" t="n"/>
      <c r="D444" s="105" t="n"/>
      <c r="E444" s="105" t="n"/>
      <c r="F444" s="105" t="n"/>
      <c r="G444" s="106" t="n"/>
      <c r="H444" s="106" t="n"/>
      <c r="I444" s="106" t="n"/>
      <c r="J444" s="107" t="n"/>
      <c r="K444" s="105" t="n"/>
      <c r="L444" s="106" t="n"/>
      <c r="M444" s="106" t="n"/>
      <c r="N444" s="106" t="n"/>
      <c r="O444" s="106" t="n"/>
      <c r="P444" s="105" t="n"/>
      <c r="Q444" s="107" t="n"/>
      <c r="R444" s="105" t="n"/>
      <c r="S444" s="107" t="n"/>
      <c r="T444" s="108">
        <f>IFERROR(L444+M444+N444+O444,0)</f>
        <v/>
      </c>
      <c r="U444" s="108">
        <f>IFERROR(H444+IFERROR(I444,0)+T444+IFERROR(AH444,0),0)</f>
        <v/>
      </c>
      <c r="V444" s="256" t="n"/>
      <c r="W444" s="257" t="n"/>
      <c r="X444" s="256" t="n"/>
      <c r="Y444" s="258" t="n"/>
      <c r="Z444" s="259" t="n"/>
      <c r="AA444" s="259" t="n"/>
      <c r="AB444" s="258" t="n"/>
      <c r="AC444" s="256" t="n"/>
      <c r="AD444" s="256" t="n"/>
      <c r="AE444" s="256" t="n"/>
      <c r="AF444" s="256" t="n"/>
      <c r="AG444" s="256" t="n"/>
      <c r="AH444" s="256">
        <f>IFERROR(IFERROR(V444,0)+IFERROR(AC444,0)+IFERROR(AD444,0)+IFERROR(AE444,0)+IFERROR(AF444,0)+IFERROR(AG444,0),0)</f>
        <v/>
      </c>
    </row>
    <row r="445" ht="15" customHeight="1" s="199">
      <c r="A445" s="104" t="n"/>
      <c r="B445" s="104" t="n"/>
      <c r="C445" s="104" t="n"/>
      <c r="D445" s="105" t="n"/>
      <c r="E445" s="105" t="n"/>
      <c r="F445" s="105" t="n"/>
      <c r="G445" s="106" t="n"/>
      <c r="H445" s="106" t="n"/>
      <c r="I445" s="106" t="n"/>
      <c r="J445" s="107" t="n"/>
      <c r="K445" s="105" t="n"/>
      <c r="L445" s="106" t="n"/>
      <c r="M445" s="106" t="n"/>
      <c r="N445" s="106" t="n"/>
      <c r="O445" s="106" t="n"/>
      <c r="P445" s="105" t="n"/>
      <c r="Q445" s="107" t="n"/>
      <c r="R445" s="105" t="n"/>
      <c r="S445" s="107" t="n"/>
      <c r="T445" s="108">
        <f>IFERROR(L445+M445+N445+O445,0)</f>
        <v/>
      </c>
      <c r="U445" s="108">
        <f>IFERROR(H445+IFERROR(I445,0)+T445+IFERROR(AH445,0),0)</f>
        <v/>
      </c>
      <c r="V445" s="256" t="n"/>
      <c r="W445" s="257" t="n"/>
      <c r="X445" s="256" t="n"/>
      <c r="Y445" s="258" t="n"/>
      <c r="Z445" s="259" t="n"/>
      <c r="AA445" s="259" t="n"/>
      <c r="AB445" s="258" t="n"/>
      <c r="AC445" s="256" t="n"/>
      <c r="AD445" s="256" t="n"/>
      <c r="AE445" s="256" t="n"/>
      <c r="AF445" s="256" t="n"/>
      <c r="AG445" s="256" t="n"/>
      <c r="AH445" s="256">
        <f>IFERROR(IFERROR(V445,0)+IFERROR(AC445,0)+IFERROR(AD445,0)+IFERROR(AE445,0)+IFERROR(AF445,0)+IFERROR(AG445,0),0)</f>
        <v/>
      </c>
    </row>
    <row r="446" ht="15" customHeight="1" s="199">
      <c r="A446" s="104" t="n"/>
      <c r="B446" s="104" t="n"/>
      <c r="C446" s="104" t="n"/>
      <c r="D446" s="105" t="n"/>
      <c r="E446" s="105" t="n"/>
      <c r="F446" s="105" t="n"/>
      <c r="G446" s="106" t="n"/>
      <c r="H446" s="106" t="n"/>
      <c r="I446" s="106" t="n"/>
      <c r="J446" s="107" t="n"/>
      <c r="K446" s="105" t="n"/>
      <c r="L446" s="106" t="n"/>
      <c r="M446" s="106" t="n"/>
      <c r="N446" s="106" t="n"/>
      <c r="O446" s="106" t="n"/>
      <c r="P446" s="105" t="n"/>
      <c r="Q446" s="107" t="n"/>
      <c r="R446" s="105" t="n"/>
      <c r="S446" s="107" t="n"/>
      <c r="T446" s="108">
        <f>IFERROR(L446+M446+N446+O446,0)</f>
        <v/>
      </c>
      <c r="U446" s="108">
        <f>IFERROR(H446+IFERROR(I446,0)+T446+IFERROR(AH446,0),0)</f>
        <v/>
      </c>
      <c r="V446" s="256" t="n"/>
      <c r="W446" s="257" t="n"/>
      <c r="X446" s="256" t="n"/>
      <c r="Y446" s="258" t="n"/>
      <c r="Z446" s="259" t="n"/>
      <c r="AA446" s="259" t="n"/>
      <c r="AB446" s="258" t="n"/>
      <c r="AC446" s="256" t="n"/>
      <c r="AD446" s="256" t="n"/>
      <c r="AE446" s="256" t="n"/>
      <c r="AF446" s="256" t="n"/>
      <c r="AG446" s="256" t="n"/>
      <c r="AH446" s="256">
        <f>IFERROR(IFERROR(V446,0)+IFERROR(AC446,0)+IFERROR(AD446,0)+IFERROR(AE446,0)+IFERROR(AF446,0)+IFERROR(AG446,0),0)</f>
        <v/>
      </c>
    </row>
    <row r="447" ht="15" customHeight="1" s="199">
      <c r="A447" s="104" t="n"/>
      <c r="B447" s="104" t="n"/>
      <c r="C447" s="104" t="n"/>
      <c r="D447" s="105" t="n"/>
      <c r="E447" s="105" t="n"/>
      <c r="F447" s="105" t="n"/>
      <c r="G447" s="106" t="n"/>
      <c r="H447" s="106" t="n"/>
      <c r="I447" s="106" t="n"/>
      <c r="J447" s="107" t="n"/>
      <c r="K447" s="105" t="n"/>
      <c r="L447" s="106" t="n"/>
      <c r="M447" s="106" t="n"/>
      <c r="N447" s="106" t="n"/>
      <c r="O447" s="106" t="n"/>
      <c r="P447" s="105" t="n"/>
      <c r="Q447" s="107" t="n"/>
      <c r="R447" s="105" t="n"/>
      <c r="S447" s="107" t="n"/>
      <c r="T447" s="108">
        <f>IFERROR(L447+M447+N447+O447,0)</f>
        <v/>
      </c>
      <c r="U447" s="108">
        <f>IFERROR(H447+IFERROR(I447,0)+T447+IFERROR(AH447,0),0)</f>
        <v/>
      </c>
      <c r="V447" s="256" t="n"/>
      <c r="W447" s="257" t="n"/>
      <c r="X447" s="256" t="n"/>
      <c r="Y447" s="258" t="n"/>
      <c r="Z447" s="259" t="n"/>
      <c r="AA447" s="259" t="n"/>
      <c r="AB447" s="258" t="n"/>
      <c r="AC447" s="256" t="n"/>
      <c r="AD447" s="256" t="n"/>
      <c r="AE447" s="256" t="n"/>
      <c r="AF447" s="256" t="n"/>
      <c r="AG447" s="256" t="n"/>
      <c r="AH447" s="256">
        <f>IFERROR(IFERROR(V447,0)+IFERROR(AC447,0)+IFERROR(AD447,0)+IFERROR(AE447,0)+IFERROR(AF447,0)+IFERROR(AG447,0),0)</f>
        <v/>
      </c>
    </row>
    <row r="448" ht="15" customHeight="1" s="199">
      <c r="A448" s="104" t="n"/>
      <c r="B448" s="104" t="n"/>
      <c r="C448" s="104" t="n"/>
      <c r="D448" s="105" t="n"/>
      <c r="E448" s="105" t="n"/>
      <c r="F448" s="105" t="n"/>
      <c r="G448" s="106" t="n"/>
      <c r="H448" s="106" t="n"/>
      <c r="I448" s="106" t="n"/>
      <c r="J448" s="107" t="n"/>
      <c r="K448" s="105" t="n"/>
      <c r="L448" s="106" t="n"/>
      <c r="M448" s="106" t="n"/>
      <c r="N448" s="106" t="n"/>
      <c r="O448" s="106" t="n"/>
      <c r="P448" s="105" t="n"/>
      <c r="Q448" s="107" t="n"/>
      <c r="R448" s="105" t="n"/>
      <c r="S448" s="107" t="n"/>
      <c r="T448" s="108">
        <f>IFERROR(L448+M448+N448+O448,0)</f>
        <v/>
      </c>
      <c r="U448" s="108">
        <f>IFERROR(H448+IFERROR(I448,0)+T448+IFERROR(AH448,0),0)</f>
        <v/>
      </c>
      <c r="V448" s="256" t="n"/>
      <c r="W448" s="257" t="n"/>
      <c r="X448" s="256" t="n"/>
      <c r="Y448" s="258" t="n"/>
      <c r="Z448" s="259" t="n"/>
      <c r="AA448" s="259" t="n"/>
      <c r="AB448" s="258" t="n"/>
      <c r="AC448" s="256" t="n"/>
      <c r="AD448" s="256" t="n"/>
      <c r="AE448" s="256" t="n"/>
      <c r="AF448" s="256" t="n"/>
      <c r="AG448" s="256" t="n"/>
      <c r="AH448" s="256">
        <f>IFERROR(IFERROR(V448,0)+IFERROR(AC448,0)+IFERROR(AD448,0)+IFERROR(AE448,0)+IFERROR(AF448,0)+IFERROR(AG448,0),0)</f>
        <v/>
      </c>
    </row>
    <row r="449" ht="15" customHeight="1" s="199">
      <c r="A449" s="104" t="n"/>
      <c r="B449" s="104" t="n"/>
      <c r="C449" s="104" t="n"/>
      <c r="D449" s="105" t="n"/>
      <c r="E449" s="105" t="n"/>
      <c r="F449" s="105" t="n"/>
      <c r="G449" s="106" t="n"/>
      <c r="H449" s="106" t="n"/>
      <c r="I449" s="106" t="n"/>
      <c r="J449" s="107" t="n"/>
      <c r="K449" s="105" t="n"/>
      <c r="L449" s="106" t="n"/>
      <c r="M449" s="106" t="n"/>
      <c r="N449" s="106" t="n"/>
      <c r="O449" s="106" t="n"/>
      <c r="P449" s="105" t="n"/>
      <c r="Q449" s="107" t="n"/>
      <c r="R449" s="105" t="n"/>
      <c r="S449" s="107" t="n"/>
      <c r="T449" s="108">
        <f>IFERROR(L449+M449+N449+O449,0)</f>
        <v/>
      </c>
      <c r="U449" s="108">
        <f>IFERROR(H449+IFERROR(I449,0)+T449+IFERROR(AH449,0),0)</f>
        <v/>
      </c>
      <c r="V449" s="256" t="n"/>
      <c r="W449" s="257" t="n"/>
      <c r="X449" s="256" t="n"/>
      <c r="Y449" s="258" t="n"/>
      <c r="Z449" s="259" t="n"/>
      <c r="AA449" s="259" t="n"/>
      <c r="AB449" s="258" t="n"/>
      <c r="AC449" s="256" t="n"/>
      <c r="AD449" s="256" t="n"/>
      <c r="AE449" s="256" t="n"/>
      <c r="AF449" s="256" t="n"/>
      <c r="AG449" s="256" t="n"/>
      <c r="AH449" s="256">
        <f>IFERROR(IFERROR(V449,0)+IFERROR(AC449,0)+IFERROR(AD449,0)+IFERROR(AE449,0)+IFERROR(AF449,0)+IFERROR(AG449,0),0)</f>
        <v/>
      </c>
    </row>
    <row r="450" ht="15" customHeight="1" s="199">
      <c r="A450" s="104" t="n"/>
      <c r="B450" s="104" t="n"/>
      <c r="C450" s="104" t="n"/>
      <c r="D450" s="105" t="n"/>
      <c r="E450" s="105" t="n"/>
      <c r="F450" s="105" t="n"/>
      <c r="G450" s="106" t="n"/>
      <c r="H450" s="106" t="n"/>
      <c r="I450" s="106" t="n"/>
      <c r="J450" s="107" t="n"/>
      <c r="K450" s="105" t="n"/>
      <c r="L450" s="106" t="n"/>
      <c r="M450" s="106" t="n"/>
      <c r="N450" s="106" t="n"/>
      <c r="O450" s="106" t="n"/>
      <c r="P450" s="105" t="n"/>
      <c r="Q450" s="107" t="n"/>
      <c r="R450" s="105" t="n"/>
      <c r="S450" s="107" t="n"/>
      <c r="T450" s="108">
        <f>IFERROR(L450+M450+N450+O450,0)</f>
        <v/>
      </c>
      <c r="U450" s="108">
        <f>IFERROR(H450+IFERROR(I450,0)+T450+IFERROR(AH450,0),0)</f>
        <v/>
      </c>
      <c r="V450" s="256" t="n"/>
      <c r="W450" s="257" t="n"/>
      <c r="X450" s="256" t="n"/>
      <c r="Y450" s="258" t="n"/>
      <c r="Z450" s="259" t="n"/>
      <c r="AA450" s="259" t="n"/>
      <c r="AB450" s="258" t="n"/>
      <c r="AC450" s="256" t="n"/>
      <c r="AD450" s="256" t="n"/>
      <c r="AE450" s="256" t="n"/>
      <c r="AF450" s="256" t="n"/>
      <c r="AG450" s="256" t="n"/>
      <c r="AH450" s="256">
        <f>IFERROR(IFERROR(V450,0)+IFERROR(AC450,0)+IFERROR(AD450,0)+IFERROR(AE450,0)+IFERROR(AF450,0)+IFERROR(AG450,0),0)</f>
        <v/>
      </c>
    </row>
    <row r="451" ht="15" customHeight="1" s="199">
      <c r="A451" s="104" t="n"/>
      <c r="B451" s="104" t="n"/>
      <c r="C451" s="104" t="n"/>
      <c r="D451" s="105" t="n"/>
      <c r="E451" s="105" t="n"/>
      <c r="F451" s="105" t="n"/>
      <c r="G451" s="106" t="n"/>
      <c r="H451" s="106" t="n"/>
      <c r="I451" s="106" t="n"/>
      <c r="J451" s="107" t="n"/>
      <c r="K451" s="105" t="n"/>
      <c r="L451" s="106" t="n"/>
      <c r="M451" s="106" t="n"/>
      <c r="N451" s="106" t="n"/>
      <c r="O451" s="106" t="n"/>
      <c r="P451" s="105" t="n"/>
      <c r="Q451" s="107" t="n"/>
      <c r="R451" s="105" t="n"/>
      <c r="S451" s="107" t="n"/>
      <c r="T451" s="108">
        <f>IFERROR(L451+M451+N451+O451,0)</f>
        <v/>
      </c>
      <c r="U451" s="108">
        <f>IFERROR(H451+IFERROR(I451,0)+T451+IFERROR(AH451,0),0)</f>
        <v/>
      </c>
      <c r="V451" s="256" t="n"/>
      <c r="W451" s="257" t="n"/>
      <c r="X451" s="256" t="n"/>
      <c r="Y451" s="258" t="n"/>
      <c r="Z451" s="259" t="n"/>
      <c r="AA451" s="259" t="n"/>
      <c r="AB451" s="258" t="n"/>
      <c r="AC451" s="256" t="n"/>
      <c r="AD451" s="256" t="n"/>
      <c r="AE451" s="256" t="n"/>
      <c r="AF451" s="256" t="n"/>
      <c r="AG451" s="256" t="n"/>
      <c r="AH451" s="256">
        <f>IFERROR(IFERROR(V451,0)+IFERROR(AC451,0)+IFERROR(AD451,0)+IFERROR(AE451,0)+IFERROR(AF451,0)+IFERROR(AG451,0),0)</f>
        <v/>
      </c>
    </row>
    <row r="452" ht="15" customHeight="1" s="199">
      <c r="A452" s="104" t="n"/>
      <c r="B452" s="104" t="n"/>
      <c r="C452" s="104" t="n"/>
      <c r="D452" s="105" t="n"/>
      <c r="E452" s="105" t="n"/>
      <c r="F452" s="105" t="n"/>
      <c r="G452" s="106" t="n"/>
      <c r="H452" s="106" t="n"/>
      <c r="I452" s="106" t="n"/>
      <c r="J452" s="107" t="n"/>
      <c r="K452" s="105" t="n"/>
      <c r="L452" s="106" t="n"/>
      <c r="M452" s="106" t="n"/>
      <c r="N452" s="106" t="n"/>
      <c r="O452" s="106" t="n"/>
      <c r="P452" s="105" t="n"/>
      <c r="Q452" s="107" t="n"/>
      <c r="R452" s="105" t="n"/>
      <c r="S452" s="107" t="n"/>
      <c r="T452" s="108">
        <f>IFERROR(L452+M452+N452+O452,0)</f>
        <v/>
      </c>
      <c r="U452" s="108">
        <f>IFERROR(H452+IFERROR(I452,0)+T452+IFERROR(AH452,0),0)</f>
        <v/>
      </c>
      <c r="V452" s="256" t="n"/>
      <c r="W452" s="257" t="n"/>
      <c r="X452" s="256" t="n"/>
      <c r="Y452" s="258" t="n"/>
      <c r="Z452" s="259" t="n"/>
      <c r="AA452" s="259" t="n"/>
      <c r="AB452" s="258" t="n"/>
      <c r="AC452" s="256" t="n"/>
      <c r="AD452" s="256" t="n"/>
      <c r="AE452" s="256" t="n"/>
      <c r="AF452" s="256" t="n"/>
      <c r="AG452" s="256" t="n"/>
      <c r="AH452" s="256">
        <f>IFERROR(IFERROR(V452,0)+IFERROR(AC452,0)+IFERROR(AD452,0)+IFERROR(AE452,0)+IFERROR(AF452,0)+IFERROR(AG452,0),0)</f>
        <v/>
      </c>
    </row>
    <row r="453" ht="15" customHeight="1" s="199">
      <c r="A453" s="104" t="n"/>
      <c r="B453" s="104" t="n"/>
      <c r="C453" s="104" t="n"/>
      <c r="D453" s="105" t="n"/>
      <c r="E453" s="105" t="n"/>
      <c r="F453" s="105" t="n"/>
      <c r="G453" s="106" t="n"/>
      <c r="H453" s="106" t="n"/>
      <c r="I453" s="106" t="n"/>
      <c r="J453" s="107" t="n"/>
      <c r="K453" s="105" t="n"/>
      <c r="L453" s="106" t="n"/>
      <c r="M453" s="106" t="n"/>
      <c r="N453" s="106" t="n"/>
      <c r="O453" s="106" t="n"/>
      <c r="P453" s="105" t="n"/>
      <c r="Q453" s="107" t="n"/>
      <c r="R453" s="105" t="n"/>
      <c r="S453" s="107" t="n"/>
      <c r="T453" s="108">
        <f>IFERROR(L453+M453+N453+O453,0)</f>
        <v/>
      </c>
      <c r="U453" s="108">
        <f>IFERROR(H453+IFERROR(I453,0)+T453+IFERROR(AH453,0),0)</f>
        <v/>
      </c>
      <c r="V453" s="256" t="n"/>
      <c r="W453" s="257" t="n"/>
      <c r="X453" s="256" t="n"/>
      <c r="Y453" s="258" t="n"/>
      <c r="Z453" s="259" t="n"/>
      <c r="AA453" s="259" t="n"/>
      <c r="AB453" s="258" t="n"/>
      <c r="AC453" s="256" t="n"/>
      <c r="AD453" s="256" t="n"/>
      <c r="AE453" s="256" t="n"/>
      <c r="AF453" s="256" t="n"/>
      <c r="AG453" s="256" t="n"/>
      <c r="AH453" s="256">
        <f>IFERROR(IFERROR(V453,0)+IFERROR(AC453,0)+IFERROR(AD453,0)+IFERROR(AE453,0)+IFERROR(AF453,0)+IFERROR(AG453,0),0)</f>
        <v/>
      </c>
    </row>
    <row r="454" ht="15" customHeight="1" s="199">
      <c r="A454" s="104" t="n"/>
      <c r="B454" s="104" t="n"/>
      <c r="C454" s="104" t="n"/>
      <c r="D454" s="105" t="n"/>
      <c r="E454" s="105" t="n"/>
      <c r="F454" s="105" t="n"/>
      <c r="G454" s="106" t="n"/>
      <c r="H454" s="106" t="n"/>
      <c r="I454" s="106" t="n"/>
      <c r="J454" s="107" t="n"/>
      <c r="K454" s="105" t="n"/>
      <c r="L454" s="106" t="n"/>
      <c r="M454" s="106" t="n"/>
      <c r="N454" s="106" t="n"/>
      <c r="O454" s="106" t="n"/>
      <c r="P454" s="105" t="n"/>
      <c r="Q454" s="107" t="n"/>
      <c r="R454" s="105" t="n"/>
      <c r="S454" s="107" t="n"/>
      <c r="T454" s="108">
        <f>IFERROR(L454+M454+N454+O454,0)</f>
        <v/>
      </c>
      <c r="U454" s="108">
        <f>IFERROR(H454+IFERROR(I454,0)+T454+IFERROR(AH454,0),0)</f>
        <v/>
      </c>
      <c r="V454" s="256" t="n"/>
      <c r="W454" s="257" t="n"/>
      <c r="X454" s="256" t="n"/>
      <c r="Y454" s="258" t="n"/>
      <c r="Z454" s="259" t="n"/>
      <c r="AA454" s="259" t="n"/>
      <c r="AB454" s="258" t="n"/>
      <c r="AC454" s="256" t="n"/>
      <c r="AD454" s="256" t="n"/>
      <c r="AE454" s="256" t="n"/>
      <c r="AF454" s="256" t="n"/>
      <c r="AG454" s="256" t="n"/>
      <c r="AH454" s="256">
        <f>IFERROR(IFERROR(V454,0)+IFERROR(AC454,0)+IFERROR(AD454,0)+IFERROR(AE454,0)+IFERROR(AF454,0)+IFERROR(AG454,0),0)</f>
        <v/>
      </c>
    </row>
    <row r="455" ht="15" customHeight="1" s="199">
      <c r="A455" s="104" t="n"/>
      <c r="B455" s="104" t="n"/>
      <c r="C455" s="104" t="n"/>
      <c r="D455" s="105" t="n"/>
      <c r="E455" s="105" t="n"/>
      <c r="F455" s="105" t="n"/>
      <c r="G455" s="106" t="n"/>
      <c r="H455" s="106" t="n"/>
      <c r="I455" s="106" t="n"/>
      <c r="J455" s="107" t="n"/>
      <c r="K455" s="105" t="n"/>
      <c r="L455" s="106" t="n"/>
      <c r="M455" s="106" t="n"/>
      <c r="N455" s="106" t="n"/>
      <c r="O455" s="106" t="n"/>
      <c r="P455" s="105" t="n"/>
      <c r="Q455" s="107" t="n"/>
      <c r="R455" s="105" t="n"/>
      <c r="S455" s="107" t="n"/>
      <c r="T455" s="108">
        <f>IFERROR(L455+M455+N455+O455,0)</f>
        <v/>
      </c>
      <c r="U455" s="108">
        <f>IFERROR(H455+IFERROR(I455,0)+T455+IFERROR(AH455,0),0)</f>
        <v/>
      </c>
      <c r="V455" s="256" t="n"/>
      <c r="W455" s="257" t="n"/>
      <c r="X455" s="256" t="n"/>
      <c r="Y455" s="258" t="n"/>
      <c r="Z455" s="259" t="n"/>
      <c r="AA455" s="259" t="n"/>
      <c r="AB455" s="258" t="n"/>
      <c r="AC455" s="256" t="n"/>
      <c r="AD455" s="256" t="n"/>
      <c r="AE455" s="256" t="n"/>
      <c r="AF455" s="256" t="n"/>
      <c r="AG455" s="256" t="n"/>
      <c r="AH455" s="256">
        <f>IFERROR(IFERROR(V455,0)+IFERROR(AC455,0)+IFERROR(AD455,0)+IFERROR(AE455,0)+IFERROR(AF455,0)+IFERROR(AG455,0),0)</f>
        <v/>
      </c>
    </row>
    <row r="456" ht="15" customHeight="1" s="199">
      <c r="A456" s="104" t="n"/>
      <c r="B456" s="104" t="n"/>
      <c r="C456" s="104" t="n"/>
      <c r="D456" s="105" t="n"/>
      <c r="E456" s="105" t="n"/>
      <c r="F456" s="105" t="n"/>
      <c r="G456" s="106" t="n"/>
      <c r="H456" s="106" t="n"/>
      <c r="I456" s="106" t="n"/>
      <c r="J456" s="107" t="n"/>
      <c r="K456" s="105" t="n"/>
      <c r="L456" s="106" t="n"/>
      <c r="M456" s="106" t="n"/>
      <c r="N456" s="106" t="n"/>
      <c r="O456" s="106" t="n"/>
      <c r="P456" s="105" t="n"/>
      <c r="Q456" s="107" t="n"/>
      <c r="R456" s="105" t="n"/>
      <c r="S456" s="107" t="n"/>
      <c r="T456" s="108">
        <f>IFERROR(L456+M456+N456+O456,0)</f>
        <v/>
      </c>
      <c r="U456" s="108">
        <f>IFERROR(H456+IFERROR(I456,0)+T456+IFERROR(AH456,0),0)</f>
        <v/>
      </c>
      <c r="V456" s="256" t="n"/>
      <c r="W456" s="257" t="n"/>
      <c r="X456" s="256" t="n"/>
      <c r="Y456" s="258" t="n"/>
      <c r="Z456" s="259" t="n"/>
      <c r="AA456" s="259" t="n"/>
      <c r="AB456" s="258" t="n"/>
      <c r="AC456" s="256" t="n"/>
      <c r="AD456" s="256" t="n"/>
      <c r="AE456" s="256" t="n"/>
      <c r="AF456" s="256" t="n"/>
      <c r="AG456" s="256" t="n"/>
      <c r="AH456" s="256">
        <f>IFERROR(IFERROR(V456,0)+IFERROR(AC456,0)+IFERROR(AD456,0)+IFERROR(AE456,0)+IFERROR(AF456,0)+IFERROR(AG456,0),0)</f>
        <v/>
      </c>
    </row>
    <row r="457" ht="15" customHeight="1" s="199">
      <c r="A457" s="104" t="n"/>
      <c r="B457" s="104" t="n"/>
      <c r="C457" s="104" t="n"/>
      <c r="D457" s="105" t="n"/>
      <c r="E457" s="105" t="n"/>
      <c r="F457" s="105" t="n"/>
      <c r="G457" s="106" t="n"/>
      <c r="H457" s="106" t="n"/>
      <c r="I457" s="106" t="n"/>
      <c r="J457" s="107" t="n"/>
      <c r="K457" s="105" t="n"/>
      <c r="L457" s="106" t="n"/>
      <c r="M457" s="106" t="n"/>
      <c r="N457" s="106" t="n"/>
      <c r="O457" s="106" t="n"/>
      <c r="P457" s="105" t="n"/>
      <c r="Q457" s="107" t="n"/>
      <c r="R457" s="105" t="n"/>
      <c r="S457" s="107" t="n"/>
      <c r="T457" s="108">
        <f>IFERROR(L457+M457+N457+O457,0)</f>
        <v/>
      </c>
      <c r="U457" s="108">
        <f>IFERROR(H457+IFERROR(I457,0)+T457+IFERROR(AH457,0),0)</f>
        <v/>
      </c>
      <c r="V457" s="256" t="n"/>
      <c r="W457" s="257" t="n"/>
      <c r="X457" s="256" t="n"/>
      <c r="Y457" s="258" t="n"/>
      <c r="Z457" s="259" t="n"/>
      <c r="AA457" s="259" t="n"/>
      <c r="AB457" s="258" t="n"/>
      <c r="AC457" s="256" t="n"/>
      <c r="AD457" s="256" t="n"/>
      <c r="AE457" s="256" t="n"/>
      <c r="AF457" s="256" t="n"/>
      <c r="AG457" s="256" t="n"/>
      <c r="AH457" s="256">
        <f>IFERROR(IFERROR(V457,0)+IFERROR(AC457,0)+IFERROR(AD457,0)+IFERROR(AE457,0)+IFERROR(AF457,0)+IFERROR(AG457,0),0)</f>
        <v/>
      </c>
    </row>
    <row r="458" ht="15" customHeight="1" s="199">
      <c r="A458" s="104" t="n"/>
      <c r="B458" s="104" t="n"/>
      <c r="C458" s="104" t="n"/>
      <c r="D458" s="105" t="n"/>
      <c r="E458" s="105" t="n"/>
      <c r="F458" s="105" t="n"/>
      <c r="G458" s="106" t="n"/>
      <c r="H458" s="106" t="n"/>
      <c r="I458" s="106" t="n"/>
      <c r="J458" s="107" t="n"/>
      <c r="K458" s="105" t="n"/>
      <c r="L458" s="106" t="n"/>
      <c r="M458" s="106" t="n"/>
      <c r="N458" s="106" t="n"/>
      <c r="O458" s="106" t="n"/>
      <c r="P458" s="105" t="n"/>
      <c r="Q458" s="107" t="n"/>
      <c r="R458" s="105" t="n"/>
      <c r="S458" s="107" t="n"/>
      <c r="T458" s="108">
        <f>IFERROR(L458+M458+N458+O458,0)</f>
        <v/>
      </c>
      <c r="U458" s="108">
        <f>IFERROR(H458+IFERROR(I458,0)+T458+IFERROR(AH458,0),0)</f>
        <v/>
      </c>
      <c r="V458" s="256" t="n"/>
      <c r="W458" s="257" t="n"/>
      <c r="X458" s="256" t="n"/>
      <c r="Y458" s="258" t="n"/>
      <c r="Z458" s="259" t="n"/>
      <c r="AA458" s="259" t="n"/>
      <c r="AB458" s="258" t="n"/>
      <c r="AC458" s="256" t="n"/>
      <c r="AD458" s="256" t="n"/>
      <c r="AE458" s="256" t="n"/>
      <c r="AF458" s="256" t="n"/>
      <c r="AG458" s="256" t="n"/>
      <c r="AH458" s="256">
        <f>IFERROR(IFERROR(V458,0)+IFERROR(AC458,0)+IFERROR(AD458,0)+IFERROR(AE458,0)+IFERROR(AF458,0)+IFERROR(AG458,0),0)</f>
        <v/>
      </c>
    </row>
    <row r="459" ht="15" customHeight="1" s="199">
      <c r="A459" s="104" t="n"/>
      <c r="B459" s="104" t="n"/>
      <c r="C459" s="104" t="n"/>
      <c r="D459" s="105" t="n"/>
      <c r="E459" s="105" t="n"/>
      <c r="F459" s="105" t="n"/>
      <c r="G459" s="106" t="n"/>
      <c r="H459" s="106" t="n"/>
      <c r="I459" s="106" t="n"/>
      <c r="J459" s="107" t="n"/>
      <c r="K459" s="105" t="n"/>
      <c r="L459" s="106" t="n"/>
      <c r="M459" s="106" t="n"/>
      <c r="N459" s="106" t="n"/>
      <c r="O459" s="106" t="n"/>
      <c r="P459" s="105" t="n"/>
      <c r="Q459" s="107" t="n"/>
      <c r="R459" s="105" t="n"/>
      <c r="S459" s="107" t="n"/>
      <c r="T459" s="108">
        <f>IFERROR(L459+M459+N459+O459,0)</f>
        <v/>
      </c>
      <c r="U459" s="108">
        <f>IFERROR(H459+IFERROR(I459,0)+T459+IFERROR(AH459,0),0)</f>
        <v/>
      </c>
      <c r="V459" s="256" t="n"/>
      <c r="W459" s="257" t="n"/>
      <c r="X459" s="256" t="n"/>
      <c r="Y459" s="258" t="n"/>
      <c r="Z459" s="259" t="n"/>
      <c r="AA459" s="259" t="n"/>
      <c r="AB459" s="258" t="n"/>
      <c r="AC459" s="256" t="n"/>
      <c r="AD459" s="256" t="n"/>
      <c r="AE459" s="256" t="n"/>
      <c r="AF459" s="256" t="n"/>
      <c r="AG459" s="256" t="n"/>
      <c r="AH459" s="256">
        <f>IFERROR(IFERROR(V459,0)+IFERROR(AC459,0)+IFERROR(AD459,0)+IFERROR(AE459,0)+IFERROR(AF459,0)+IFERROR(AG459,0),0)</f>
        <v/>
      </c>
    </row>
    <row r="460" ht="15" customHeight="1" s="199">
      <c r="A460" s="104" t="n"/>
      <c r="B460" s="104" t="n"/>
      <c r="C460" s="104" t="n"/>
      <c r="D460" s="105" t="n"/>
      <c r="E460" s="105" t="n"/>
      <c r="F460" s="105" t="n"/>
      <c r="G460" s="106" t="n"/>
      <c r="H460" s="106" t="n"/>
      <c r="I460" s="106" t="n"/>
      <c r="J460" s="107" t="n"/>
      <c r="K460" s="105" t="n"/>
      <c r="L460" s="106" t="n"/>
      <c r="M460" s="106" t="n"/>
      <c r="N460" s="106" t="n"/>
      <c r="O460" s="106" t="n"/>
      <c r="P460" s="105" t="n"/>
      <c r="Q460" s="107" t="n"/>
      <c r="R460" s="105" t="n"/>
      <c r="S460" s="107" t="n"/>
      <c r="T460" s="108">
        <f>IFERROR(L460+M460+N460+O460,0)</f>
        <v/>
      </c>
      <c r="U460" s="108">
        <f>IFERROR(H460+IFERROR(I460,0)+T460+IFERROR(AH460,0),0)</f>
        <v/>
      </c>
      <c r="V460" s="256" t="n"/>
      <c r="W460" s="257" t="n"/>
      <c r="X460" s="256" t="n"/>
      <c r="Y460" s="258" t="n"/>
      <c r="Z460" s="259" t="n"/>
      <c r="AA460" s="259" t="n"/>
      <c r="AB460" s="258" t="n"/>
      <c r="AC460" s="256" t="n"/>
      <c r="AD460" s="256" t="n"/>
      <c r="AE460" s="256" t="n"/>
      <c r="AF460" s="256" t="n"/>
      <c r="AG460" s="256" t="n"/>
      <c r="AH460" s="256">
        <f>IFERROR(IFERROR(V460,0)+IFERROR(AC460,0)+IFERROR(AD460,0)+IFERROR(AE460,0)+IFERROR(AF460,0)+IFERROR(AG460,0),0)</f>
        <v/>
      </c>
    </row>
    <row r="461" ht="15" customHeight="1" s="199">
      <c r="A461" s="104" t="n"/>
      <c r="B461" s="104" t="n"/>
      <c r="C461" s="104" t="n"/>
      <c r="D461" s="105" t="n"/>
      <c r="E461" s="105" t="n"/>
      <c r="F461" s="105" t="n"/>
      <c r="G461" s="106" t="n"/>
      <c r="H461" s="106" t="n"/>
      <c r="I461" s="106" t="n"/>
      <c r="J461" s="107" t="n"/>
      <c r="K461" s="105" t="n"/>
      <c r="L461" s="106" t="n"/>
      <c r="M461" s="106" t="n"/>
      <c r="N461" s="106" t="n"/>
      <c r="O461" s="106" t="n"/>
      <c r="P461" s="105" t="n"/>
      <c r="Q461" s="107" t="n"/>
      <c r="R461" s="105" t="n"/>
      <c r="S461" s="107" t="n"/>
      <c r="T461" s="108">
        <f>IFERROR(L461+M461+N461+O461,0)</f>
        <v/>
      </c>
      <c r="U461" s="108">
        <f>IFERROR(H461+IFERROR(I461,0)+T461+IFERROR(AH461,0),0)</f>
        <v/>
      </c>
      <c r="V461" s="256" t="n"/>
      <c r="W461" s="257" t="n"/>
      <c r="X461" s="256" t="n"/>
      <c r="Y461" s="258" t="n"/>
      <c r="Z461" s="259" t="n"/>
      <c r="AA461" s="259" t="n"/>
      <c r="AB461" s="258" t="n"/>
      <c r="AC461" s="256" t="n"/>
      <c r="AD461" s="256" t="n"/>
      <c r="AE461" s="256" t="n"/>
      <c r="AF461" s="256" t="n"/>
      <c r="AG461" s="256" t="n"/>
      <c r="AH461" s="256">
        <f>IFERROR(IFERROR(V461,0)+IFERROR(AC461,0)+IFERROR(AD461,0)+IFERROR(AE461,0)+IFERROR(AF461,0)+IFERROR(AG461,0),0)</f>
        <v/>
      </c>
    </row>
    <row r="462" ht="15" customHeight="1" s="199">
      <c r="A462" s="104" t="n"/>
      <c r="B462" s="104" t="n"/>
      <c r="C462" s="104" t="n"/>
      <c r="D462" s="105" t="n"/>
      <c r="E462" s="105" t="n"/>
      <c r="F462" s="105" t="n"/>
      <c r="G462" s="106" t="n"/>
      <c r="H462" s="106" t="n"/>
      <c r="I462" s="106" t="n"/>
      <c r="J462" s="107" t="n"/>
      <c r="K462" s="105" t="n"/>
      <c r="L462" s="106" t="n"/>
      <c r="M462" s="106" t="n"/>
      <c r="N462" s="106" t="n"/>
      <c r="O462" s="106" t="n"/>
      <c r="P462" s="105" t="n"/>
      <c r="Q462" s="107" t="n"/>
      <c r="R462" s="105" t="n"/>
      <c r="S462" s="107" t="n"/>
      <c r="T462" s="108">
        <f>IFERROR(L462+M462+N462+O462,0)</f>
        <v/>
      </c>
      <c r="U462" s="108">
        <f>IFERROR(H462+IFERROR(I462,0)+T462+IFERROR(AH462,0),0)</f>
        <v/>
      </c>
      <c r="V462" s="256" t="n"/>
      <c r="W462" s="257" t="n"/>
      <c r="X462" s="256" t="n"/>
      <c r="Y462" s="258" t="n"/>
      <c r="Z462" s="259" t="n"/>
      <c r="AA462" s="259" t="n"/>
      <c r="AB462" s="258" t="n"/>
      <c r="AC462" s="256" t="n"/>
      <c r="AD462" s="256" t="n"/>
      <c r="AE462" s="256" t="n"/>
      <c r="AF462" s="256" t="n"/>
      <c r="AG462" s="256" t="n"/>
      <c r="AH462" s="256">
        <f>IFERROR(IFERROR(V462,0)+IFERROR(AC462,0)+IFERROR(AD462,0)+IFERROR(AE462,0)+IFERROR(AF462,0)+IFERROR(AG462,0),0)</f>
        <v/>
      </c>
    </row>
    <row r="463" ht="15" customHeight="1" s="199">
      <c r="A463" s="104" t="n"/>
      <c r="B463" s="104" t="n"/>
      <c r="C463" s="104" t="n"/>
      <c r="D463" s="105" t="n"/>
      <c r="E463" s="105" t="n"/>
      <c r="F463" s="105" t="n"/>
      <c r="G463" s="106" t="n"/>
      <c r="H463" s="106" t="n"/>
      <c r="I463" s="106" t="n"/>
      <c r="J463" s="107" t="n"/>
      <c r="K463" s="105" t="n"/>
      <c r="L463" s="106" t="n"/>
      <c r="M463" s="106" t="n"/>
      <c r="N463" s="106" t="n"/>
      <c r="O463" s="106" t="n"/>
      <c r="P463" s="105" t="n"/>
      <c r="Q463" s="107" t="n"/>
      <c r="R463" s="105" t="n"/>
      <c r="S463" s="107" t="n"/>
      <c r="T463" s="108">
        <f>IFERROR(L463+M463+N463+O463,0)</f>
        <v/>
      </c>
      <c r="U463" s="108">
        <f>IFERROR(H463+IFERROR(I463,0)+T463+IFERROR(AH463,0),0)</f>
        <v/>
      </c>
      <c r="V463" s="256" t="n"/>
      <c r="W463" s="257" t="n"/>
      <c r="X463" s="256" t="n"/>
      <c r="Y463" s="258" t="n"/>
      <c r="Z463" s="259" t="n"/>
      <c r="AA463" s="259" t="n"/>
      <c r="AB463" s="258" t="n"/>
      <c r="AC463" s="256" t="n"/>
      <c r="AD463" s="256" t="n"/>
      <c r="AE463" s="256" t="n"/>
      <c r="AF463" s="256" t="n"/>
      <c r="AG463" s="256" t="n"/>
      <c r="AH463" s="256">
        <f>IFERROR(IFERROR(V463,0)+IFERROR(AC463,0)+IFERROR(AD463,0)+IFERROR(AE463,0)+IFERROR(AF463,0)+IFERROR(AG463,0),0)</f>
        <v/>
      </c>
    </row>
    <row r="464" ht="15" customHeight="1" s="199">
      <c r="A464" s="104" t="n"/>
      <c r="B464" s="104" t="n"/>
      <c r="C464" s="104" t="n"/>
      <c r="D464" s="105" t="n"/>
      <c r="E464" s="105" t="n"/>
      <c r="F464" s="105" t="n"/>
      <c r="G464" s="106" t="n"/>
      <c r="H464" s="106" t="n"/>
      <c r="I464" s="106" t="n"/>
      <c r="J464" s="107" t="n"/>
      <c r="K464" s="105" t="n"/>
      <c r="L464" s="106" t="n"/>
      <c r="M464" s="106" t="n"/>
      <c r="N464" s="106" t="n"/>
      <c r="O464" s="106" t="n"/>
      <c r="P464" s="105" t="n"/>
      <c r="Q464" s="107" t="n"/>
      <c r="R464" s="105" t="n"/>
      <c r="S464" s="107" t="n"/>
      <c r="T464" s="108">
        <f>IFERROR(L464+M464+N464+O464,0)</f>
        <v/>
      </c>
      <c r="U464" s="108">
        <f>IFERROR(H464+IFERROR(I464,0)+T464+IFERROR(AH464,0),0)</f>
        <v/>
      </c>
      <c r="V464" s="256" t="n"/>
      <c r="W464" s="257" t="n"/>
      <c r="X464" s="256" t="n"/>
      <c r="Y464" s="258" t="n"/>
      <c r="Z464" s="259" t="n"/>
      <c r="AA464" s="259" t="n"/>
      <c r="AB464" s="258" t="n"/>
      <c r="AC464" s="256" t="n"/>
      <c r="AD464" s="256" t="n"/>
      <c r="AE464" s="256" t="n"/>
      <c r="AF464" s="256" t="n"/>
      <c r="AG464" s="256" t="n"/>
      <c r="AH464" s="256">
        <f>IFERROR(IFERROR(V464,0)+IFERROR(AC464,0)+IFERROR(AD464,0)+IFERROR(AE464,0)+IFERROR(AF464,0)+IFERROR(AG464,0),0)</f>
        <v/>
      </c>
    </row>
    <row r="465" ht="15" customHeight="1" s="199">
      <c r="A465" s="104" t="n"/>
      <c r="B465" s="104" t="n"/>
      <c r="C465" s="104" t="n"/>
      <c r="D465" s="105" t="n"/>
      <c r="E465" s="105" t="n"/>
      <c r="F465" s="105" t="n"/>
      <c r="G465" s="106" t="n"/>
      <c r="H465" s="106" t="n"/>
      <c r="I465" s="106" t="n"/>
      <c r="J465" s="107" t="n"/>
      <c r="K465" s="105" t="n"/>
      <c r="L465" s="106" t="n"/>
      <c r="M465" s="106" t="n"/>
      <c r="N465" s="106" t="n"/>
      <c r="O465" s="106" t="n"/>
      <c r="P465" s="105" t="n"/>
      <c r="Q465" s="107" t="n"/>
      <c r="R465" s="105" t="n"/>
      <c r="S465" s="107" t="n"/>
      <c r="T465" s="108">
        <f>IFERROR(L465+M465+N465+O465,0)</f>
        <v/>
      </c>
      <c r="U465" s="108">
        <f>IFERROR(H465+IFERROR(I465,0)+T465+IFERROR(AH465,0),0)</f>
        <v/>
      </c>
      <c r="V465" s="256" t="n"/>
      <c r="W465" s="257" t="n"/>
      <c r="X465" s="256" t="n"/>
      <c r="Y465" s="258" t="n"/>
      <c r="Z465" s="259" t="n"/>
      <c r="AA465" s="259" t="n"/>
      <c r="AB465" s="258" t="n"/>
      <c r="AC465" s="256" t="n"/>
      <c r="AD465" s="256" t="n"/>
      <c r="AE465" s="256" t="n"/>
      <c r="AF465" s="256" t="n"/>
      <c r="AG465" s="256" t="n"/>
      <c r="AH465" s="256">
        <f>IFERROR(IFERROR(V465,0)+IFERROR(AC465,0)+IFERROR(AD465,0)+IFERROR(AE465,0)+IFERROR(AF465,0)+IFERROR(AG465,0),0)</f>
        <v/>
      </c>
    </row>
    <row r="466" ht="15" customHeight="1" s="199">
      <c r="A466" s="104" t="n"/>
      <c r="B466" s="104" t="n"/>
      <c r="C466" s="104" t="n"/>
      <c r="D466" s="105" t="n"/>
      <c r="E466" s="105" t="n"/>
      <c r="F466" s="105" t="n"/>
      <c r="G466" s="106" t="n"/>
      <c r="H466" s="106" t="n"/>
      <c r="I466" s="106" t="n"/>
      <c r="J466" s="107" t="n"/>
      <c r="K466" s="105" t="n"/>
      <c r="L466" s="106" t="n"/>
      <c r="M466" s="106" t="n"/>
      <c r="N466" s="106" t="n"/>
      <c r="O466" s="106" t="n"/>
      <c r="P466" s="105" t="n"/>
      <c r="Q466" s="107" t="n"/>
      <c r="R466" s="105" t="n"/>
      <c r="S466" s="107" t="n"/>
      <c r="T466" s="108">
        <f>IFERROR(L466+M466+N466+O466,0)</f>
        <v/>
      </c>
      <c r="U466" s="108">
        <f>IFERROR(H466+IFERROR(I466,0)+T466+IFERROR(AH466,0),0)</f>
        <v/>
      </c>
      <c r="V466" s="256" t="n"/>
      <c r="W466" s="257" t="n"/>
      <c r="X466" s="256" t="n"/>
      <c r="Y466" s="258" t="n"/>
      <c r="Z466" s="259" t="n"/>
      <c r="AA466" s="259" t="n"/>
      <c r="AB466" s="258" t="n"/>
      <c r="AC466" s="256" t="n"/>
      <c r="AD466" s="256" t="n"/>
      <c r="AE466" s="256" t="n"/>
      <c r="AF466" s="256" t="n"/>
      <c r="AG466" s="256" t="n"/>
      <c r="AH466" s="256">
        <f>IFERROR(IFERROR(V466,0)+IFERROR(AC466,0)+IFERROR(AD466,0)+IFERROR(AE466,0)+IFERROR(AF466,0)+IFERROR(AG466,0),0)</f>
        <v/>
      </c>
    </row>
    <row r="467" ht="15" customHeight="1" s="199">
      <c r="A467" s="104" t="n"/>
      <c r="B467" s="104" t="n"/>
      <c r="C467" s="104" t="n"/>
      <c r="D467" s="105" t="n"/>
      <c r="E467" s="105" t="n"/>
      <c r="F467" s="105" t="n"/>
      <c r="G467" s="106" t="n"/>
      <c r="H467" s="106" t="n"/>
      <c r="I467" s="106" t="n"/>
      <c r="J467" s="107" t="n"/>
      <c r="K467" s="105" t="n"/>
      <c r="L467" s="106" t="n"/>
      <c r="M467" s="106" t="n"/>
      <c r="N467" s="106" t="n"/>
      <c r="O467" s="106" t="n"/>
      <c r="P467" s="105" t="n"/>
      <c r="Q467" s="107" t="n"/>
      <c r="R467" s="105" t="n"/>
      <c r="S467" s="107" t="n"/>
      <c r="T467" s="108">
        <f>IFERROR(L467+M467+N467+O467,0)</f>
        <v/>
      </c>
      <c r="U467" s="108">
        <f>IFERROR(H467+IFERROR(I467,0)+T467+IFERROR(AH467,0),0)</f>
        <v/>
      </c>
      <c r="V467" s="256" t="n"/>
      <c r="W467" s="257" t="n"/>
      <c r="X467" s="256" t="n"/>
      <c r="Y467" s="258" t="n"/>
      <c r="Z467" s="259" t="n"/>
      <c r="AA467" s="259" t="n"/>
      <c r="AB467" s="258" t="n"/>
      <c r="AC467" s="256" t="n"/>
      <c r="AD467" s="256" t="n"/>
      <c r="AE467" s="256" t="n"/>
      <c r="AF467" s="256" t="n"/>
      <c r="AG467" s="256" t="n"/>
      <c r="AH467" s="256">
        <f>IFERROR(IFERROR(V467,0)+IFERROR(AC467,0)+IFERROR(AD467,0)+IFERROR(AE467,0)+IFERROR(AF467,0)+IFERROR(AG467,0),0)</f>
        <v/>
      </c>
    </row>
    <row r="468" ht="15" customHeight="1" s="199">
      <c r="A468" s="104" t="n"/>
      <c r="B468" s="104" t="n"/>
      <c r="C468" s="104" t="n"/>
      <c r="D468" s="105" t="n"/>
      <c r="E468" s="105" t="n"/>
      <c r="F468" s="105" t="n"/>
      <c r="G468" s="106" t="n"/>
      <c r="H468" s="106" t="n"/>
      <c r="I468" s="106" t="n"/>
      <c r="J468" s="107" t="n"/>
      <c r="K468" s="105" t="n"/>
      <c r="L468" s="106" t="n"/>
      <c r="M468" s="106" t="n"/>
      <c r="N468" s="106" t="n"/>
      <c r="O468" s="106" t="n"/>
      <c r="P468" s="105" t="n"/>
      <c r="Q468" s="107" t="n"/>
      <c r="R468" s="105" t="n"/>
      <c r="S468" s="107" t="n"/>
      <c r="T468" s="108">
        <f>IFERROR(L468+M468+N468+O468,0)</f>
        <v/>
      </c>
      <c r="U468" s="108">
        <f>IFERROR(H468+IFERROR(I468,0)+T468+IFERROR(AH468,0),0)</f>
        <v/>
      </c>
      <c r="V468" s="256" t="n"/>
      <c r="W468" s="257" t="n"/>
      <c r="X468" s="256" t="n"/>
      <c r="Y468" s="258" t="n"/>
      <c r="Z468" s="259" t="n"/>
      <c r="AA468" s="259" t="n"/>
      <c r="AB468" s="258" t="n"/>
      <c r="AC468" s="256" t="n"/>
      <c r="AD468" s="256" t="n"/>
      <c r="AE468" s="256" t="n"/>
      <c r="AF468" s="256" t="n"/>
      <c r="AG468" s="256" t="n"/>
      <c r="AH468" s="256">
        <f>IFERROR(IFERROR(V468,0)+IFERROR(AC468,0)+IFERROR(AD468,0)+IFERROR(AE468,0)+IFERROR(AF468,0)+IFERROR(AG468,0),0)</f>
        <v/>
      </c>
    </row>
    <row r="469" ht="15" customHeight="1" s="199">
      <c r="A469" s="104" t="n"/>
      <c r="B469" s="104" t="n"/>
      <c r="C469" s="104" t="n"/>
      <c r="D469" s="105" t="n"/>
      <c r="E469" s="105" t="n"/>
      <c r="F469" s="105" t="n"/>
      <c r="G469" s="106" t="n"/>
      <c r="H469" s="106" t="n"/>
      <c r="I469" s="106" t="n"/>
      <c r="J469" s="107" t="n"/>
      <c r="K469" s="105" t="n"/>
      <c r="L469" s="106" t="n"/>
      <c r="M469" s="106" t="n"/>
      <c r="N469" s="106" t="n"/>
      <c r="O469" s="106" t="n"/>
      <c r="P469" s="105" t="n"/>
      <c r="Q469" s="107" t="n"/>
      <c r="R469" s="105" t="n"/>
      <c r="S469" s="107" t="n"/>
      <c r="T469" s="108">
        <f>IFERROR(L469+M469+N469+O469,0)</f>
        <v/>
      </c>
      <c r="U469" s="108">
        <f>IFERROR(H469+IFERROR(I469,0)+T469+IFERROR(AH469,0),0)</f>
        <v/>
      </c>
      <c r="V469" s="256" t="n"/>
      <c r="W469" s="257" t="n"/>
      <c r="X469" s="256" t="n"/>
      <c r="Y469" s="258" t="n"/>
      <c r="Z469" s="259" t="n"/>
      <c r="AA469" s="259" t="n"/>
      <c r="AB469" s="258" t="n"/>
      <c r="AC469" s="256" t="n"/>
      <c r="AD469" s="256" t="n"/>
      <c r="AE469" s="256" t="n"/>
      <c r="AF469" s="256" t="n"/>
      <c r="AG469" s="256" t="n"/>
      <c r="AH469" s="256">
        <f>IFERROR(IFERROR(V469,0)+IFERROR(AC469,0)+IFERROR(AD469,0)+IFERROR(AE469,0)+IFERROR(AF469,0)+IFERROR(AG469,0),0)</f>
        <v/>
      </c>
    </row>
    <row r="470" ht="15" customHeight="1" s="199">
      <c r="A470" s="104" t="n"/>
      <c r="B470" s="104" t="n"/>
      <c r="C470" s="104" t="n"/>
      <c r="D470" s="105" t="n"/>
      <c r="E470" s="105" t="n"/>
      <c r="F470" s="105" t="n"/>
      <c r="G470" s="106" t="n"/>
      <c r="H470" s="106" t="n"/>
      <c r="I470" s="106" t="n"/>
      <c r="J470" s="107" t="n"/>
      <c r="K470" s="105" t="n"/>
      <c r="L470" s="106" t="n"/>
      <c r="M470" s="106" t="n"/>
      <c r="N470" s="106" t="n"/>
      <c r="O470" s="106" t="n"/>
      <c r="P470" s="105" t="n"/>
      <c r="Q470" s="107" t="n"/>
      <c r="R470" s="105" t="n"/>
      <c r="S470" s="107" t="n"/>
      <c r="T470" s="108">
        <f>IFERROR(L470+M470+N470+O470,0)</f>
        <v/>
      </c>
      <c r="U470" s="108">
        <f>IFERROR(H470+IFERROR(I470,0)+T470+IFERROR(AH470,0),0)</f>
        <v/>
      </c>
      <c r="V470" s="256" t="n"/>
      <c r="W470" s="257" t="n"/>
      <c r="X470" s="256" t="n"/>
      <c r="Y470" s="258" t="n"/>
      <c r="Z470" s="259" t="n"/>
      <c r="AA470" s="259" t="n"/>
      <c r="AB470" s="258" t="n"/>
      <c r="AC470" s="256" t="n"/>
      <c r="AD470" s="256" t="n"/>
      <c r="AE470" s="256" t="n"/>
      <c r="AF470" s="256" t="n"/>
      <c r="AG470" s="256" t="n"/>
      <c r="AH470" s="256">
        <f>IFERROR(IFERROR(V470,0)+IFERROR(AC470,0)+IFERROR(AD470,0)+IFERROR(AE470,0)+IFERROR(AF470,0)+IFERROR(AG470,0),0)</f>
        <v/>
      </c>
    </row>
    <row r="471" ht="15" customHeight="1" s="199">
      <c r="A471" s="104" t="n"/>
      <c r="B471" s="104" t="n"/>
      <c r="C471" s="104" t="n"/>
      <c r="D471" s="105" t="n"/>
      <c r="E471" s="105" t="n"/>
      <c r="F471" s="105" t="n"/>
      <c r="G471" s="106" t="n"/>
      <c r="H471" s="106" t="n"/>
      <c r="I471" s="106" t="n"/>
      <c r="J471" s="107" t="n"/>
      <c r="K471" s="105" t="n"/>
      <c r="L471" s="106" t="n"/>
      <c r="M471" s="106" t="n"/>
      <c r="N471" s="106" t="n"/>
      <c r="O471" s="106" t="n"/>
      <c r="P471" s="105" t="n"/>
      <c r="Q471" s="107" t="n"/>
      <c r="R471" s="105" t="n"/>
      <c r="S471" s="107" t="n"/>
      <c r="T471" s="108">
        <f>IFERROR(L471+M471+N471+O471,0)</f>
        <v/>
      </c>
      <c r="U471" s="108">
        <f>IFERROR(H471+IFERROR(I471,0)+T471+IFERROR(AH471,0),0)</f>
        <v/>
      </c>
      <c r="V471" s="256" t="n"/>
      <c r="W471" s="257" t="n"/>
      <c r="X471" s="256" t="n"/>
      <c r="Y471" s="258" t="n"/>
      <c r="Z471" s="259" t="n"/>
      <c r="AA471" s="259" t="n"/>
      <c r="AB471" s="258" t="n"/>
      <c r="AC471" s="256" t="n"/>
      <c r="AD471" s="256" t="n"/>
      <c r="AE471" s="256" t="n"/>
      <c r="AF471" s="256" t="n"/>
      <c r="AG471" s="256" t="n"/>
      <c r="AH471" s="256">
        <f>IFERROR(IFERROR(V471,0)+IFERROR(AC471,0)+IFERROR(AD471,0)+IFERROR(AE471,0)+IFERROR(AF471,0)+IFERROR(AG471,0),0)</f>
        <v/>
      </c>
    </row>
    <row r="472" ht="15" customHeight="1" s="199">
      <c r="A472" s="104" t="n"/>
      <c r="B472" s="104" t="n"/>
      <c r="C472" s="104" t="n"/>
      <c r="D472" s="105" t="n"/>
      <c r="E472" s="105" t="n"/>
      <c r="F472" s="105" t="n"/>
      <c r="G472" s="106" t="n"/>
      <c r="H472" s="106" t="n"/>
      <c r="I472" s="106" t="n"/>
      <c r="J472" s="107" t="n"/>
      <c r="K472" s="105" t="n"/>
      <c r="L472" s="106" t="n"/>
      <c r="M472" s="106" t="n"/>
      <c r="N472" s="106" t="n"/>
      <c r="O472" s="106" t="n"/>
      <c r="P472" s="105" t="n"/>
      <c r="Q472" s="107" t="n"/>
      <c r="R472" s="105" t="n"/>
      <c r="S472" s="107" t="n"/>
      <c r="T472" s="108">
        <f>IFERROR(L472+M472+N472+O472,0)</f>
        <v/>
      </c>
      <c r="U472" s="108">
        <f>IFERROR(H472+IFERROR(I472,0)+T472+IFERROR(AH472,0),0)</f>
        <v/>
      </c>
      <c r="V472" s="256" t="n"/>
      <c r="W472" s="257" t="n"/>
      <c r="X472" s="256" t="n"/>
      <c r="Y472" s="258" t="n"/>
      <c r="Z472" s="259" t="n"/>
      <c r="AA472" s="259" t="n"/>
      <c r="AB472" s="258" t="n"/>
      <c r="AC472" s="256" t="n"/>
      <c r="AD472" s="256" t="n"/>
      <c r="AE472" s="256" t="n"/>
      <c r="AF472" s="256" t="n"/>
      <c r="AG472" s="256" t="n"/>
      <c r="AH472" s="256">
        <f>IFERROR(IFERROR(V472,0)+IFERROR(AC472,0)+IFERROR(AD472,0)+IFERROR(AE472,0)+IFERROR(AF472,0)+IFERROR(AG472,0),0)</f>
        <v/>
      </c>
    </row>
    <row r="473" ht="15" customHeight="1" s="199">
      <c r="A473" s="104" t="n"/>
      <c r="B473" s="104" t="n"/>
      <c r="C473" s="104" t="n"/>
      <c r="D473" s="105" t="n"/>
      <c r="E473" s="105" t="n"/>
      <c r="F473" s="105" t="n"/>
      <c r="G473" s="106" t="n"/>
      <c r="H473" s="106" t="n"/>
      <c r="I473" s="106" t="n"/>
      <c r="J473" s="107" t="n"/>
      <c r="K473" s="105" t="n"/>
      <c r="L473" s="106" t="n"/>
      <c r="M473" s="106" t="n"/>
      <c r="N473" s="106" t="n"/>
      <c r="O473" s="106" t="n"/>
      <c r="P473" s="105" t="n"/>
      <c r="Q473" s="107" t="n"/>
      <c r="R473" s="105" t="n"/>
      <c r="S473" s="107" t="n"/>
      <c r="T473" s="108">
        <f>IFERROR(L473+M473+N473+O473,0)</f>
        <v/>
      </c>
      <c r="U473" s="108">
        <f>IFERROR(H473+IFERROR(I473,0)+T473+IFERROR(AH473,0),0)</f>
        <v/>
      </c>
      <c r="V473" s="256" t="n"/>
      <c r="W473" s="257" t="n"/>
      <c r="X473" s="256" t="n"/>
      <c r="Y473" s="258" t="n"/>
      <c r="Z473" s="259" t="n"/>
      <c r="AA473" s="259" t="n"/>
      <c r="AB473" s="258" t="n"/>
      <c r="AC473" s="256" t="n"/>
      <c r="AD473" s="256" t="n"/>
      <c r="AE473" s="256" t="n"/>
      <c r="AF473" s="256" t="n"/>
      <c r="AG473" s="256" t="n"/>
      <c r="AH473" s="256">
        <f>IFERROR(IFERROR(V473,0)+IFERROR(AC473,0)+IFERROR(AD473,0)+IFERROR(AE473,0)+IFERROR(AF473,0)+IFERROR(AG473,0),0)</f>
        <v/>
      </c>
    </row>
    <row r="474" ht="15" customHeight="1" s="199">
      <c r="A474" s="104" t="n"/>
      <c r="B474" s="104" t="n"/>
      <c r="C474" s="104" t="n"/>
      <c r="D474" s="105" t="n"/>
      <c r="E474" s="105" t="n"/>
      <c r="F474" s="105" t="n"/>
      <c r="G474" s="106" t="n"/>
      <c r="H474" s="106" t="n"/>
      <c r="I474" s="106" t="n"/>
      <c r="J474" s="107" t="n"/>
      <c r="K474" s="105" t="n"/>
      <c r="L474" s="106" t="n"/>
      <c r="M474" s="106" t="n"/>
      <c r="N474" s="106" t="n"/>
      <c r="O474" s="106" t="n"/>
      <c r="P474" s="105" t="n"/>
      <c r="Q474" s="107" t="n"/>
      <c r="R474" s="105" t="n"/>
      <c r="S474" s="107" t="n"/>
      <c r="T474" s="108">
        <f>IFERROR(L474+M474+N474+O474,0)</f>
        <v/>
      </c>
      <c r="U474" s="108">
        <f>IFERROR(H474+IFERROR(I474,0)+T474+IFERROR(AH474,0),0)</f>
        <v/>
      </c>
      <c r="V474" s="256" t="n"/>
      <c r="W474" s="257" t="n"/>
      <c r="X474" s="256" t="n"/>
      <c r="Y474" s="258" t="n"/>
      <c r="Z474" s="259" t="n"/>
      <c r="AA474" s="259" t="n"/>
      <c r="AB474" s="258" t="n"/>
      <c r="AC474" s="256" t="n"/>
      <c r="AD474" s="256" t="n"/>
      <c r="AE474" s="256" t="n"/>
      <c r="AF474" s="256" t="n"/>
      <c r="AG474" s="256" t="n"/>
      <c r="AH474" s="256">
        <f>IFERROR(IFERROR(V474,0)+IFERROR(AC474,0)+IFERROR(AD474,0)+IFERROR(AE474,0)+IFERROR(AF474,0)+IFERROR(AG474,0),0)</f>
        <v/>
      </c>
    </row>
    <row r="475" ht="15" customHeight="1" s="199">
      <c r="A475" s="104" t="n"/>
      <c r="B475" s="104" t="n"/>
      <c r="C475" s="104" t="n"/>
      <c r="D475" s="105" t="n"/>
      <c r="E475" s="105" t="n"/>
      <c r="F475" s="105" t="n"/>
      <c r="G475" s="106" t="n"/>
      <c r="H475" s="106" t="n"/>
      <c r="I475" s="106" t="n"/>
      <c r="J475" s="107" t="n"/>
      <c r="K475" s="105" t="n"/>
      <c r="L475" s="106" t="n"/>
      <c r="M475" s="106" t="n"/>
      <c r="N475" s="106" t="n"/>
      <c r="O475" s="106" t="n"/>
      <c r="P475" s="105" t="n"/>
      <c r="Q475" s="107" t="n"/>
      <c r="R475" s="105" t="n"/>
      <c r="S475" s="107" t="n"/>
      <c r="T475" s="108">
        <f>IFERROR(L475+M475+N475+O475,0)</f>
        <v/>
      </c>
      <c r="U475" s="108">
        <f>IFERROR(H475+IFERROR(I475,0)+T475+IFERROR(AH475,0),0)</f>
        <v/>
      </c>
      <c r="V475" s="256" t="n"/>
      <c r="W475" s="257" t="n"/>
      <c r="X475" s="256" t="n"/>
      <c r="Y475" s="258" t="n"/>
      <c r="Z475" s="259" t="n"/>
      <c r="AA475" s="259" t="n"/>
      <c r="AB475" s="258" t="n"/>
      <c r="AC475" s="256" t="n"/>
      <c r="AD475" s="256" t="n"/>
      <c r="AE475" s="256" t="n"/>
      <c r="AF475" s="256" t="n"/>
      <c r="AG475" s="256" t="n"/>
      <c r="AH475" s="256">
        <f>IFERROR(IFERROR(V475,0)+IFERROR(AC475,0)+IFERROR(AD475,0)+IFERROR(AE475,0)+IFERROR(AF475,0)+IFERROR(AG475,0),0)</f>
        <v/>
      </c>
    </row>
    <row r="476" ht="15" customHeight="1" s="199">
      <c r="A476" s="104" t="n"/>
      <c r="B476" s="104" t="n"/>
      <c r="C476" s="104" t="n"/>
      <c r="D476" s="105" t="n"/>
      <c r="E476" s="105" t="n"/>
      <c r="F476" s="105" t="n"/>
      <c r="G476" s="106" t="n"/>
      <c r="H476" s="106" t="n"/>
      <c r="I476" s="106" t="n"/>
      <c r="J476" s="107" t="n"/>
      <c r="K476" s="105" t="n"/>
      <c r="L476" s="106" t="n"/>
      <c r="M476" s="106" t="n"/>
      <c r="N476" s="106" t="n"/>
      <c r="O476" s="106" t="n"/>
      <c r="P476" s="105" t="n"/>
      <c r="Q476" s="107" t="n"/>
      <c r="R476" s="105" t="n"/>
      <c r="S476" s="107" t="n"/>
      <c r="T476" s="108">
        <f>IFERROR(L476+M476+N476+O476,0)</f>
        <v/>
      </c>
      <c r="U476" s="108">
        <f>IFERROR(H476+IFERROR(I476,0)+T476+IFERROR(AH476,0),0)</f>
        <v/>
      </c>
      <c r="V476" s="256" t="n"/>
      <c r="W476" s="257" t="n"/>
      <c r="X476" s="256" t="n"/>
      <c r="Y476" s="258" t="n"/>
      <c r="Z476" s="259" t="n"/>
      <c r="AA476" s="259" t="n"/>
      <c r="AB476" s="258" t="n"/>
      <c r="AC476" s="256" t="n"/>
      <c r="AD476" s="256" t="n"/>
      <c r="AE476" s="256" t="n"/>
      <c r="AF476" s="256" t="n"/>
      <c r="AG476" s="256" t="n"/>
      <c r="AH476" s="256">
        <f>IFERROR(IFERROR(V476,0)+IFERROR(AC476,0)+IFERROR(AD476,0)+IFERROR(AE476,0)+IFERROR(AF476,0)+IFERROR(AG476,0),0)</f>
        <v/>
      </c>
    </row>
    <row r="477" ht="15" customHeight="1" s="199">
      <c r="A477" s="104" t="n"/>
      <c r="B477" s="104" t="n"/>
      <c r="C477" s="104" t="n"/>
      <c r="D477" s="105" t="n"/>
      <c r="E477" s="105" t="n"/>
      <c r="F477" s="105" t="n"/>
      <c r="G477" s="106" t="n"/>
      <c r="H477" s="106" t="n"/>
      <c r="I477" s="106" t="n"/>
      <c r="J477" s="107" t="n"/>
      <c r="K477" s="105" t="n"/>
      <c r="L477" s="106" t="n"/>
      <c r="M477" s="106" t="n"/>
      <c r="N477" s="106" t="n"/>
      <c r="O477" s="106" t="n"/>
      <c r="P477" s="105" t="n"/>
      <c r="Q477" s="107" t="n"/>
      <c r="R477" s="105" t="n"/>
      <c r="S477" s="107" t="n"/>
      <c r="T477" s="108">
        <f>IFERROR(L477+M477+N477+O477,0)</f>
        <v/>
      </c>
      <c r="U477" s="108">
        <f>IFERROR(H477+IFERROR(I477,0)+T477+IFERROR(AH477,0),0)</f>
        <v/>
      </c>
      <c r="V477" s="256" t="n"/>
      <c r="W477" s="257" t="n"/>
      <c r="X477" s="256" t="n"/>
      <c r="Y477" s="258" t="n"/>
      <c r="Z477" s="259" t="n"/>
      <c r="AA477" s="259" t="n"/>
      <c r="AB477" s="258" t="n"/>
      <c r="AC477" s="256" t="n"/>
      <c r="AD477" s="256" t="n"/>
      <c r="AE477" s="256" t="n"/>
      <c r="AF477" s="256" t="n"/>
      <c r="AG477" s="256" t="n"/>
      <c r="AH477" s="256">
        <f>IFERROR(IFERROR(V477,0)+IFERROR(AC477,0)+IFERROR(AD477,0)+IFERROR(AE477,0)+IFERROR(AF477,0)+IFERROR(AG477,0),0)</f>
        <v/>
      </c>
    </row>
    <row r="478" ht="15" customHeight="1" s="199">
      <c r="A478" s="104" t="n"/>
      <c r="B478" s="104" t="n"/>
      <c r="C478" s="104" t="n"/>
      <c r="D478" s="105" t="n"/>
      <c r="E478" s="105" t="n"/>
      <c r="F478" s="105" t="n"/>
      <c r="G478" s="106" t="n"/>
      <c r="H478" s="106" t="n"/>
      <c r="I478" s="106" t="n"/>
      <c r="J478" s="107" t="n"/>
      <c r="K478" s="105" t="n"/>
      <c r="L478" s="106" t="n"/>
      <c r="M478" s="106" t="n"/>
      <c r="N478" s="106" t="n"/>
      <c r="O478" s="106" t="n"/>
      <c r="P478" s="105" t="n"/>
      <c r="Q478" s="107" t="n"/>
      <c r="R478" s="105" t="n"/>
      <c r="S478" s="107" t="n"/>
      <c r="T478" s="108">
        <f>IFERROR(L478+M478+N478+O478,0)</f>
        <v/>
      </c>
      <c r="U478" s="108">
        <f>IFERROR(H478+IFERROR(I478,0)+T478+IFERROR(AH478,0),0)</f>
        <v/>
      </c>
      <c r="V478" s="256" t="n"/>
      <c r="W478" s="257" t="n"/>
      <c r="X478" s="256" t="n"/>
      <c r="Y478" s="258" t="n"/>
      <c r="Z478" s="259" t="n"/>
      <c r="AA478" s="259" t="n"/>
      <c r="AB478" s="258" t="n"/>
      <c r="AC478" s="256" t="n"/>
      <c r="AD478" s="256" t="n"/>
      <c r="AE478" s="256" t="n"/>
      <c r="AF478" s="256" t="n"/>
      <c r="AG478" s="256" t="n"/>
      <c r="AH478" s="256">
        <f>IFERROR(IFERROR(V478,0)+IFERROR(AC478,0)+IFERROR(AD478,0)+IFERROR(AE478,0)+IFERROR(AF478,0)+IFERROR(AG478,0),0)</f>
        <v/>
      </c>
    </row>
    <row r="479" ht="15" customHeight="1" s="199">
      <c r="A479" s="104" t="n"/>
      <c r="B479" s="104" t="n"/>
      <c r="C479" s="104" t="n"/>
      <c r="D479" s="105" t="n"/>
      <c r="E479" s="105" t="n"/>
      <c r="F479" s="105" t="n"/>
      <c r="G479" s="106" t="n"/>
      <c r="H479" s="106" t="n"/>
      <c r="I479" s="106" t="n"/>
      <c r="J479" s="107" t="n"/>
      <c r="K479" s="105" t="n"/>
      <c r="L479" s="106" t="n"/>
      <c r="M479" s="106" t="n"/>
      <c r="N479" s="106" t="n"/>
      <c r="O479" s="106" t="n"/>
      <c r="P479" s="105" t="n"/>
      <c r="Q479" s="107" t="n"/>
      <c r="R479" s="105" t="n"/>
      <c r="S479" s="107" t="n"/>
      <c r="T479" s="108">
        <f>IFERROR(L479+M479+N479+O479,0)</f>
        <v/>
      </c>
      <c r="U479" s="108">
        <f>IFERROR(H479+IFERROR(I479,0)+T479+IFERROR(AH479,0),0)</f>
        <v/>
      </c>
      <c r="V479" s="256" t="n"/>
      <c r="W479" s="257" t="n"/>
      <c r="X479" s="256" t="n"/>
      <c r="Y479" s="258" t="n"/>
      <c r="Z479" s="259" t="n"/>
      <c r="AA479" s="259" t="n"/>
      <c r="AB479" s="258" t="n"/>
      <c r="AC479" s="256" t="n"/>
      <c r="AD479" s="256" t="n"/>
      <c r="AE479" s="256" t="n"/>
      <c r="AF479" s="256" t="n"/>
      <c r="AG479" s="256" t="n"/>
      <c r="AH479" s="256">
        <f>IFERROR(IFERROR(V479,0)+IFERROR(AC479,0)+IFERROR(AD479,0)+IFERROR(AE479,0)+IFERROR(AF479,0)+IFERROR(AG479,0),0)</f>
        <v/>
      </c>
    </row>
    <row r="480" ht="15" customHeight="1" s="199">
      <c r="A480" s="104" t="n"/>
      <c r="B480" s="104" t="n"/>
      <c r="C480" s="104" t="n"/>
      <c r="D480" s="105" t="n"/>
      <c r="E480" s="105" t="n"/>
      <c r="F480" s="105" t="n"/>
      <c r="G480" s="106" t="n"/>
      <c r="H480" s="106" t="n"/>
      <c r="I480" s="106" t="n"/>
      <c r="J480" s="107" t="n"/>
      <c r="K480" s="105" t="n"/>
      <c r="L480" s="106" t="n"/>
      <c r="M480" s="106" t="n"/>
      <c r="N480" s="106" t="n"/>
      <c r="O480" s="106" t="n"/>
      <c r="P480" s="105" t="n"/>
      <c r="Q480" s="107" t="n"/>
      <c r="R480" s="105" t="n"/>
      <c r="S480" s="107" t="n"/>
      <c r="T480" s="108">
        <f>IFERROR(L480+M480+N480+O480,0)</f>
        <v/>
      </c>
      <c r="U480" s="108">
        <f>IFERROR(H480+IFERROR(I480,0)+T480+IFERROR(AH480,0),0)</f>
        <v/>
      </c>
      <c r="V480" s="256" t="n"/>
      <c r="W480" s="257" t="n"/>
      <c r="X480" s="256" t="n"/>
      <c r="Y480" s="258" t="n"/>
      <c r="Z480" s="259" t="n"/>
      <c r="AA480" s="259" t="n"/>
      <c r="AB480" s="258" t="n"/>
      <c r="AC480" s="256" t="n"/>
      <c r="AD480" s="256" t="n"/>
      <c r="AE480" s="256" t="n"/>
      <c r="AF480" s="256" t="n"/>
      <c r="AG480" s="256" t="n"/>
      <c r="AH480" s="256">
        <f>IFERROR(IFERROR(V480,0)+IFERROR(AC480,0)+IFERROR(AD480,0)+IFERROR(AE480,0)+IFERROR(AF480,0)+IFERROR(AG480,0),0)</f>
        <v/>
      </c>
    </row>
    <row r="481" ht="15" customHeight="1" s="199">
      <c r="A481" s="104" t="n"/>
      <c r="B481" s="104" t="n"/>
      <c r="C481" s="104" t="n"/>
      <c r="D481" s="105" t="n"/>
      <c r="E481" s="105" t="n"/>
      <c r="F481" s="105" t="n"/>
      <c r="G481" s="106" t="n"/>
      <c r="H481" s="106" t="n"/>
      <c r="I481" s="106" t="n"/>
      <c r="J481" s="107" t="n"/>
      <c r="K481" s="105" t="n"/>
      <c r="L481" s="106" t="n"/>
      <c r="M481" s="106" t="n"/>
      <c r="N481" s="106" t="n"/>
      <c r="O481" s="106" t="n"/>
      <c r="P481" s="105" t="n"/>
      <c r="Q481" s="107" t="n"/>
      <c r="R481" s="105" t="n"/>
      <c r="S481" s="107" t="n"/>
      <c r="T481" s="108">
        <f>IFERROR(L481+M481+N481+O481,0)</f>
        <v/>
      </c>
      <c r="U481" s="108">
        <f>IFERROR(H481+IFERROR(I481,0)+T481+IFERROR(AH481,0),0)</f>
        <v/>
      </c>
      <c r="V481" s="256" t="n"/>
      <c r="W481" s="257" t="n"/>
      <c r="X481" s="256" t="n"/>
      <c r="Y481" s="258" t="n"/>
      <c r="Z481" s="259" t="n"/>
      <c r="AA481" s="259" t="n"/>
      <c r="AB481" s="258" t="n"/>
      <c r="AC481" s="256" t="n"/>
      <c r="AD481" s="256" t="n"/>
      <c r="AE481" s="256" t="n"/>
      <c r="AF481" s="256" t="n"/>
      <c r="AG481" s="256" t="n"/>
      <c r="AH481" s="256">
        <f>IFERROR(IFERROR(V481,0)+IFERROR(AC481,0)+IFERROR(AD481,0)+IFERROR(AE481,0)+IFERROR(AF481,0)+IFERROR(AG481,0),0)</f>
        <v/>
      </c>
    </row>
    <row r="482" ht="15" customHeight="1" s="199">
      <c r="A482" s="104" t="n"/>
      <c r="B482" s="104" t="n"/>
      <c r="C482" s="104" t="n"/>
      <c r="D482" s="105" t="n"/>
      <c r="E482" s="105" t="n"/>
      <c r="F482" s="105" t="n"/>
      <c r="G482" s="106" t="n"/>
      <c r="H482" s="106" t="n"/>
      <c r="I482" s="106" t="n"/>
      <c r="J482" s="107" t="n"/>
      <c r="K482" s="105" t="n"/>
      <c r="L482" s="106" t="n"/>
      <c r="M482" s="106" t="n"/>
      <c r="N482" s="106" t="n"/>
      <c r="O482" s="106" t="n"/>
      <c r="P482" s="105" t="n"/>
      <c r="Q482" s="107" t="n"/>
      <c r="R482" s="105" t="n"/>
      <c r="S482" s="107" t="n"/>
      <c r="T482" s="108">
        <f>IFERROR(L482+M482+N482+O482,0)</f>
        <v/>
      </c>
      <c r="U482" s="108">
        <f>IFERROR(H482+IFERROR(I482,0)+T482+IFERROR(AH482,0),0)</f>
        <v/>
      </c>
      <c r="V482" s="256" t="n"/>
      <c r="W482" s="257" t="n"/>
      <c r="X482" s="256" t="n"/>
      <c r="Y482" s="258" t="n"/>
      <c r="Z482" s="259" t="n"/>
      <c r="AA482" s="259" t="n"/>
      <c r="AB482" s="258" t="n"/>
      <c r="AC482" s="256" t="n"/>
      <c r="AD482" s="256" t="n"/>
      <c r="AE482" s="256" t="n"/>
      <c r="AF482" s="256" t="n"/>
      <c r="AG482" s="256" t="n"/>
      <c r="AH482" s="256">
        <f>IFERROR(IFERROR(V482,0)+IFERROR(AC482,0)+IFERROR(AD482,0)+IFERROR(AE482,0)+IFERROR(AF482,0)+IFERROR(AG482,0),0)</f>
        <v/>
      </c>
    </row>
    <row r="483" ht="15" customHeight="1" s="199">
      <c r="A483" s="104" t="n"/>
      <c r="B483" s="104" t="n"/>
      <c r="C483" s="104" t="n"/>
      <c r="D483" s="105" t="n"/>
      <c r="E483" s="105" t="n"/>
      <c r="F483" s="105" t="n"/>
      <c r="G483" s="106" t="n"/>
      <c r="H483" s="106" t="n"/>
      <c r="I483" s="106" t="n"/>
      <c r="J483" s="107" t="n"/>
      <c r="K483" s="105" t="n"/>
      <c r="L483" s="106" t="n"/>
      <c r="M483" s="106" t="n"/>
      <c r="N483" s="106" t="n"/>
      <c r="O483" s="106" t="n"/>
      <c r="P483" s="105" t="n"/>
      <c r="Q483" s="107" t="n"/>
      <c r="R483" s="105" t="n"/>
      <c r="S483" s="107" t="n"/>
      <c r="T483" s="108">
        <f>IFERROR(L483+M483+N483+O483,0)</f>
        <v/>
      </c>
      <c r="U483" s="108">
        <f>IFERROR(H483+IFERROR(I483,0)+T483+IFERROR(AH483,0),0)</f>
        <v/>
      </c>
      <c r="V483" s="256" t="n"/>
      <c r="W483" s="257" t="n"/>
      <c r="X483" s="256" t="n"/>
      <c r="Y483" s="258" t="n"/>
      <c r="Z483" s="259" t="n"/>
      <c r="AA483" s="259" t="n"/>
      <c r="AB483" s="258" t="n"/>
      <c r="AC483" s="256" t="n"/>
      <c r="AD483" s="256" t="n"/>
      <c r="AE483" s="256" t="n"/>
      <c r="AF483" s="256" t="n"/>
      <c r="AG483" s="256" t="n"/>
      <c r="AH483" s="256">
        <f>IFERROR(IFERROR(V483,0)+IFERROR(AC483,0)+IFERROR(AD483,0)+IFERROR(AE483,0)+IFERROR(AF483,0)+IFERROR(AG483,0),0)</f>
        <v/>
      </c>
    </row>
    <row r="484" ht="15" customHeight="1" s="199">
      <c r="A484" s="104" t="n"/>
      <c r="B484" s="104" t="n"/>
      <c r="C484" s="104" t="n"/>
      <c r="D484" s="105" t="n"/>
      <c r="E484" s="105" t="n"/>
      <c r="F484" s="105" t="n"/>
      <c r="G484" s="106" t="n"/>
      <c r="H484" s="106" t="n"/>
      <c r="I484" s="106" t="n"/>
      <c r="J484" s="107" t="n"/>
      <c r="K484" s="105" t="n"/>
      <c r="L484" s="106" t="n"/>
      <c r="M484" s="106" t="n"/>
      <c r="N484" s="106" t="n"/>
      <c r="O484" s="106" t="n"/>
      <c r="P484" s="105" t="n"/>
      <c r="Q484" s="107" t="n"/>
      <c r="R484" s="105" t="n"/>
      <c r="S484" s="107" t="n"/>
      <c r="T484" s="108">
        <f>IFERROR(L484+M484+N484+O484,0)</f>
        <v/>
      </c>
      <c r="U484" s="108">
        <f>IFERROR(H484+IFERROR(I484,0)+T484+IFERROR(AH484,0),0)</f>
        <v/>
      </c>
      <c r="V484" s="256" t="n"/>
      <c r="W484" s="257" t="n"/>
      <c r="X484" s="256" t="n"/>
      <c r="Y484" s="258" t="n"/>
      <c r="Z484" s="259" t="n"/>
      <c r="AA484" s="259" t="n"/>
      <c r="AB484" s="258" t="n"/>
      <c r="AC484" s="256" t="n"/>
      <c r="AD484" s="256" t="n"/>
      <c r="AE484" s="256" t="n"/>
      <c r="AF484" s="256" t="n"/>
      <c r="AG484" s="256" t="n"/>
      <c r="AH484" s="256">
        <f>IFERROR(IFERROR(V484,0)+IFERROR(AC484,0)+IFERROR(AD484,0)+IFERROR(AE484,0)+IFERROR(AF484,0)+IFERROR(AG484,0),0)</f>
        <v/>
      </c>
    </row>
    <row r="485" ht="15" customHeight="1" s="199">
      <c r="A485" s="104" t="n"/>
      <c r="B485" s="104" t="n"/>
      <c r="C485" s="104" t="n"/>
      <c r="D485" s="105" t="n"/>
      <c r="E485" s="105" t="n"/>
      <c r="F485" s="105" t="n"/>
      <c r="G485" s="106" t="n"/>
      <c r="H485" s="106" t="n"/>
      <c r="I485" s="106" t="n"/>
      <c r="J485" s="107" t="n"/>
      <c r="K485" s="105" t="n"/>
      <c r="L485" s="106" t="n"/>
      <c r="M485" s="106" t="n"/>
      <c r="N485" s="106" t="n"/>
      <c r="O485" s="106" t="n"/>
      <c r="P485" s="105" t="n"/>
      <c r="Q485" s="107" t="n"/>
      <c r="R485" s="105" t="n"/>
      <c r="S485" s="107" t="n"/>
      <c r="T485" s="108">
        <f>IFERROR(L485+M485+N485+O485,0)</f>
        <v/>
      </c>
      <c r="U485" s="108">
        <f>IFERROR(H485+IFERROR(I485,0)+T485+IFERROR(AH485,0),0)</f>
        <v/>
      </c>
      <c r="V485" s="256" t="n"/>
      <c r="W485" s="257" t="n"/>
      <c r="X485" s="256" t="n"/>
      <c r="Y485" s="258" t="n"/>
      <c r="Z485" s="259" t="n"/>
      <c r="AA485" s="259" t="n"/>
      <c r="AB485" s="258" t="n"/>
      <c r="AC485" s="256" t="n"/>
      <c r="AD485" s="256" t="n"/>
      <c r="AE485" s="256" t="n"/>
      <c r="AF485" s="256" t="n"/>
      <c r="AG485" s="256" t="n"/>
      <c r="AH485" s="256">
        <f>IFERROR(IFERROR(V485,0)+IFERROR(AC485,0)+IFERROR(AD485,0)+IFERROR(AE485,0)+IFERROR(AF485,0)+IFERROR(AG485,0),0)</f>
        <v/>
      </c>
    </row>
    <row r="486" ht="15" customHeight="1" s="199">
      <c r="A486" s="104" t="n"/>
      <c r="B486" s="104" t="n"/>
      <c r="C486" s="104" t="n"/>
      <c r="D486" s="105" t="n"/>
      <c r="E486" s="105" t="n"/>
      <c r="F486" s="105" t="n"/>
      <c r="G486" s="106" t="n"/>
      <c r="H486" s="106" t="n"/>
      <c r="I486" s="106" t="n"/>
      <c r="J486" s="107" t="n"/>
      <c r="K486" s="105" t="n"/>
      <c r="L486" s="106" t="n"/>
      <c r="M486" s="106" t="n"/>
      <c r="N486" s="106" t="n"/>
      <c r="O486" s="106" t="n"/>
      <c r="P486" s="105" t="n"/>
      <c r="Q486" s="107" t="n"/>
      <c r="R486" s="105" t="n"/>
      <c r="S486" s="107" t="n"/>
      <c r="T486" s="108">
        <f>IFERROR(L486+M486+N486+O486,0)</f>
        <v/>
      </c>
      <c r="U486" s="108">
        <f>IFERROR(H486+IFERROR(I486,0)+T486+IFERROR(AH486,0),0)</f>
        <v/>
      </c>
      <c r="V486" s="256" t="n"/>
      <c r="W486" s="257" t="n"/>
      <c r="X486" s="256" t="n"/>
      <c r="Y486" s="258" t="n"/>
      <c r="Z486" s="259" t="n"/>
      <c r="AA486" s="259" t="n"/>
      <c r="AB486" s="258" t="n"/>
      <c r="AC486" s="256" t="n"/>
      <c r="AD486" s="256" t="n"/>
      <c r="AE486" s="256" t="n"/>
      <c r="AF486" s="256" t="n"/>
      <c r="AG486" s="256" t="n"/>
      <c r="AH486" s="256">
        <f>IFERROR(IFERROR(V486,0)+IFERROR(AC486,0)+IFERROR(AD486,0)+IFERROR(AE486,0)+IFERROR(AF486,0)+IFERROR(AG486,0),0)</f>
        <v/>
      </c>
    </row>
    <row r="487" ht="15" customHeight="1" s="199">
      <c r="A487" s="104" t="n"/>
      <c r="B487" s="104" t="n"/>
      <c r="C487" s="104" t="n"/>
      <c r="D487" s="105" t="n"/>
      <c r="E487" s="105" t="n"/>
      <c r="F487" s="105" t="n"/>
      <c r="G487" s="106" t="n"/>
      <c r="H487" s="106" t="n"/>
      <c r="I487" s="106" t="n"/>
      <c r="J487" s="107" t="n"/>
      <c r="K487" s="105" t="n"/>
      <c r="L487" s="106" t="n"/>
      <c r="M487" s="106" t="n"/>
      <c r="N487" s="106" t="n"/>
      <c r="O487" s="106" t="n"/>
      <c r="P487" s="105" t="n"/>
      <c r="Q487" s="107" t="n"/>
      <c r="R487" s="105" t="n"/>
      <c r="S487" s="107" t="n"/>
      <c r="T487" s="108">
        <f>IFERROR(L487+M487+N487+O487,0)</f>
        <v/>
      </c>
      <c r="U487" s="108">
        <f>IFERROR(H487+IFERROR(I487,0)+T487+IFERROR(AH487,0),0)</f>
        <v/>
      </c>
      <c r="V487" s="256" t="n"/>
      <c r="W487" s="257" t="n"/>
      <c r="X487" s="256" t="n"/>
      <c r="Y487" s="258" t="n"/>
      <c r="Z487" s="259" t="n"/>
      <c r="AA487" s="259" t="n"/>
      <c r="AB487" s="258" t="n"/>
      <c r="AC487" s="256" t="n"/>
      <c r="AD487" s="256" t="n"/>
      <c r="AE487" s="256" t="n"/>
      <c r="AF487" s="256" t="n"/>
      <c r="AG487" s="256" t="n"/>
      <c r="AH487" s="256">
        <f>IFERROR(IFERROR(V487,0)+IFERROR(AC487,0)+IFERROR(AD487,0)+IFERROR(AE487,0)+IFERROR(AF487,0)+IFERROR(AG487,0),0)</f>
        <v/>
      </c>
    </row>
    <row r="488" ht="15" customHeight="1" s="199">
      <c r="A488" s="104" t="n"/>
      <c r="B488" s="104" t="n"/>
      <c r="C488" s="104" t="n"/>
      <c r="D488" s="105" t="n"/>
      <c r="E488" s="105" t="n"/>
      <c r="F488" s="105" t="n"/>
      <c r="G488" s="106" t="n"/>
      <c r="H488" s="106" t="n"/>
      <c r="I488" s="106" t="n"/>
      <c r="J488" s="107" t="n"/>
      <c r="K488" s="105" t="n"/>
      <c r="L488" s="106" t="n"/>
      <c r="M488" s="106" t="n"/>
      <c r="N488" s="106" t="n"/>
      <c r="O488" s="106" t="n"/>
      <c r="P488" s="105" t="n"/>
      <c r="Q488" s="107" t="n"/>
      <c r="R488" s="105" t="n"/>
      <c r="S488" s="107" t="n"/>
      <c r="T488" s="108">
        <f>IFERROR(L488+M488+N488+O488,0)</f>
        <v/>
      </c>
      <c r="U488" s="108">
        <f>IFERROR(H488+IFERROR(I488,0)+T488+IFERROR(AH488,0),0)</f>
        <v/>
      </c>
      <c r="V488" s="256" t="n"/>
      <c r="W488" s="257" t="n"/>
      <c r="X488" s="256" t="n"/>
      <c r="Y488" s="258" t="n"/>
      <c r="Z488" s="259" t="n"/>
      <c r="AA488" s="259" t="n"/>
      <c r="AB488" s="258" t="n"/>
      <c r="AC488" s="256" t="n"/>
      <c r="AD488" s="256" t="n"/>
      <c r="AE488" s="256" t="n"/>
      <c r="AF488" s="256" t="n"/>
      <c r="AG488" s="256" t="n"/>
      <c r="AH488" s="256">
        <f>IFERROR(IFERROR(V488,0)+IFERROR(AC488,0)+IFERROR(AD488,0)+IFERROR(AE488,0)+IFERROR(AF488,0)+IFERROR(AG488,0),0)</f>
        <v/>
      </c>
    </row>
    <row r="489" ht="15" customHeight="1" s="199">
      <c r="A489" s="104" t="n"/>
      <c r="B489" s="104" t="n"/>
      <c r="C489" s="104" t="n"/>
      <c r="D489" s="105" t="n"/>
      <c r="E489" s="105" t="n"/>
      <c r="F489" s="105" t="n"/>
      <c r="G489" s="106" t="n"/>
      <c r="H489" s="106" t="n"/>
      <c r="I489" s="106" t="n"/>
      <c r="J489" s="107" t="n"/>
      <c r="K489" s="105" t="n"/>
      <c r="L489" s="106" t="n"/>
      <c r="M489" s="106" t="n"/>
      <c r="N489" s="106" t="n"/>
      <c r="O489" s="106" t="n"/>
      <c r="P489" s="105" t="n"/>
      <c r="Q489" s="107" t="n"/>
      <c r="R489" s="105" t="n"/>
      <c r="S489" s="107" t="n"/>
      <c r="T489" s="108">
        <f>IFERROR(L489+M489+N489+O489,0)</f>
        <v/>
      </c>
      <c r="U489" s="108">
        <f>IFERROR(H489+IFERROR(I489,0)+T489+IFERROR(AH489,0),0)</f>
        <v/>
      </c>
      <c r="V489" s="256" t="n"/>
      <c r="W489" s="257" t="n"/>
      <c r="X489" s="256" t="n"/>
      <c r="Y489" s="258" t="n"/>
      <c r="Z489" s="259" t="n"/>
      <c r="AA489" s="259" t="n"/>
      <c r="AB489" s="258" t="n"/>
      <c r="AC489" s="256" t="n"/>
      <c r="AD489" s="256" t="n"/>
      <c r="AE489" s="256" t="n"/>
      <c r="AF489" s="256" t="n"/>
      <c r="AG489" s="256" t="n"/>
      <c r="AH489" s="256">
        <f>IFERROR(IFERROR(V489,0)+IFERROR(AC489,0)+IFERROR(AD489,0)+IFERROR(AE489,0)+IFERROR(AF489,0)+IFERROR(AG489,0),0)</f>
        <v/>
      </c>
    </row>
    <row r="490" ht="15" customHeight="1" s="199">
      <c r="A490" s="104" t="n"/>
      <c r="B490" s="104" t="n"/>
      <c r="C490" s="104" t="n"/>
      <c r="D490" s="105" t="n"/>
      <c r="E490" s="105" t="n"/>
      <c r="F490" s="105" t="n"/>
      <c r="G490" s="106" t="n"/>
      <c r="H490" s="106" t="n"/>
      <c r="I490" s="106" t="n"/>
      <c r="J490" s="107" t="n"/>
      <c r="K490" s="105" t="n"/>
      <c r="L490" s="106" t="n"/>
      <c r="M490" s="106" t="n"/>
      <c r="N490" s="106" t="n"/>
      <c r="O490" s="106" t="n"/>
      <c r="P490" s="105" t="n"/>
      <c r="Q490" s="107" t="n"/>
      <c r="R490" s="105" t="n"/>
      <c r="S490" s="107" t="n"/>
      <c r="T490" s="108">
        <f>IFERROR(L490+M490+N490+O490,0)</f>
        <v/>
      </c>
      <c r="U490" s="108">
        <f>IFERROR(H490+IFERROR(I490,0)+T490+IFERROR(AH490,0),0)</f>
        <v/>
      </c>
      <c r="V490" s="256" t="n"/>
      <c r="W490" s="257" t="n"/>
      <c r="X490" s="256" t="n"/>
      <c r="Y490" s="258" t="n"/>
      <c r="Z490" s="259" t="n"/>
      <c r="AA490" s="259" t="n"/>
      <c r="AB490" s="258" t="n"/>
      <c r="AC490" s="256" t="n"/>
      <c r="AD490" s="256" t="n"/>
      <c r="AE490" s="256" t="n"/>
      <c r="AF490" s="256" t="n"/>
      <c r="AG490" s="256" t="n"/>
      <c r="AH490" s="256">
        <f>IFERROR(IFERROR(V490,0)+IFERROR(AC490,0)+IFERROR(AD490,0)+IFERROR(AE490,0)+IFERROR(AF490,0)+IFERROR(AG490,0),0)</f>
        <v/>
      </c>
    </row>
    <row r="491" ht="15" customHeight="1" s="199">
      <c r="A491" s="104" t="n"/>
      <c r="B491" s="104" t="n"/>
      <c r="C491" s="104" t="n"/>
      <c r="D491" s="105" t="n"/>
      <c r="E491" s="105" t="n"/>
      <c r="F491" s="105" t="n"/>
      <c r="G491" s="106" t="n"/>
      <c r="H491" s="106" t="n"/>
      <c r="I491" s="106" t="n"/>
      <c r="J491" s="107" t="n"/>
      <c r="K491" s="105" t="n"/>
      <c r="L491" s="106" t="n"/>
      <c r="M491" s="106" t="n"/>
      <c r="N491" s="106" t="n"/>
      <c r="O491" s="106" t="n"/>
      <c r="P491" s="105" t="n"/>
      <c r="Q491" s="107" t="n"/>
      <c r="R491" s="105" t="n"/>
      <c r="S491" s="107" t="n"/>
      <c r="T491" s="108">
        <f>IFERROR(L491+M491+N491+O491,0)</f>
        <v/>
      </c>
      <c r="U491" s="108">
        <f>IFERROR(H491+IFERROR(I491,0)+T491+IFERROR(AH491,0),0)</f>
        <v/>
      </c>
      <c r="V491" s="256" t="n"/>
      <c r="W491" s="257" t="n"/>
      <c r="X491" s="256" t="n"/>
      <c r="Y491" s="258" t="n"/>
      <c r="Z491" s="259" t="n"/>
      <c r="AA491" s="259" t="n"/>
      <c r="AB491" s="258" t="n"/>
      <c r="AC491" s="256" t="n"/>
      <c r="AD491" s="256" t="n"/>
      <c r="AE491" s="256" t="n"/>
      <c r="AF491" s="256" t="n"/>
      <c r="AG491" s="256" t="n"/>
      <c r="AH491" s="256">
        <f>IFERROR(IFERROR(V491,0)+IFERROR(AC491,0)+IFERROR(AD491,0)+IFERROR(AE491,0)+IFERROR(AF491,0)+IFERROR(AG491,0),0)</f>
        <v/>
      </c>
    </row>
    <row r="492" ht="15" customHeight="1" s="199">
      <c r="A492" s="104" t="n"/>
      <c r="B492" s="104" t="n"/>
      <c r="C492" s="104" t="n"/>
      <c r="D492" s="105" t="n"/>
      <c r="E492" s="105" t="n"/>
      <c r="F492" s="105" t="n"/>
      <c r="G492" s="106" t="n"/>
      <c r="H492" s="106" t="n"/>
      <c r="I492" s="106" t="n"/>
      <c r="J492" s="107" t="n"/>
      <c r="K492" s="105" t="n"/>
      <c r="L492" s="106" t="n"/>
      <c r="M492" s="106" t="n"/>
      <c r="N492" s="106" t="n"/>
      <c r="O492" s="106" t="n"/>
      <c r="P492" s="105" t="n"/>
      <c r="Q492" s="107" t="n"/>
      <c r="R492" s="105" t="n"/>
      <c r="S492" s="107" t="n"/>
      <c r="T492" s="108">
        <f>IFERROR(L492+M492+N492+O492,0)</f>
        <v/>
      </c>
      <c r="U492" s="108">
        <f>IFERROR(H492+IFERROR(I492,0)+T492+IFERROR(AH492,0),0)</f>
        <v/>
      </c>
      <c r="V492" s="256" t="n"/>
      <c r="W492" s="257" t="n"/>
      <c r="X492" s="256" t="n"/>
      <c r="Y492" s="258" t="n"/>
      <c r="Z492" s="259" t="n"/>
      <c r="AA492" s="259" t="n"/>
      <c r="AB492" s="258" t="n"/>
      <c r="AC492" s="256" t="n"/>
      <c r="AD492" s="256" t="n"/>
      <c r="AE492" s="256" t="n"/>
      <c r="AF492" s="256" t="n"/>
      <c r="AG492" s="256" t="n"/>
      <c r="AH492" s="256">
        <f>IFERROR(IFERROR(V492,0)+IFERROR(AC492,0)+IFERROR(AD492,0)+IFERROR(AE492,0)+IFERROR(AF492,0)+IFERROR(AG492,0),0)</f>
        <v/>
      </c>
    </row>
    <row r="493" ht="15" customHeight="1" s="199">
      <c r="A493" s="104" t="n"/>
      <c r="B493" s="104" t="n"/>
      <c r="C493" s="104" t="n"/>
      <c r="D493" s="105" t="n"/>
      <c r="E493" s="105" t="n"/>
      <c r="F493" s="105" t="n"/>
      <c r="G493" s="106" t="n"/>
      <c r="H493" s="106" t="n"/>
      <c r="I493" s="106" t="n"/>
      <c r="J493" s="107" t="n"/>
      <c r="K493" s="105" t="n"/>
      <c r="L493" s="106" t="n"/>
      <c r="M493" s="106" t="n"/>
      <c r="N493" s="106" t="n"/>
      <c r="O493" s="106" t="n"/>
      <c r="P493" s="105" t="n"/>
      <c r="Q493" s="107" t="n"/>
      <c r="R493" s="105" t="n"/>
      <c r="S493" s="107" t="n"/>
      <c r="T493" s="108">
        <f>IFERROR(L493+M493+N493+O493,0)</f>
        <v/>
      </c>
      <c r="U493" s="108">
        <f>IFERROR(H493+IFERROR(I493,0)+T493+IFERROR(AH493,0),0)</f>
        <v/>
      </c>
      <c r="V493" s="256" t="n"/>
      <c r="W493" s="257" t="n"/>
      <c r="X493" s="256" t="n"/>
      <c r="Y493" s="258" t="n"/>
      <c r="Z493" s="259" t="n"/>
      <c r="AA493" s="259" t="n"/>
      <c r="AB493" s="258" t="n"/>
      <c r="AC493" s="256" t="n"/>
      <c r="AD493" s="256" t="n"/>
      <c r="AE493" s="256" t="n"/>
      <c r="AF493" s="256" t="n"/>
      <c r="AG493" s="256" t="n"/>
      <c r="AH493" s="256">
        <f>IFERROR(IFERROR(V493,0)+IFERROR(AC493,0)+IFERROR(AD493,0)+IFERROR(AE493,0)+IFERROR(AF493,0)+IFERROR(AG493,0),0)</f>
        <v/>
      </c>
    </row>
    <row r="494" ht="15" customHeight="1" s="199">
      <c r="A494" s="104" t="n"/>
      <c r="B494" s="104" t="n"/>
      <c r="C494" s="104" t="n"/>
      <c r="D494" s="105" t="n"/>
      <c r="E494" s="105" t="n"/>
      <c r="F494" s="105" t="n"/>
      <c r="G494" s="106" t="n"/>
      <c r="H494" s="106" t="n"/>
      <c r="I494" s="106" t="n"/>
      <c r="J494" s="107" t="n"/>
      <c r="K494" s="105" t="n"/>
      <c r="L494" s="106" t="n"/>
      <c r="M494" s="106" t="n"/>
      <c r="N494" s="106" t="n"/>
      <c r="O494" s="106" t="n"/>
      <c r="P494" s="105" t="n"/>
      <c r="Q494" s="107" t="n"/>
      <c r="R494" s="105" t="n"/>
      <c r="S494" s="107" t="n"/>
      <c r="T494" s="108">
        <f>IFERROR(L494+M494+N494+O494,0)</f>
        <v/>
      </c>
      <c r="U494" s="108">
        <f>IFERROR(H494+IFERROR(I494,0)+T494+IFERROR(AH494,0),0)</f>
        <v/>
      </c>
      <c r="V494" s="256" t="n"/>
      <c r="W494" s="257" t="n"/>
      <c r="X494" s="256" t="n"/>
      <c r="Y494" s="258" t="n"/>
      <c r="Z494" s="259" t="n"/>
      <c r="AA494" s="259" t="n"/>
      <c r="AB494" s="258" t="n"/>
      <c r="AC494" s="256" t="n"/>
      <c r="AD494" s="256" t="n"/>
      <c r="AE494" s="256" t="n"/>
      <c r="AF494" s="256" t="n"/>
      <c r="AG494" s="256" t="n"/>
      <c r="AH494" s="256">
        <f>IFERROR(IFERROR(V494,0)+IFERROR(AC494,0)+IFERROR(AD494,0)+IFERROR(AE494,0)+IFERROR(AF494,0)+IFERROR(AG494,0),0)</f>
        <v/>
      </c>
    </row>
    <row r="495" ht="15" customHeight="1" s="199">
      <c r="A495" s="104" t="n"/>
      <c r="B495" s="104" t="n"/>
      <c r="C495" s="104" t="n"/>
      <c r="D495" s="105" t="n"/>
      <c r="E495" s="105" t="n"/>
      <c r="F495" s="105" t="n"/>
      <c r="G495" s="106" t="n"/>
      <c r="H495" s="106" t="n"/>
      <c r="I495" s="106" t="n"/>
      <c r="J495" s="107" t="n"/>
      <c r="K495" s="105" t="n"/>
      <c r="L495" s="106" t="n"/>
      <c r="M495" s="106" t="n"/>
      <c r="N495" s="106" t="n"/>
      <c r="O495" s="106" t="n"/>
      <c r="P495" s="105" t="n"/>
      <c r="Q495" s="107" t="n"/>
      <c r="R495" s="105" t="n"/>
      <c r="S495" s="107" t="n"/>
      <c r="T495" s="108">
        <f>IFERROR(L495+M495+N495+O495,0)</f>
        <v/>
      </c>
      <c r="U495" s="108">
        <f>IFERROR(H495+IFERROR(I495,0)+T495+IFERROR(AH495,0),0)</f>
        <v/>
      </c>
      <c r="V495" s="256" t="n"/>
      <c r="W495" s="257" t="n"/>
      <c r="X495" s="256" t="n"/>
      <c r="Y495" s="258" t="n"/>
      <c r="Z495" s="259" t="n"/>
      <c r="AA495" s="259" t="n"/>
      <c r="AB495" s="258" t="n"/>
      <c r="AC495" s="256" t="n"/>
      <c r="AD495" s="256" t="n"/>
      <c r="AE495" s="256" t="n"/>
      <c r="AF495" s="256" t="n"/>
      <c r="AG495" s="256" t="n"/>
      <c r="AH495" s="256">
        <f>IFERROR(IFERROR(V495,0)+IFERROR(AC495,0)+IFERROR(AD495,0)+IFERROR(AE495,0)+IFERROR(AF495,0)+IFERROR(AG495,0),0)</f>
        <v/>
      </c>
    </row>
    <row r="496" ht="15" customHeight="1" s="199">
      <c r="A496" s="104" t="n"/>
      <c r="B496" s="104" t="n"/>
      <c r="C496" s="104" t="n"/>
      <c r="D496" s="105" t="n"/>
      <c r="E496" s="105" t="n"/>
      <c r="F496" s="105" t="n"/>
      <c r="G496" s="106" t="n"/>
      <c r="H496" s="106" t="n"/>
      <c r="I496" s="106" t="n"/>
      <c r="J496" s="107" t="n"/>
      <c r="K496" s="105" t="n"/>
      <c r="L496" s="106" t="n"/>
      <c r="M496" s="106" t="n"/>
      <c r="N496" s="106" t="n"/>
      <c r="O496" s="106" t="n"/>
      <c r="P496" s="105" t="n"/>
      <c r="Q496" s="107" t="n"/>
      <c r="R496" s="105" t="n"/>
      <c r="S496" s="107" t="n"/>
      <c r="T496" s="108">
        <f>IFERROR(L496+M496+N496+O496,0)</f>
        <v/>
      </c>
      <c r="U496" s="108">
        <f>IFERROR(H496+IFERROR(I496,0)+T496+IFERROR(AH496,0),0)</f>
        <v/>
      </c>
      <c r="V496" s="256" t="n"/>
      <c r="W496" s="257" t="n"/>
      <c r="X496" s="256" t="n"/>
      <c r="Y496" s="258" t="n"/>
      <c r="Z496" s="259" t="n"/>
      <c r="AA496" s="259" t="n"/>
      <c r="AB496" s="258" t="n"/>
      <c r="AC496" s="256" t="n"/>
      <c r="AD496" s="256" t="n"/>
      <c r="AE496" s="256" t="n"/>
      <c r="AF496" s="256" t="n"/>
      <c r="AG496" s="256" t="n"/>
      <c r="AH496" s="256">
        <f>IFERROR(IFERROR(V496,0)+IFERROR(AC496,0)+IFERROR(AD496,0)+IFERROR(AE496,0)+IFERROR(AF496,0)+IFERROR(AG496,0),0)</f>
        <v/>
      </c>
    </row>
    <row r="497" ht="15" customHeight="1" s="199">
      <c r="A497" s="104" t="n"/>
      <c r="B497" s="104" t="n"/>
      <c r="C497" s="104" t="n"/>
      <c r="D497" s="105" t="n"/>
      <c r="E497" s="105" t="n"/>
      <c r="F497" s="105" t="n"/>
      <c r="G497" s="106" t="n"/>
      <c r="H497" s="106" t="n"/>
      <c r="I497" s="106" t="n"/>
      <c r="J497" s="107" t="n"/>
      <c r="K497" s="105" t="n"/>
      <c r="L497" s="106" t="n"/>
      <c r="M497" s="106" t="n"/>
      <c r="N497" s="106" t="n"/>
      <c r="O497" s="106" t="n"/>
      <c r="P497" s="105" t="n"/>
      <c r="Q497" s="107" t="n"/>
      <c r="R497" s="105" t="n"/>
      <c r="S497" s="107" t="n"/>
      <c r="T497" s="108">
        <f>IFERROR(L497+M497+N497+O497,0)</f>
        <v/>
      </c>
      <c r="U497" s="108">
        <f>IFERROR(H497+IFERROR(I497,0)+T497+IFERROR(AH497,0),0)</f>
        <v/>
      </c>
      <c r="V497" s="256" t="n"/>
      <c r="W497" s="257" t="n"/>
      <c r="X497" s="256" t="n"/>
      <c r="Y497" s="258" t="n"/>
      <c r="Z497" s="259" t="n"/>
      <c r="AA497" s="259" t="n"/>
      <c r="AB497" s="258" t="n"/>
      <c r="AC497" s="256" t="n"/>
      <c r="AD497" s="256" t="n"/>
      <c r="AE497" s="256" t="n"/>
      <c r="AF497" s="256" t="n"/>
      <c r="AG497" s="256" t="n"/>
      <c r="AH497" s="256">
        <f>IFERROR(IFERROR(V497,0)+IFERROR(AC497,0)+IFERROR(AD497,0)+IFERROR(AE497,0)+IFERROR(AF497,0)+IFERROR(AG497,0),0)</f>
        <v/>
      </c>
    </row>
    <row r="498" ht="15" customHeight="1" s="199">
      <c r="A498" s="104" t="n"/>
      <c r="B498" s="104" t="n"/>
      <c r="C498" s="104" t="n"/>
      <c r="D498" s="105" t="n"/>
      <c r="E498" s="105" t="n"/>
      <c r="F498" s="105" t="n"/>
      <c r="G498" s="106" t="n"/>
      <c r="H498" s="106" t="n"/>
      <c r="I498" s="106" t="n"/>
      <c r="J498" s="107" t="n"/>
      <c r="K498" s="105" t="n"/>
      <c r="L498" s="106" t="n"/>
      <c r="M498" s="106" t="n"/>
      <c r="N498" s="106" t="n"/>
      <c r="O498" s="106" t="n"/>
      <c r="P498" s="105" t="n"/>
      <c r="Q498" s="107" t="n"/>
      <c r="R498" s="105" t="n"/>
      <c r="S498" s="107" t="n"/>
      <c r="T498" s="108">
        <f>IFERROR(L498+M498+N498+O498,0)</f>
        <v/>
      </c>
      <c r="U498" s="108">
        <f>IFERROR(H498+IFERROR(I498,0)+T498+IFERROR(AH498,0),0)</f>
        <v/>
      </c>
      <c r="V498" s="256" t="n"/>
      <c r="W498" s="257" t="n"/>
      <c r="X498" s="256" t="n"/>
      <c r="Y498" s="258" t="n"/>
      <c r="Z498" s="259" t="n"/>
      <c r="AA498" s="259" t="n"/>
      <c r="AB498" s="258" t="n"/>
      <c r="AC498" s="256" t="n"/>
      <c r="AD498" s="256" t="n"/>
      <c r="AE498" s="256" t="n"/>
      <c r="AF498" s="256" t="n"/>
      <c r="AG498" s="256" t="n"/>
      <c r="AH498" s="256">
        <f>IFERROR(IFERROR(V498,0)+IFERROR(AC498,0)+IFERROR(AD498,0)+IFERROR(AE498,0)+IFERROR(AF498,0)+IFERROR(AG498,0),0)</f>
        <v/>
      </c>
    </row>
    <row r="499" ht="15" customHeight="1" s="199">
      <c r="A499" s="104" t="n"/>
      <c r="B499" s="104" t="n"/>
      <c r="C499" s="104" t="n"/>
      <c r="D499" s="105" t="n"/>
      <c r="E499" s="105" t="n"/>
      <c r="F499" s="105" t="n"/>
      <c r="G499" s="106" t="n"/>
      <c r="H499" s="106" t="n"/>
      <c r="I499" s="106" t="n"/>
      <c r="J499" s="107" t="n"/>
      <c r="K499" s="105" t="n"/>
      <c r="L499" s="106" t="n"/>
      <c r="M499" s="106" t="n"/>
      <c r="N499" s="106" t="n"/>
      <c r="O499" s="106" t="n"/>
      <c r="P499" s="105" t="n"/>
      <c r="Q499" s="107" t="n"/>
      <c r="R499" s="105" t="n"/>
      <c r="S499" s="107" t="n"/>
      <c r="T499" s="108">
        <f>IFERROR(L499+M499+N499+O499,0)</f>
        <v/>
      </c>
      <c r="U499" s="108">
        <f>IFERROR(H499+IFERROR(I499,0)+T499+IFERROR(AH499,0),0)</f>
        <v/>
      </c>
      <c r="V499" s="256" t="n"/>
      <c r="W499" s="257" t="n"/>
      <c r="X499" s="256" t="n"/>
      <c r="Y499" s="258" t="n"/>
      <c r="Z499" s="259" t="n"/>
      <c r="AA499" s="259" t="n"/>
      <c r="AB499" s="258" t="n"/>
      <c r="AC499" s="256" t="n"/>
      <c r="AD499" s="256" t="n"/>
      <c r="AE499" s="256" t="n"/>
      <c r="AF499" s="256" t="n"/>
      <c r="AG499" s="256" t="n"/>
      <c r="AH499" s="256">
        <f>IFERROR(IFERROR(V499,0)+IFERROR(AC499,0)+IFERROR(AD499,0)+IFERROR(AE499,0)+IFERROR(AF499,0)+IFERROR(AG499,0),0)</f>
        <v/>
      </c>
    </row>
    <row r="500" ht="15" customHeight="1" s="199">
      <c r="A500" s="104" t="n"/>
      <c r="B500" s="104" t="n"/>
      <c r="C500" s="104" t="n"/>
      <c r="D500" s="105" t="n"/>
      <c r="E500" s="105" t="n"/>
      <c r="F500" s="105" t="n"/>
      <c r="G500" s="106" t="n"/>
      <c r="H500" s="106" t="n"/>
      <c r="I500" s="106" t="n"/>
      <c r="J500" s="107" t="n"/>
      <c r="K500" s="105" t="n"/>
      <c r="L500" s="106" t="n"/>
      <c r="M500" s="106" t="n"/>
      <c r="N500" s="106" t="n"/>
      <c r="O500" s="106" t="n"/>
      <c r="P500" s="105" t="n"/>
      <c r="Q500" s="107" t="n"/>
      <c r="R500" s="105" t="n"/>
      <c r="S500" s="107" t="n"/>
      <c r="T500" s="108">
        <f>IFERROR(L500+M500+N500+O500,0)</f>
        <v/>
      </c>
      <c r="U500" s="108">
        <f>IFERROR(H500+IFERROR(I500,0)+T500+IFERROR(AH500,0),0)</f>
        <v/>
      </c>
      <c r="V500" s="256" t="n"/>
      <c r="W500" s="257" t="n"/>
      <c r="X500" s="256" t="n"/>
      <c r="Y500" s="258" t="n"/>
      <c r="Z500" s="259" t="n"/>
      <c r="AA500" s="259" t="n"/>
      <c r="AB500" s="258" t="n"/>
      <c r="AC500" s="256" t="n"/>
      <c r="AD500" s="256" t="n"/>
      <c r="AE500" s="256" t="n"/>
      <c r="AF500" s="256" t="n"/>
      <c r="AG500" s="256" t="n"/>
      <c r="AH500" s="256">
        <f>IFERROR(IFERROR(V500,0)+IFERROR(AC500,0)+IFERROR(AD500,0)+IFERROR(AE500,0)+IFERROR(AF500,0)+IFERROR(AG500,0),0)</f>
        <v/>
      </c>
    </row>
    <row r="501" ht="15" customHeight="1" s="199">
      <c r="A501" s="104" t="n"/>
      <c r="B501" s="104" t="n"/>
      <c r="C501" s="104" t="n"/>
      <c r="D501" s="105" t="n"/>
      <c r="E501" s="105" t="n"/>
      <c r="F501" s="105" t="n"/>
      <c r="G501" s="106" t="n"/>
      <c r="H501" s="106" t="n"/>
      <c r="I501" s="106" t="n"/>
      <c r="J501" s="107" t="n"/>
      <c r="K501" s="105" t="n"/>
      <c r="L501" s="106" t="n"/>
      <c r="M501" s="106" t="n"/>
      <c r="N501" s="106" t="n"/>
      <c r="O501" s="106" t="n"/>
      <c r="P501" s="105" t="n"/>
      <c r="Q501" s="107" t="n"/>
      <c r="R501" s="105" t="n"/>
      <c r="S501" s="107" t="n"/>
      <c r="T501" s="108">
        <f>IFERROR(L501+M501+N501+O501,0)</f>
        <v/>
      </c>
      <c r="U501" s="108">
        <f>IFERROR(H501+IFERROR(I501,0)+T501+IFERROR(AH501,0),0)</f>
        <v/>
      </c>
      <c r="V501" s="256" t="n"/>
      <c r="W501" s="257" t="n"/>
      <c r="X501" s="256" t="n"/>
      <c r="Y501" s="258" t="n"/>
      <c r="Z501" s="259" t="n"/>
      <c r="AA501" s="259" t="n"/>
      <c r="AB501" s="258" t="n"/>
      <c r="AC501" s="256" t="n"/>
      <c r="AD501" s="256" t="n"/>
      <c r="AE501" s="256" t="n"/>
      <c r="AF501" s="256" t="n"/>
      <c r="AG501" s="256" t="n"/>
      <c r="AH501" s="256">
        <f>IFERROR(IFERROR(V501,0)+IFERROR(AC501,0)+IFERROR(AD501,0)+IFERROR(AE501,0)+IFERROR(AF501,0)+IFERROR(AG501,0),0)</f>
        <v/>
      </c>
    </row>
    <row r="502" ht="15" customHeight="1" s="199">
      <c r="A502" s="104" t="n"/>
      <c r="B502" s="104" t="n"/>
      <c r="C502" s="104" t="n"/>
      <c r="D502" s="105" t="n"/>
      <c r="E502" s="105" t="n"/>
      <c r="F502" s="105" t="n"/>
      <c r="G502" s="106" t="n"/>
      <c r="H502" s="106" t="n"/>
      <c r="I502" s="106" t="n"/>
      <c r="J502" s="107" t="n"/>
      <c r="K502" s="105" t="n"/>
      <c r="L502" s="106" t="n"/>
      <c r="M502" s="106" t="n"/>
      <c r="N502" s="106" t="n"/>
      <c r="O502" s="106" t="n"/>
      <c r="P502" s="105" t="n"/>
      <c r="Q502" s="107" t="n"/>
      <c r="R502" s="105" t="n"/>
      <c r="S502" s="107" t="n"/>
      <c r="T502" s="108">
        <f>IFERROR(L502+M502+N502+O502,0)</f>
        <v/>
      </c>
      <c r="U502" s="108">
        <f>IFERROR(H502+IFERROR(I502,0)+T502+IFERROR(AH502,0),0)</f>
        <v/>
      </c>
      <c r="V502" s="256" t="n"/>
      <c r="W502" s="257" t="n"/>
      <c r="X502" s="256" t="n"/>
      <c r="Y502" s="258" t="n"/>
      <c r="Z502" s="259" t="n"/>
      <c r="AA502" s="259" t="n"/>
      <c r="AB502" s="258" t="n"/>
      <c r="AC502" s="256" t="n"/>
      <c r="AD502" s="256" t="n"/>
      <c r="AE502" s="256" t="n"/>
      <c r="AF502" s="256" t="n"/>
      <c r="AG502" s="256" t="n"/>
      <c r="AH502" s="256">
        <f>IFERROR(IFERROR(V502,0)+IFERROR(AC502,0)+IFERROR(AD502,0)+IFERROR(AE502,0)+IFERROR(AF502,0)+IFERROR(AG502,0),0)</f>
        <v/>
      </c>
    </row>
    <row r="503" ht="15" customHeight="1" s="199">
      <c r="A503" s="104" t="n"/>
      <c r="B503" s="104" t="n"/>
      <c r="C503" s="104" t="n"/>
      <c r="D503" s="105" t="n"/>
      <c r="E503" s="105" t="n"/>
      <c r="F503" s="105" t="n"/>
      <c r="G503" s="106" t="n"/>
      <c r="H503" s="106" t="n"/>
      <c r="I503" s="106" t="n"/>
      <c r="J503" s="107" t="n"/>
      <c r="K503" s="105" t="n"/>
      <c r="L503" s="106" t="n"/>
      <c r="M503" s="106" t="n"/>
      <c r="N503" s="106" t="n"/>
      <c r="O503" s="106" t="n"/>
      <c r="P503" s="105" t="n"/>
      <c r="Q503" s="107" t="n"/>
      <c r="R503" s="105" t="n"/>
      <c r="S503" s="107" t="n"/>
      <c r="T503" s="108">
        <f>IFERROR(L503+M503+N503+O503,0)</f>
        <v/>
      </c>
      <c r="U503" s="108">
        <f>IFERROR(H503+IFERROR(I503,0)+T503+IFERROR(AH503,0),0)</f>
        <v/>
      </c>
      <c r="V503" s="256" t="n"/>
      <c r="W503" s="257" t="n"/>
      <c r="X503" s="256" t="n"/>
      <c r="Y503" s="258" t="n"/>
      <c r="Z503" s="259" t="n"/>
      <c r="AA503" s="259" t="n"/>
      <c r="AB503" s="258" t="n"/>
      <c r="AC503" s="256" t="n"/>
      <c r="AD503" s="256" t="n"/>
      <c r="AE503" s="256" t="n"/>
      <c r="AF503" s="256" t="n"/>
      <c r="AG503" s="256" t="n"/>
      <c r="AH503" s="256">
        <f>IFERROR(IFERROR(V503,0)+IFERROR(AC503,0)+IFERROR(AD503,0)+IFERROR(AE503,0)+IFERROR(AF503,0)+IFERROR(AG503,0),0)</f>
        <v/>
      </c>
    </row>
    <row r="504" ht="15" customHeight="1" s="199">
      <c r="A504" s="104" t="n"/>
      <c r="B504" s="104" t="n"/>
      <c r="C504" s="104" t="n"/>
      <c r="D504" s="105" t="n"/>
      <c r="E504" s="105" t="n"/>
      <c r="F504" s="105" t="n"/>
      <c r="G504" s="106" t="n"/>
      <c r="H504" s="106" t="n"/>
      <c r="I504" s="106" t="n"/>
      <c r="J504" s="107" t="n"/>
      <c r="K504" s="105" t="n"/>
      <c r="L504" s="106" t="n"/>
      <c r="M504" s="106" t="n"/>
      <c r="N504" s="106" t="n"/>
      <c r="O504" s="106" t="n"/>
      <c r="P504" s="105" t="n"/>
      <c r="Q504" s="107" t="n"/>
      <c r="R504" s="105" t="n"/>
      <c r="S504" s="107" t="n"/>
      <c r="T504" s="108">
        <f>IFERROR(L504+M504+N504+O504,0)</f>
        <v/>
      </c>
      <c r="U504" s="108">
        <f>IFERROR(H504+IFERROR(I504,0)+T504+IFERROR(AH504,0),0)</f>
        <v/>
      </c>
      <c r="V504" s="256" t="n"/>
      <c r="W504" s="257" t="n"/>
      <c r="X504" s="256" t="n"/>
      <c r="Y504" s="258" t="n"/>
      <c r="Z504" s="259" t="n"/>
      <c r="AA504" s="259" t="n"/>
      <c r="AB504" s="258" t="n"/>
      <c r="AC504" s="256" t="n"/>
      <c r="AD504" s="256" t="n"/>
      <c r="AE504" s="256" t="n"/>
      <c r="AF504" s="256" t="n"/>
      <c r="AG504" s="256" t="n"/>
      <c r="AH504" s="256">
        <f>IFERROR(IFERROR(V504,0)+IFERROR(AC504,0)+IFERROR(AD504,0)+IFERROR(AE504,0)+IFERROR(AF504,0)+IFERROR(AG504,0),0)</f>
        <v/>
      </c>
    </row>
    <row r="505" ht="15" customHeight="1" s="199">
      <c r="A505" s="104" t="n"/>
      <c r="B505" s="104" t="n"/>
      <c r="C505" s="104" t="n"/>
      <c r="D505" s="105" t="n"/>
      <c r="E505" s="105" t="n"/>
      <c r="F505" s="105" t="n"/>
      <c r="G505" s="106" t="n"/>
      <c r="H505" s="106" t="n"/>
      <c r="I505" s="106" t="n"/>
      <c r="J505" s="107" t="n"/>
      <c r="K505" s="105" t="n"/>
      <c r="L505" s="106" t="n"/>
      <c r="M505" s="106" t="n"/>
      <c r="N505" s="106" t="n"/>
      <c r="O505" s="106" t="n"/>
      <c r="P505" s="105" t="n"/>
      <c r="Q505" s="107" t="n"/>
      <c r="R505" s="105" t="n"/>
      <c r="S505" s="107" t="n"/>
      <c r="T505" s="108">
        <f>IFERROR(L505+M505+N505+O505,0)</f>
        <v/>
      </c>
      <c r="U505" s="108">
        <f>IFERROR(H505+IFERROR(I505,0)+T505+IFERROR(AH505,0),0)</f>
        <v/>
      </c>
      <c r="V505" s="256" t="n"/>
      <c r="W505" s="257" t="n"/>
      <c r="X505" s="256" t="n"/>
      <c r="Y505" s="258" t="n"/>
      <c r="Z505" s="259" t="n"/>
      <c r="AA505" s="259" t="n"/>
      <c r="AB505" s="258" t="n"/>
      <c r="AC505" s="256" t="n"/>
      <c r="AD505" s="256" t="n"/>
      <c r="AE505" s="256" t="n"/>
      <c r="AF505" s="256" t="n"/>
      <c r="AG505" s="256" t="n"/>
      <c r="AH505" s="256">
        <f>IFERROR(IFERROR(V505,0)+IFERROR(AC505,0)+IFERROR(AD505,0)+IFERROR(AE505,0)+IFERROR(AF505,0)+IFERROR(AG505,0),0)</f>
        <v/>
      </c>
    </row>
    <row r="506" ht="15" customHeight="1" s="199">
      <c r="A506" s="104" t="n"/>
      <c r="B506" s="104" t="n"/>
      <c r="C506" s="104" t="n"/>
      <c r="D506" s="105" t="n"/>
      <c r="E506" s="105" t="n"/>
      <c r="F506" s="105" t="n"/>
      <c r="G506" s="106" t="n"/>
      <c r="H506" s="106" t="n"/>
      <c r="I506" s="106" t="n"/>
      <c r="J506" s="107" t="n"/>
      <c r="K506" s="105" t="n"/>
      <c r="L506" s="106" t="n"/>
      <c r="M506" s="106" t="n"/>
      <c r="N506" s="106" t="n"/>
      <c r="O506" s="106" t="n"/>
      <c r="P506" s="105" t="n"/>
      <c r="Q506" s="107" t="n"/>
      <c r="R506" s="105" t="n"/>
      <c r="S506" s="107" t="n"/>
      <c r="T506" s="108">
        <f>IFERROR(L506+M506+N506+O506,0)</f>
        <v/>
      </c>
      <c r="U506" s="108">
        <f>IFERROR(H506+IFERROR(I506,0)+T506+IFERROR(AH506,0),0)</f>
        <v/>
      </c>
      <c r="V506" s="256" t="n"/>
      <c r="W506" s="257" t="n"/>
      <c r="X506" s="256" t="n"/>
      <c r="Y506" s="258" t="n"/>
      <c r="Z506" s="259" t="n"/>
      <c r="AA506" s="259" t="n"/>
      <c r="AB506" s="258" t="n"/>
      <c r="AC506" s="256" t="n"/>
      <c r="AD506" s="256" t="n"/>
      <c r="AE506" s="256" t="n"/>
      <c r="AF506" s="256" t="n"/>
      <c r="AG506" s="256" t="n"/>
      <c r="AH506" s="256">
        <f>IFERROR(IFERROR(V506,0)+IFERROR(AC506,0)+IFERROR(AD506,0)+IFERROR(AE506,0)+IFERROR(AF506,0)+IFERROR(AG506,0),0)</f>
        <v/>
      </c>
    </row>
    <row r="507" ht="15" customHeight="1" s="199">
      <c r="A507" s="104" t="n"/>
      <c r="B507" s="104" t="n"/>
      <c r="C507" s="104" t="n"/>
      <c r="D507" s="105" t="n"/>
      <c r="E507" s="105" t="n"/>
      <c r="F507" s="105" t="n"/>
      <c r="G507" s="106" t="n"/>
      <c r="H507" s="106" t="n"/>
      <c r="I507" s="106" t="n"/>
      <c r="J507" s="107" t="n"/>
      <c r="K507" s="105" t="n"/>
      <c r="L507" s="106" t="n"/>
      <c r="M507" s="106" t="n"/>
      <c r="N507" s="106" t="n"/>
      <c r="O507" s="106" t="n"/>
      <c r="P507" s="105" t="n"/>
      <c r="Q507" s="107" t="n"/>
      <c r="R507" s="105" t="n"/>
      <c r="S507" s="107" t="n"/>
      <c r="T507" s="108">
        <f>IFERROR(L507+M507+N507+O507,0)</f>
        <v/>
      </c>
      <c r="U507" s="108">
        <f>IFERROR(H507+IFERROR(I507,0)+T507+IFERROR(AH507,0),0)</f>
        <v/>
      </c>
      <c r="V507" s="256" t="n"/>
      <c r="W507" s="257" t="n"/>
      <c r="X507" s="256" t="n"/>
      <c r="Y507" s="258" t="n"/>
      <c r="Z507" s="259" t="n"/>
      <c r="AA507" s="259" t="n"/>
      <c r="AB507" s="258" t="n"/>
      <c r="AC507" s="256" t="n"/>
      <c r="AD507" s="256" t="n"/>
      <c r="AE507" s="256" t="n"/>
      <c r="AF507" s="256" t="n"/>
      <c r="AG507" s="256" t="n"/>
      <c r="AH507" s="256">
        <f>IFERROR(IFERROR(V507,0)+IFERROR(AC507,0)+IFERROR(AD507,0)+IFERROR(AE507,0)+IFERROR(AF507,0)+IFERROR(AG507,0),0)</f>
        <v/>
      </c>
    </row>
    <row r="508" ht="15" customHeight="1" s="199">
      <c r="A508" s="104" t="n"/>
      <c r="B508" s="104" t="n"/>
      <c r="C508" s="104" t="n"/>
      <c r="D508" s="105" t="n"/>
      <c r="E508" s="105" t="n"/>
      <c r="F508" s="105" t="n"/>
      <c r="G508" s="106" t="n"/>
      <c r="H508" s="106" t="n"/>
      <c r="I508" s="106" t="n"/>
      <c r="J508" s="107" t="n"/>
      <c r="K508" s="105" t="n"/>
      <c r="L508" s="106" t="n"/>
      <c r="M508" s="106" t="n"/>
      <c r="N508" s="106" t="n"/>
      <c r="O508" s="106" t="n"/>
      <c r="P508" s="105" t="n"/>
      <c r="Q508" s="107" t="n"/>
      <c r="R508" s="105" t="n"/>
      <c r="S508" s="107" t="n"/>
      <c r="T508" s="108">
        <f>IFERROR(L508+M508+N508+O508,0)</f>
        <v/>
      </c>
      <c r="U508" s="108">
        <f>IFERROR(H508+IFERROR(I508,0)+T508+IFERROR(AH508,0),0)</f>
        <v/>
      </c>
      <c r="V508" s="256" t="n"/>
      <c r="W508" s="257" t="n"/>
      <c r="X508" s="256" t="n"/>
      <c r="Y508" s="258" t="n"/>
      <c r="Z508" s="259" t="n"/>
      <c r="AA508" s="259" t="n"/>
      <c r="AB508" s="258" t="n"/>
      <c r="AC508" s="256" t="n"/>
      <c r="AD508" s="256" t="n"/>
      <c r="AE508" s="256" t="n"/>
      <c r="AF508" s="256" t="n"/>
      <c r="AG508" s="256" t="n"/>
      <c r="AH508" s="256">
        <f>IFERROR(IFERROR(V508,0)+IFERROR(AC508,0)+IFERROR(AD508,0)+IFERROR(AE508,0)+IFERROR(AF508,0)+IFERROR(AG508,0),0)</f>
        <v/>
      </c>
    </row>
    <row r="509" ht="15" customHeight="1" s="199">
      <c r="A509" s="104" t="n"/>
      <c r="B509" s="104" t="n"/>
      <c r="C509" s="104" t="n"/>
      <c r="D509" s="105" t="n"/>
      <c r="E509" s="105" t="n"/>
      <c r="F509" s="105" t="n"/>
      <c r="G509" s="106" t="n"/>
      <c r="H509" s="106" t="n"/>
      <c r="I509" s="106" t="n"/>
      <c r="J509" s="107" t="n"/>
      <c r="K509" s="105" t="n"/>
      <c r="L509" s="106" t="n"/>
      <c r="M509" s="106" t="n"/>
      <c r="N509" s="106" t="n"/>
      <c r="O509" s="106" t="n"/>
      <c r="P509" s="105" t="n"/>
      <c r="Q509" s="107" t="n"/>
      <c r="R509" s="105" t="n"/>
      <c r="S509" s="107" t="n"/>
      <c r="T509" s="108">
        <f>IFERROR(L509+M509+N509+O509,0)</f>
        <v/>
      </c>
      <c r="U509" s="108">
        <f>IFERROR(H509+IFERROR(I509,0)+T509+IFERROR(AH509,0),0)</f>
        <v/>
      </c>
      <c r="V509" s="256" t="n"/>
      <c r="W509" s="257" t="n"/>
      <c r="X509" s="256" t="n"/>
      <c r="Y509" s="258" t="n"/>
      <c r="Z509" s="259" t="n"/>
      <c r="AA509" s="259" t="n"/>
      <c r="AB509" s="258" t="n"/>
      <c r="AC509" s="256" t="n"/>
      <c r="AD509" s="256" t="n"/>
      <c r="AE509" s="256" t="n"/>
      <c r="AF509" s="256" t="n"/>
      <c r="AG509" s="256" t="n"/>
      <c r="AH509" s="256">
        <f>IFERROR(IFERROR(V509,0)+IFERROR(AC509,0)+IFERROR(AD509,0)+IFERROR(AE509,0)+IFERROR(AF509,0)+IFERROR(AG509,0),0)</f>
        <v/>
      </c>
    </row>
    <row r="510" ht="15" customHeight="1" s="199">
      <c r="A510" s="104" t="n"/>
      <c r="B510" s="104" t="n"/>
      <c r="C510" s="104" t="n"/>
      <c r="D510" s="105" t="n"/>
      <c r="E510" s="105" t="n"/>
      <c r="F510" s="105" t="n"/>
      <c r="G510" s="106" t="n"/>
      <c r="H510" s="106" t="n"/>
      <c r="I510" s="106" t="n"/>
      <c r="J510" s="107" t="n"/>
      <c r="K510" s="105" t="n"/>
      <c r="L510" s="106" t="n"/>
      <c r="M510" s="106" t="n"/>
      <c r="N510" s="106" t="n"/>
      <c r="O510" s="106" t="n"/>
      <c r="P510" s="105" t="n"/>
      <c r="Q510" s="107" t="n"/>
      <c r="R510" s="105" t="n"/>
      <c r="S510" s="107" t="n"/>
      <c r="T510" s="108">
        <f>IFERROR(L510+M510+N510+O510,0)</f>
        <v/>
      </c>
      <c r="U510" s="108">
        <f>IFERROR(H510+IFERROR(I510,0)+T510+IFERROR(AH510,0),0)</f>
        <v/>
      </c>
      <c r="V510" s="256" t="n"/>
      <c r="W510" s="257" t="n"/>
      <c r="X510" s="256" t="n"/>
      <c r="Y510" s="258" t="n"/>
      <c r="Z510" s="259" t="n"/>
      <c r="AA510" s="259" t="n"/>
      <c r="AB510" s="258" t="n"/>
      <c r="AC510" s="256" t="n"/>
      <c r="AD510" s="256" t="n"/>
      <c r="AE510" s="256" t="n"/>
      <c r="AF510" s="256" t="n"/>
      <c r="AG510" s="256" t="n"/>
      <c r="AH510" s="256">
        <f>IFERROR(IFERROR(V510,0)+IFERROR(AC510,0)+IFERROR(AD510,0)+IFERROR(AE510,0)+IFERROR(AF510,0)+IFERROR(AG510,0),0)</f>
        <v/>
      </c>
    </row>
    <row r="511" ht="15" customHeight="1" s="199">
      <c r="A511" s="104" t="n"/>
      <c r="B511" s="104" t="n"/>
      <c r="C511" s="104" t="n"/>
      <c r="D511" s="105" t="n"/>
      <c r="E511" s="105" t="n"/>
      <c r="F511" s="105" t="n"/>
      <c r="G511" s="106" t="n"/>
      <c r="H511" s="106" t="n"/>
      <c r="I511" s="106" t="n"/>
      <c r="J511" s="107" t="n"/>
      <c r="K511" s="105" t="n"/>
      <c r="L511" s="106" t="n"/>
      <c r="M511" s="106" t="n"/>
      <c r="N511" s="106" t="n"/>
      <c r="O511" s="106" t="n"/>
      <c r="P511" s="105" t="n"/>
      <c r="Q511" s="107" t="n"/>
      <c r="R511" s="105" t="n"/>
      <c r="S511" s="107" t="n"/>
      <c r="T511" s="108">
        <f>IFERROR(L511+M511+N511+O511,0)</f>
        <v/>
      </c>
      <c r="U511" s="108">
        <f>IFERROR(H511+IFERROR(I511,0)+T511+IFERROR(AH511,0),0)</f>
        <v/>
      </c>
      <c r="V511" s="256" t="n"/>
      <c r="W511" s="257" t="n"/>
      <c r="X511" s="256" t="n"/>
      <c r="Y511" s="258" t="n"/>
      <c r="Z511" s="259" t="n"/>
      <c r="AA511" s="259" t="n"/>
      <c r="AB511" s="258" t="n"/>
      <c r="AC511" s="256" t="n"/>
      <c r="AD511" s="256" t="n"/>
      <c r="AE511" s="256" t="n"/>
      <c r="AF511" s="256" t="n"/>
      <c r="AG511" s="256" t="n"/>
      <c r="AH511" s="256">
        <f>IFERROR(IFERROR(V511,0)+IFERROR(AC511,0)+IFERROR(AD511,0)+IFERROR(AE511,0)+IFERROR(AF511,0)+IFERROR(AG511,0),0)</f>
        <v/>
      </c>
    </row>
    <row r="512" ht="15" customHeight="1" s="199">
      <c r="A512" s="104" t="n"/>
      <c r="B512" s="104" t="n"/>
      <c r="C512" s="104" t="n"/>
      <c r="D512" s="105" t="n"/>
      <c r="E512" s="105" t="n"/>
      <c r="F512" s="105" t="n"/>
      <c r="G512" s="106" t="n"/>
      <c r="H512" s="106" t="n"/>
      <c r="I512" s="106" t="n"/>
      <c r="J512" s="107" t="n"/>
      <c r="K512" s="105" t="n"/>
      <c r="L512" s="106" t="n"/>
      <c r="M512" s="106" t="n"/>
      <c r="N512" s="106" t="n"/>
      <c r="O512" s="106" t="n"/>
      <c r="P512" s="105" t="n"/>
      <c r="Q512" s="107" t="n"/>
      <c r="R512" s="105" t="n"/>
      <c r="S512" s="107" t="n"/>
      <c r="T512" s="108">
        <f>IFERROR(L512+M512+N512+O512,0)</f>
        <v/>
      </c>
      <c r="U512" s="108">
        <f>IFERROR(H512+IFERROR(I512,0)+T512+IFERROR(AH512,0),0)</f>
        <v/>
      </c>
      <c r="V512" s="256" t="n"/>
      <c r="W512" s="257" t="n"/>
      <c r="X512" s="256" t="n"/>
      <c r="Y512" s="258" t="n"/>
      <c r="Z512" s="259" t="n"/>
      <c r="AA512" s="259" t="n"/>
      <c r="AB512" s="258" t="n"/>
      <c r="AC512" s="256" t="n"/>
      <c r="AD512" s="256" t="n"/>
      <c r="AE512" s="256" t="n"/>
      <c r="AF512" s="256" t="n"/>
      <c r="AG512" s="256" t="n"/>
      <c r="AH512" s="256">
        <f>IFERROR(IFERROR(V512,0)+IFERROR(AC512,0)+IFERROR(AD512,0)+IFERROR(AE512,0)+IFERROR(AF512,0)+IFERROR(AG512,0),0)</f>
        <v/>
      </c>
    </row>
    <row r="513" ht="15" customHeight="1" s="199">
      <c r="A513" s="104" t="n"/>
      <c r="B513" s="104" t="n"/>
      <c r="C513" s="104" t="n"/>
      <c r="D513" s="105" t="n"/>
      <c r="E513" s="105" t="n"/>
      <c r="F513" s="105" t="n"/>
      <c r="G513" s="106" t="n"/>
      <c r="H513" s="106" t="n"/>
      <c r="I513" s="106" t="n"/>
      <c r="J513" s="107" t="n"/>
      <c r="K513" s="105" t="n"/>
      <c r="L513" s="106" t="n"/>
      <c r="M513" s="106" t="n"/>
      <c r="N513" s="106" t="n"/>
      <c r="O513" s="106" t="n"/>
      <c r="P513" s="105" t="n"/>
      <c r="Q513" s="107" t="n"/>
      <c r="R513" s="105" t="n"/>
      <c r="S513" s="107" t="n"/>
      <c r="T513" s="108">
        <f>IFERROR(L513+M513+N513+O513,0)</f>
        <v/>
      </c>
      <c r="U513" s="108">
        <f>IFERROR(H513+IFERROR(I513,0)+T513+IFERROR(AH513,0),0)</f>
        <v/>
      </c>
      <c r="V513" s="256" t="n"/>
      <c r="W513" s="257" t="n"/>
      <c r="X513" s="256" t="n"/>
      <c r="Y513" s="258" t="n"/>
      <c r="Z513" s="259" t="n"/>
      <c r="AA513" s="259" t="n"/>
      <c r="AB513" s="258" t="n"/>
      <c r="AC513" s="256" t="n"/>
      <c r="AD513" s="256" t="n"/>
      <c r="AE513" s="256" t="n"/>
      <c r="AF513" s="256" t="n"/>
      <c r="AG513" s="256" t="n"/>
      <c r="AH513" s="256">
        <f>IFERROR(IFERROR(V513,0)+IFERROR(AC513,0)+IFERROR(AD513,0)+IFERROR(AE513,0)+IFERROR(AF513,0)+IFERROR(AG513,0),0)</f>
        <v/>
      </c>
    </row>
    <row r="514" ht="15" customHeight="1" s="199">
      <c r="A514" s="104" t="n"/>
      <c r="B514" s="104" t="n"/>
      <c r="C514" s="104" t="n"/>
      <c r="D514" s="105" t="n"/>
      <c r="E514" s="105" t="n"/>
      <c r="F514" s="105" t="n"/>
      <c r="G514" s="106" t="n"/>
      <c r="H514" s="106" t="n"/>
      <c r="I514" s="106" t="n"/>
      <c r="J514" s="107" t="n"/>
      <c r="K514" s="105" t="n"/>
      <c r="L514" s="106" t="n"/>
      <c r="M514" s="106" t="n"/>
      <c r="N514" s="106" t="n"/>
      <c r="O514" s="106" t="n"/>
      <c r="P514" s="105" t="n"/>
      <c r="Q514" s="107" t="n"/>
      <c r="R514" s="105" t="n"/>
      <c r="S514" s="107" t="n"/>
      <c r="T514" s="108">
        <f>IFERROR(L514+M514+N514+O514,0)</f>
        <v/>
      </c>
      <c r="U514" s="108">
        <f>IFERROR(H514+IFERROR(I514,0)+T514+IFERROR(AH514,0),0)</f>
        <v/>
      </c>
      <c r="V514" s="256" t="n"/>
      <c r="W514" s="257" t="n"/>
      <c r="X514" s="256" t="n"/>
      <c r="Y514" s="258" t="n"/>
      <c r="Z514" s="259" t="n"/>
      <c r="AA514" s="259" t="n"/>
      <c r="AB514" s="258" t="n"/>
      <c r="AC514" s="256" t="n"/>
      <c r="AD514" s="256" t="n"/>
      <c r="AE514" s="256" t="n"/>
      <c r="AF514" s="256" t="n"/>
      <c r="AG514" s="256" t="n"/>
      <c r="AH514" s="256">
        <f>IFERROR(IFERROR(V514,0)+IFERROR(AC514,0)+IFERROR(AD514,0)+IFERROR(AE514,0)+IFERROR(AF514,0)+IFERROR(AG514,0),0)</f>
        <v/>
      </c>
    </row>
    <row r="515" ht="15" customHeight="1" s="199">
      <c r="A515" s="104" t="n"/>
      <c r="B515" s="104" t="n"/>
      <c r="C515" s="104" t="n"/>
      <c r="D515" s="105" t="n"/>
      <c r="E515" s="105" t="n"/>
      <c r="F515" s="105" t="n"/>
      <c r="G515" s="106" t="n"/>
      <c r="H515" s="106" t="n"/>
      <c r="I515" s="106" t="n"/>
      <c r="J515" s="107" t="n"/>
      <c r="K515" s="105" t="n"/>
      <c r="L515" s="106" t="n"/>
      <c r="M515" s="106" t="n"/>
      <c r="N515" s="106" t="n"/>
      <c r="O515" s="106" t="n"/>
      <c r="P515" s="105" t="n"/>
      <c r="Q515" s="107" t="n"/>
      <c r="R515" s="105" t="n"/>
      <c r="S515" s="107" t="n"/>
      <c r="T515" s="108">
        <f>IFERROR(L515+M515+N515+O515,0)</f>
        <v/>
      </c>
      <c r="U515" s="108">
        <f>IFERROR(H515+IFERROR(I515,0)+T515+IFERROR(AH515,0),0)</f>
        <v/>
      </c>
      <c r="V515" s="256" t="n"/>
      <c r="W515" s="257" t="n"/>
      <c r="X515" s="256" t="n"/>
      <c r="Y515" s="258" t="n"/>
      <c r="Z515" s="259" t="n"/>
      <c r="AA515" s="259" t="n"/>
      <c r="AB515" s="258" t="n"/>
      <c r="AC515" s="256" t="n"/>
      <c r="AD515" s="256" t="n"/>
      <c r="AE515" s="256" t="n"/>
      <c r="AF515" s="256" t="n"/>
      <c r="AG515" s="256" t="n"/>
      <c r="AH515" s="256">
        <f>IFERROR(IFERROR(V515,0)+IFERROR(AC515,0)+IFERROR(AD515,0)+IFERROR(AE515,0)+IFERROR(AF515,0)+IFERROR(AG515,0),0)</f>
        <v/>
      </c>
    </row>
    <row r="516" ht="15" customHeight="1" s="199">
      <c r="A516" s="104" t="n"/>
      <c r="B516" s="104" t="n"/>
      <c r="C516" s="104" t="n"/>
      <c r="D516" s="105" t="n"/>
      <c r="E516" s="105" t="n"/>
      <c r="F516" s="105" t="n"/>
      <c r="G516" s="106" t="n"/>
      <c r="H516" s="106" t="n"/>
      <c r="I516" s="106" t="n"/>
      <c r="J516" s="107" t="n"/>
      <c r="K516" s="105" t="n"/>
      <c r="L516" s="106" t="n"/>
      <c r="M516" s="106" t="n"/>
      <c r="N516" s="106" t="n"/>
      <c r="O516" s="106" t="n"/>
      <c r="P516" s="105" t="n"/>
      <c r="Q516" s="107" t="n"/>
      <c r="R516" s="105" t="n"/>
      <c r="S516" s="107" t="n"/>
      <c r="T516" s="108">
        <f>IFERROR(L516+M516+N516+O516,0)</f>
        <v/>
      </c>
      <c r="U516" s="108">
        <f>IFERROR(H516+IFERROR(I516,0)+T516+IFERROR(AH516,0),0)</f>
        <v/>
      </c>
      <c r="V516" s="256" t="n"/>
      <c r="W516" s="257" t="n"/>
      <c r="X516" s="256" t="n"/>
      <c r="Y516" s="258" t="n"/>
      <c r="Z516" s="259" t="n"/>
      <c r="AA516" s="259" t="n"/>
      <c r="AB516" s="258" t="n"/>
      <c r="AC516" s="256" t="n"/>
      <c r="AD516" s="256" t="n"/>
      <c r="AE516" s="256" t="n"/>
      <c r="AF516" s="256" t="n"/>
      <c r="AG516" s="256" t="n"/>
      <c r="AH516" s="256">
        <f>IFERROR(IFERROR(V516,0)+IFERROR(AC516,0)+IFERROR(AD516,0)+IFERROR(AE516,0)+IFERROR(AF516,0)+IFERROR(AG516,0),0)</f>
        <v/>
      </c>
    </row>
    <row r="517" ht="15" customHeight="1" s="199">
      <c r="A517" s="104" t="n"/>
      <c r="B517" s="104" t="n"/>
      <c r="C517" s="104" t="n"/>
      <c r="D517" s="105" t="n"/>
      <c r="E517" s="105" t="n"/>
      <c r="F517" s="105" t="n"/>
      <c r="G517" s="106" t="n"/>
      <c r="H517" s="106" t="n"/>
      <c r="I517" s="106" t="n"/>
      <c r="J517" s="107" t="n"/>
      <c r="K517" s="105" t="n"/>
      <c r="L517" s="106" t="n"/>
      <c r="M517" s="106" t="n"/>
      <c r="N517" s="106" t="n"/>
      <c r="O517" s="106" t="n"/>
      <c r="P517" s="105" t="n"/>
      <c r="Q517" s="107" t="n"/>
      <c r="R517" s="105" t="n"/>
      <c r="S517" s="107" t="n"/>
      <c r="T517" s="108">
        <f>IFERROR(L517+M517+N517+O517,0)</f>
        <v/>
      </c>
      <c r="U517" s="108">
        <f>IFERROR(H517+IFERROR(I517,0)+T517+IFERROR(AH517,0),0)</f>
        <v/>
      </c>
      <c r="V517" s="256" t="n"/>
      <c r="W517" s="257" t="n"/>
      <c r="X517" s="256" t="n"/>
      <c r="Y517" s="258" t="n"/>
      <c r="Z517" s="259" t="n"/>
      <c r="AA517" s="259" t="n"/>
      <c r="AB517" s="258" t="n"/>
      <c r="AC517" s="256" t="n"/>
      <c r="AD517" s="256" t="n"/>
      <c r="AE517" s="256" t="n"/>
      <c r="AF517" s="256" t="n"/>
      <c r="AG517" s="256" t="n"/>
      <c r="AH517" s="256">
        <f>IFERROR(IFERROR(V517,0)+IFERROR(AC517,0)+IFERROR(AD517,0)+IFERROR(AE517,0)+IFERROR(AF517,0)+IFERROR(AG517,0),0)</f>
        <v/>
      </c>
    </row>
    <row r="518" ht="15" customHeight="1" s="199">
      <c r="A518" s="104" t="n"/>
      <c r="B518" s="104" t="n"/>
      <c r="C518" s="104" t="n"/>
      <c r="D518" s="105" t="n"/>
      <c r="E518" s="105" t="n"/>
      <c r="F518" s="105" t="n"/>
      <c r="G518" s="106" t="n"/>
      <c r="H518" s="106" t="n"/>
      <c r="I518" s="106" t="n"/>
      <c r="J518" s="107" t="n"/>
      <c r="K518" s="105" t="n"/>
      <c r="L518" s="106" t="n"/>
      <c r="M518" s="106" t="n"/>
      <c r="N518" s="106" t="n"/>
      <c r="O518" s="106" t="n"/>
      <c r="P518" s="105" t="n"/>
      <c r="Q518" s="107" t="n"/>
      <c r="R518" s="105" t="n"/>
      <c r="S518" s="107" t="n"/>
      <c r="T518" s="108">
        <f>IFERROR(L518+M518+N518+O518,0)</f>
        <v/>
      </c>
      <c r="U518" s="108">
        <f>IFERROR(H518+IFERROR(I518,0)+T518+IFERROR(AH518,0),0)</f>
        <v/>
      </c>
      <c r="V518" s="256" t="n"/>
      <c r="W518" s="257" t="n"/>
      <c r="X518" s="256" t="n"/>
      <c r="Y518" s="258" t="n"/>
      <c r="Z518" s="259" t="n"/>
      <c r="AA518" s="259" t="n"/>
      <c r="AB518" s="258" t="n"/>
      <c r="AC518" s="256" t="n"/>
      <c r="AD518" s="256" t="n"/>
      <c r="AE518" s="256" t="n"/>
      <c r="AF518" s="256" t="n"/>
      <c r="AG518" s="256" t="n"/>
      <c r="AH518" s="256">
        <f>IFERROR(IFERROR(V518,0)+IFERROR(AC518,0)+IFERROR(AD518,0)+IFERROR(AE518,0)+IFERROR(AF518,0)+IFERROR(AG518,0),0)</f>
        <v/>
      </c>
    </row>
    <row r="519" ht="15" customHeight="1" s="199">
      <c r="A519" s="104" t="n"/>
      <c r="B519" s="104" t="n"/>
      <c r="C519" s="104" t="n"/>
      <c r="D519" s="105" t="n"/>
      <c r="E519" s="105" t="n"/>
      <c r="F519" s="105" t="n"/>
      <c r="G519" s="106" t="n"/>
      <c r="H519" s="106" t="n"/>
      <c r="I519" s="106" t="n"/>
      <c r="J519" s="107" t="n"/>
      <c r="K519" s="105" t="n"/>
      <c r="L519" s="106" t="n"/>
      <c r="M519" s="106" t="n"/>
      <c r="N519" s="106" t="n"/>
      <c r="O519" s="106" t="n"/>
      <c r="P519" s="105" t="n"/>
      <c r="Q519" s="107" t="n"/>
      <c r="R519" s="105" t="n"/>
      <c r="S519" s="107" t="n"/>
      <c r="T519" s="108">
        <f>IFERROR(L519+M519+N519+O519,0)</f>
        <v/>
      </c>
      <c r="U519" s="108">
        <f>IFERROR(H519+IFERROR(I519,0)+T519+IFERROR(AH519,0),0)</f>
        <v/>
      </c>
      <c r="V519" s="256" t="n"/>
      <c r="W519" s="257" t="n"/>
      <c r="X519" s="256" t="n"/>
      <c r="Y519" s="258" t="n"/>
      <c r="Z519" s="259" t="n"/>
      <c r="AA519" s="259" t="n"/>
      <c r="AB519" s="258" t="n"/>
      <c r="AC519" s="256" t="n"/>
      <c r="AD519" s="256" t="n"/>
      <c r="AE519" s="256" t="n"/>
      <c r="AF519" s="256" t="n"/>
      <c r="AG519" s="256" t="n"/>
      <c r="AH519" s="256">
        <f>IFERROR(IFERROR(V519,0)+IFERROR(AC519,0)+IFERROR(AD519,0)+IFERROR(AE519,0)+IFERROR(AF519,0)+IFERROR(AG519,0),0)</f>
        <v/>
      </c>
    </row>
    <row r="520" ht="15" customHeight="1" s="199">
      <c r="A520" s="104" t="n"/>
      <c r="B520" s="104" t="n"/>
      <c r="C520" s="104" t="n"/>
      <c r="D520" s="105" t="n"/>
      <c r="E520" s="105" t="n"/>
      <c r="F520" s="105" t="n"/>
      <c r="G520" s="106" t="n"/>
      <c r="H520" s="106" t="n"/>
      <c r="I520" s="106" t="n"/>
      <c r="J520" s="107" t="n"/>
      <c r="K520" s="105" t="n"/>
      <c r="L520" s="106" t="n"/>
      <c r="M520" s="106" t="n"/>
      <c r="N520" s="106" t="n"/>
      <c r="O520" s="106" t="n"/>
      <c r="P520" s="105" t="n"/>
      <c r="Q520" s="107" t="n"/>
      <c r="R520" s="105" t="n"/>
      <c r="S520" s="107" t="n"/>
      <c r="T520" s="108">
        <f>IFERROR(L520+M520+N520+O520,0)</f>
        <v/>
      </c>
      <c r="U520" s="108">
        <f>IFERROR(H520+IFERROR(I520,0)+T520+IFERROR(AH520,0),0)</f>
        <v/>
      </c>
      <c r="V520" s="256" t="n"/>
      <c r="W520" s="257" t="n"/>
      <c r="X520" s="256" t="n"/>
      <c r="Y520" s="258" t="n"/>
      <c r="Z520" s="259" t="n"/>
      <c r="AA520" s="259" t="n"/>
      <c r="AB520" s="258" t="n"/>
      <c r="AC520" s="256" t="n"/>
      <c r="AD520" s="256" t="n"/>
      <c r="AE520" s="256" t="n"/>
      <c r="AF520" s="256" t="n"/>
      <c r="AG520" s="256" t="n"/>
      <c r="AH520" s="256">
        <f>IFERROR(IFERROR(V520,0)+IFERROR(AC520,0)+IFERROR(AD520,0)+IFERROR(AE520,0)+IFERROR(AF520,0)+IFERROR(AG520,0),0)</f>
        <v/>
      </c>
    </row>
    <row r="521" ht="15" customHeight="1" s="199">
      <c r="A521" s="104" t="n"/>
      <c r="B521" s="104" t="n"/>
      <c r="C521" s="104" t="n"/>
      <c r="D521" s="105" t="n"/>
      <c r="E521" s="105" t="n"/>
      <c r="F521" s="105" t="n"/>
      <c r="G521" s="106" t="n"/>
      <c r="H521" s="106" t="n"/>
      <c r="I521" s="106" t="n"/>
      <c r="J521" s="107" t="n"/>
      <c r="K521" s="105" t="n"/>
      <c r="L521" s="106" t="n"/>
      <c r="M521" s="106" t="n"/>
      <c r="N521" s="106" t="n"/>
      <c r="O521" s="106" t="n"/>
      <c r="P521" s="105" t="n"/>
      <c r="Q521" s="107" t="n"/>
      <c r="R521" s="105" t="n"/>
      <c r="S521" s="107" t="n"/>
      <c r="T521" s="108">
        <f>IFERROR(L521+M521+N521+O521,0)</f>
        <v/>
      </c>
      <c r="U521" s="108">
        <f>IFERROR(H521+IFERROR(I521,0)+T521+IFERROR(AH521,0),0)</f>
        <v/>
      </c>
      <c r="V521" s="256" t="n"/>
      <c r="W521" s="257" t="n"/>
      <c r="X521" s="256" t="n"/>
      <c r="Y521" s="258" t="n"/>
      <c r="Z521" s="259" t="n"/>
      <c r="AA521" s="259" t="n"/>
      <c r="AB521" s="258" t="n"/>
      <c r="AC521" s="256" t="n"/>
      <c r="AD521" s="256" t="n"/>
      <c r="AE521" s="256" t="n"/>
      <c r="AF521" s="256" t="n"/>
      <c r="AG521" s="256" t="n"/>
      <c r="AH521" s="256">
        <f>IFERROR(IFERROR(V521,0)+IFERROR(AC521,0)+IFERROR(AD521,0)+IFERROR(AE521,0)+IFERROR(AF521,0)+IFERROR(AG521,0),0)</f>
        <v/>
      </c>
    </row>
    <row r="522" ht="15" customHeight="1" s="199">
      <c r="A522" s="104" t="n"/>
      <c r="B522" s="104" t="n"/>
      <c r="C522" s="104" t="n"/>
      <c r="D522" s="105" t="n"/>
      <c r="E522" s="105" t="n"/>
      <c r="F522" s="105" t="n"/>
      <c r="G522" s="106" t="n"/>
      <c r="H522" s="106" t="n"/>
      <c r="I522" s="106" t="n"/>
      <c r="J522" s="107" t="n"/>
      <c r="K522" s="105" t="n"/>
      <c r="L522" s="106" t="n"/>
      <c r="M522" s="106" t="n"/>
      <c r="N522" s="106" t="n"/>
      <c r="O522" s="106" t="n"/>
      <c r="P522" s="105" t="n"/>
      <c r="Q522" s="107" t="n"/>
      <c r="R522" s="105" t="n"/>
      <c r="S522" s="107" t="n"/>
      <c r="T522" s="108">
        <f>IFERROR(L522+M522+N522+O522,0)</f>
        <v/>
      </c>
      <c r="U522" s="108">
        <f>IFERROR(H522+IFERROR(I522,0)+T522+IFERROR(AH522,0),0)</f>
        <v/>
      </c>
      <c r="V522" s="256" t="n"/>
      <c r="W522" s="257" t="n"/>
      <c r="X522" s="256" t="n"/>
      <c r="Y522" s="258" t="n"/>
      <c r="Z522" s="259" t="n"/>
      <c r="AA522" s="259" t="n"/>
      <c r="AB522" s="258" t="n"/>
      <c r="AC522" s="256" t="n"/>
      <c r="AD522" s="256" t="n"/>
      <c r="AE522" s="256" t="n"/>
      <c r="AF522" s="256" t="n"/>
      <c r="AG522" s="256" t="n"/>
      <c r="AH522" s="256">
        <f>IFERROR(IFERROR(V522,0)+IFERROR(AC522,0)+IFERROR(AD522,0)+IFERROR(AE522,0)+IFERROR(AF522,0)+IFERROR(AG522,0),0)</f>
        <v/>
      </c>
    </row>
    <row r="523" ht="15" customHeight="1" s="199">
      <c r="A523" s="104" t="n"/>
      <c r="B523" s="104" t="n"/>
      <c r="C523" s="104" t="n"/>
      <c r="D523" s="105" t="n"/>
      <c r="E523" s="105" t="n"/>
      <c r="F523" s="105" t="n"/>
      <c r="G523" s="106" t="n"/>
      <c r="H523" s="106" t="n"/>
      <c r="I523" s="106" t="n"/>
      <c r="J523" s="107" t="n"/>
      <c r="K523" s="105" t="n"/>
      <c r="L523" s="106" t="n"/>
      <c r="M523" s="106" t="n"/>
      <c r="N523" s="106" t="n"/>
      <c r="O523" s="106" t="n"/>
      <c r="P523" s="105" t="n"/>
      <c r="Q523" s="107" t="n"/>
      <c r="R523" s="105" t="n"/>
      <c r="S523" s="107" t="n"/>
      <c r="T523" s="108">
        <f>IFERROR(L523+M523+N523+O523,0)</f>
        <v/>
      </c>
      <c r="U523" s="108">
        <f>IFERROR(H523+IFERROR(I523,0)+T523+IFERROR(AH523,0),0)</f>
        <v/>
      </c>
      <c r="V523" s="256" t="n"/>
      <c r="W523" s="257" t="n"/>
      <c r="X523" s="256" t="n"/>
      <c r="Y523" s="258" t="n"/>
      <c r="Z523" s="259" t="n"/>
      <c r="AA523" s="259" t="n"/>
      <c r="AB523" s="258" t="n"/>
      <c r="AC523" s="256" t="n"/>
      <c r="AD523" s="256" t="n"/>
      <c r="AE523" s="256" t="n"/>
      <c r="AF523" s="256" t="n"/>
      <c r="AG523" s="256" t="n"/>
      <c r="AH523" s="256">
        <f>IFERROR(IFERROR(V523,0)+IFERROR(AC523,0)+IFERROR(AD523,0)+IFERROR(AE523,0)+IFERROR(AF523,0)+IFERROR(AG523,0),0)</f>
        <v/>
      </c>
    </row>
    <row r="524" ht="15" customHeight="1" s="199">
      <c r="A524" s="104" t="n"/>
      <c r="B524" s="104" t="n"/>
      <c r="C524" s="104" t="n"/>
      <c r="D524" s="105" t="n"/>
      <c r="E524" s="105" t="n"/>
      <c r="F524" s="105" t="n"/>
      <c r="G524" s="106" t="n"/>
      <c r="H524" s="106" t="n"/>
      <c r="I524" s="106" t="n"/>
      <c r="J524" s="107" t="n"/>
      <c r="K524" s="105" t="n"/>
      <c r="L524" s="106" t="n"/>
      <c r="M524" s="106" t="n"/>
      <c r="N524" s="106" t="n"/>
      <c r="O524" s="106" t="n"/>
      <c r="P524" s="105" t="n"/>
      <c r="Q524" s="107" t="n"/>
      <c r="R524" s="105" t="n"/>
      <c r="S524" s="107" t="n"/>
      <c r="T524" s="108">
        <f>IFERROR(L524+M524+N524+O524,0)</f>
        <v/>
      </c>
      <c r="U524" s="108">
        <f>IFERROR(H524+IFERROR(I524,0)+T524+IFERROR(AH524,0),0)</f>
        <v/>
      </c>
      <c r="V524" s="256" t="n"/>
      <c r="W524" s="257" t="n"/>
      <c r="X524" s="256" t="n"/>
      <c r="Y524" s="258" t="n"/>
      <c r="Z524" s="259" t="n"/>
      <c r="AA524" s="259" t="n"/>
      <c r="AB524" s="258" t="n"/>
      <c r="AC524" s="256" t="n"/>
      <c r="AD524" s="256" t="n"/>
      <c r="AE524" s="256" t="n"/>
      <c r="AF524" s="256" t="n"/>
      <c r="AG524" s="256" t="n"/>
      <c r="AH524" s="256">
        <f>IFERROR(IFERROR(V524,0)+IFERROR(AC524,0)+IFERROR(AD524,0)+IFERROR(AE524,0)+IFERROR(AF524,0)+IFERROR(AG524,0),0)</f>
        <v/>
      </c>
    </row>
    <row r="525" ht="15" customHeight="1" s="199">
      <c r="A525" s="104" t="n"/>
      <c r="B525" s="104" t="n"/>
      <c r="C525" s="104" t="n"/>
      <c r="D525" s="105" t="n"/>
      <c r="E525" s="105" t="n"/>
      <c r="F525" s="105" t="n"/>
      <c r="G525" s="106" t="n"/>
      <c r="H525" s="106" t="n"/>
      <c r="I525" s="106" t="n"/>
      <c r="J525" s="107" t="n"/>
      <c r="K525" s="105" t="n"/>
      <c r="L525" s="106" t="n"/>
      <c r="M525" s="106" t="n"/>
      <c r="N525" s="106" t="n"/>
      <c r="O525" s="106" t="n"/>
      <c r="P525" s="105" t="n"/>
      <c r="Q525" s="107" t="n"/>
      <c r="R525" s="105" t="n"/>
      <c r="S525" s="107" t="n"/>
      <c r="T525" s="108">
        <f>IFERROR(L525+M525+N525+O525,0)</f>
        <v/>
      </c>
      <c r="U525" s="108">
        <f>IFERROR(H525+IFERROR(I525,0)+T525+IFERROR(AH525,0),0)</f>
        <v/>
      </c>
      <c r="V525" s="256" t="n"/>
      <c r="W525" s="257" t="n"/>
      <c r="X525" s="256" t="n"/>
      <c r="Y525" s="258" t="n"/>
      <c r="Z525" s="259" t="n"/>
      <c r="AA525" s="259" t="n"/>
      <c r="AB525" s="258" t="n"/>
      <c r="AC525" s="256" t="n"/>
      <c r="AD525" s="256" t="n"/>
      <c r="AE525" s="256" t="n"/>
      <c r="AF525" s="256" t="n"/>
      <c r="AG525" s="256" t="n"/>
      <c r="AH525" s="256">
        <f>IFERROR(IFERROR(V525,0)+IFERROR(AC525,0)+IFERROR(AD525,0)+IFERROR(AE525,0)+IFERROR(AF525,0)+IFERROR(AG525,0),0)</f>
        <v/>
      </c>
    </row>
    <row r="526" ht="15" customHeight="1" s="199">
      <c r="A526" s="104" t="n"/>
      <c r="B526" s="104" t="n"/>
      <c r="C526" s="104" t="n"/>
      <c r="D526" s="105" t="n"/>
      <c r="E526" s="105" t="n"/>
      <c r="F526" s="105" t="n"/>
      <c r="G526" s="106" t="n"/>
      <c r="H526" s="106" t="n"/>
      <c r="I526" s="106" t="n"/>
      <c r="J526" s="107" t="n"/>
      <c r="K526" s="105" t="n"/>
      <c r="L526" s="106" t="n"/>
      <c r="M526" s="106" t="n"/>
      <c r="N526" s="106" t="n"/>
      <c r="O526" s="106" t="n"/>
      <c r="P526" s="105" t="n"/>
      <c r="Q526" s="107" t="n"/>
      <c r="R526" s="105" t="n"/>
      <c r="S526" s="107" t="n"/>
      <c r="T526" s="108">
        <f>IFERROR(L526+M526+N526+O526,0)</f>
        <v/>
      </c>
      <c r="U526" s="108">
        <f>IFERROR(H526+IFERROR(I526,0)+T526+IFERROR(AH526,0),0)</f>
        <v/>
      </c>
      <c r="V526" s="256" t="n"/>
      <c r="W526" s="257" t="n"/>
      <c r="X526" s="256" t="n"/>
      <c r="Y526" s="258" t="n"/>
      <c r="Z526" s="259" t="n"/>
      <c r="AA526" s="259" t="n"/>
      <c r="AB526" s="258" t="n"/>
      <c r="AC526" s="256" t="n"/>
      <c r="AD526" s="256" t="n"/>
      <c r="AE526" s="256" t="n"/>
      <c r="AF526" s="256" t="n"/>
      <c r="AG526" s="256" t="n"/>
      <c r="AH526" s="256">
        <f>IFERROR(IFERROR(V526,0)+IFERROR(AC526,0)+IFERROR(AD526,0)+IFERROR(AE526,0)+IFERROR(AF526,0)+IFERROR(AG526,0),0)</f>
        <v/>
      </c>
    </row>
    <row r="527" ht="15" customHeight="1" s="199">
      <c r="A527" s="104" t="n"/>
      <c r="B527" s="104" t="n"/>
      <c r="C527" s="104" t="n"/>
      <c r="D527" s="105" t="n"/>
      <c r="E527" s="105" t="n"/>
      <c r="F527" s="105" t="n"/>
      <c r="G527" s="106" t="n"/>
      <c r="H527" s="106" t="n"/>
      <c r="I527" s="106" t="n"/>
      <c r="J527" s="107" t="n"/>
      <c r="K527" s="105" t="n"/>
      <c r="L527" s="106" t="n"/>
      <c r="M527" s="106" t="n"/>
      <c r="N527" s="106" t="n"/>
      <c r="O527" s="106" t="n"/>
      <c r="P527" s="105" t="n"/>
      <c r="Q527" s="107" t="n"/>
      <c r="R527" s="105" t="n"/>
      <c r="S527" s="107" t="n"/>
      <c r="T527" s="108">
        <f>IFERROR(L527+M527+N527+O527,0)</f>
        <v/>
      </c>
      <c r="U527" s="108">
        <f>IFERROR(H527+IFERROR(I527,0)+T527+IFERROR(AH527,0),0)</f>
        <v/>
      </c>
      <c r="V527" s="256" t="n"/>
      <c r="W527" s="257" t="n"/>
      <c r="X527" s="256" t="n"/>
      <c r="Y527" s="258" t="n"/>
      <c r="Z527" s="259" t="n"/>
      <c r="AA527" s="259" t="n"/>
      <c r="AB527" s="258" t="n"/>
      <c r="AC527" s="256" t="n"/>
      <c r="AD527" s="256" t="n"/>
      <c r="AE527" s="256" t="n"/>
      <c r="AF527" s="256" t="n"/>
      <c r="AG527" s="256" t="n"/>
      <c r="AH527" s="256">
        <f>IFERROR(IFERROR(V527,0)+IFERROR(AC527,0)+IFERROR(AD527,0)+IFERROR(AE527,0)+IFERROR(AF527,0)+IFERROR(AG527,0),0)</f>
        <v/>
      </c>
    </row>
    <row r="528" ht="15" customHeight="1" s="199">
      <c r="A528" s="104" t="n"/>
      <c r="B528" s="104" t="n"/>
      <c r="C528" s="104" t="n"/>
      <c r="D528" s="105" t="n"/>
      <c r="E528" s="105" t="n"/>
      <c r="F528" s="105" t="n"/>
      <c r="G528" s="106" t="n"/>
      <c r="H528" s="106" t="n"/>
      <c r="I528" s="106" t="n"/>
      <c r="J528" s="107" t="n"/>
      <c r="K528" s="105" t="n"/>
      <c r="L528" s="106" t="n"/>
      <c r="M528" s="106" t="n"/>
      <c r="N528" s="106" t="n"/>
      <c r="O528" s="106" t="n"/>
      <c r="P528" s="105" t="n"/>
      <c r="Q528" s="107" t="n"/>
      <c r="R528" s="105" t="n"/>
      <c r="S528" s="107" t="n"/>
      <c r="T528" s="108">
        <f>IFERROR(L528+M528+N528+O528,0)</f>
        <v/>
      </c>
      <c r="U528" s="108">
        <f>IFERROR(H528+IFERROR(I528,0)+T528+IFERROR(AH528,0),0)</f>
        <v/>
      </c>
      <c r="V528" s="256" t="n"/>
      <c r="W528" s="257" t="n"/>
      <c r="X528" s="256" t="n"/>
      <c r="Y528" s="258" t="n"/>
      <c r="Z528" s="259" t="n"/>
      <c r="AA528" s="259" t="n"/>
      <c r="AB528" s="258" t="n"/>
      <c r="AC528" s="256" t="n"/>
      <c r="AD528" s="256" t="n"/>
      <c r="AE528" s="256" t="n"/>
      <c r="AF528" s="256" t="n"/>
      <c r="AG528" s="256" t="n"/>
      <c r="AH528" s="256">
        <f>IFERROR(IFERROR(V528,0)+IFERROR(AC528,0)+IFERROR(AD528,0)+IFERROR(AE528,0)+IFERROR(AF528,0)+IFERROR(AG528,0),0)</f>
        <v/>
      </c>
    </row>
    <row r="529" ht="15" customHeight="1" s="199">
      <c r="A529" s="104" t="n"/>
      <c r="B529" s="104" t="n"/>
      <c r="C529" s="104" t="n"/>
      <c r="D529" s="105" t="n"/>
      <c r="E529" s="105" t="n"/>
      <c r="F529" s="105" t="n"/>
      <c r="G529" s="106" t="n"/>
      <c r="H529" s="106" t="n"/>
      <c r="I529" s="106" t="n"/>
      <c r="J529" s="107" t="n"/>
      <c r="K529" s="105" t="n"/>
      <c r="L529" s="106" t="n"/>
      <c r="M529" s="106" t="n"/>
      <c r="N529" s="106" t="n"/>
      <c r="O529" s="106" t="n"/>
      <c r="P529" s="105" t="n"/>
      <c r="Q529" s="107" t="n"/>
      <c r="R529" s="105" t="n"/>
      <c r="S529" s="107" t="n"/>
      <c r="T529" s="108">
        <f>IFERROR(L529+M529+N529+O529,0)</f>
        <v/>
      </c>
      <c r="U529" s="108">
        <f>IFERROR(H529+IFERROR(I529,0)+T529+IFERROR(AH529,0),0)</f>
        <v/>
      </c>
      <c r="V529" s="256" t="n"/>
      <c r="W529" s="257" t="n"/>
      <c r="X529" s="256" t="n"/>
      <c r="Y529" s="258" t="n"/>
      <c r="Z529" s="259" t="n"/>
      <c r="AA529" s="259" t="n"/>
      <c r="AB529" s="258" t="n"/>
      <c r="AC529" s="256" t="n"/>
      <c r="AD529" s="256" t="n"/>
      <c r="AE529" s="256" t="n"/>
      <c r="AF529" s="256" t="n"/>
      <c r="AG529" s="256" t="n"/>
      <c r="AH529" s="256">
        <f>IFERROR(IFERROR(V529,0)+IFERROR(AC529,0)+IFERROR(AD529,0)+IFERROR(AE529,0)+IFERROR(AF529,0)+IFERROR(AG529,0),0)</f>
        <v/>
      </c>
    </row>
    <row r="530" ht="15" customHeight="1" s="199">
      <c r="A530" s="104" t="n"/>
      <c r="B530" s="104" t="n"/>
      <c r="C530" s="104" t="n"/>
      <c r="D530" s="105" t="n"/>
      <c r="E530" s="105" t="n"/>
      <c r="F530" s="105" t="n"/>
      <c r="G530" s="106" t="n"/>
      <c r="H530" s="106" t="n"/>
      <c r="I530" s="106" t="n"/>
      <c r="J530" s="107" t="n"/>
      <c r="K530" s="105" t="n"/>
      <c r="L530" s="106" t="n"/>
      <c r="M530" s="106" t="n"/>
      <c r="N530" s="106" t="n"/>
      <c r="O530" s="106" t="n"/>
      <c r="P530" s="105" t="n"/>
      <c r="Q530" s="107" t="n"/>
      <c r="R530" s="105" t="n"/>
      <c r="S530" s="107" t="n"/>
      <c r="T530" s="108">
        <f>IFERROR(L530+M530+N530+O530,0)</f>
        <v/>
      </c>
      <c r="U530" s="108">
        <f>IFERROR(H530+IFERROR(I530,0)+T530+IFERROR(AH530,0),0)</f>
        <v/>
      </c>
      <c r="V530" s="256" t="n"/>
      <c r="W530" s="257" t="n"/>
      <c r="X530" s="256" t="n"/>
      <c r="Y530" s="258" t="n"/>
      <c r="Z530" s="259" t="n"/>
      <c r="AA530" s="259" t="n"/>
      <c r="AB530" s="258" t="n"/>
      <c r="AC530" s="256" t="n"/>
      <c r="AD530" s="256" t="n"/>
      <c r="AE530" s="256" t="n"/>
      <c r="AF530" s="256" t="n"/>
      <c r="AG530" s="256" t="n"/>
      <c r="AH530" s="256">
        <f>IFERROR(IFERROR(V530,0)+IFERROR(AC530,0)+IFERROR(AD530,0)+IFERROR(AE530,0)+IFERROR(AF530,0)+IFERROR(AG530,0),0)</f>
        <v/>
      </c>
    </row>
    <row r="531" ht="15" customHeight="1" s="199">
      <c r="A531" s="104" t="n"/>
      <c r="B531" s="104" t="n"/>
      <c r="C531" s="104" t="n"/>
      <c r="D531" s="105" t="n"/>
      <c r="E531" s="105" t="n"/>
      <c r="F531" s="105" t="n"/>
      <c r="G531" s="106" t="n"/>
      <c r="H531" s="106" t="n"/>
      <c r="I531" s="106" t="n"/>
      <c r="J531" s="107" t="n"/>
      <c r="K531" s="105" t="n"/>
      <c r="L531" s="106" t="n"/>
      <c r="M531" s="106" t="n"/>
      <c r="N531" s="106" t="n"/>
      <c r="O531" s="106" t="n"/>
      <c r="P531" s="105" t="n"/>
      <c r="Q531" s="107" t="n"/>
      <c r="R531" s="105" t="n"/>
      <c r="S531" s="107" t="n"/>
      <c r="T531" s="108">
        <f>IFERROR(L531+M531+N531+O531,0)</f>
        <v/>
      </c>
      <c r="U531" s="108">
        <f>IFERROR(H531+IFERROR(I531,0)+T531+IFERROR(AH531,0),0)</f>
        <v/>
      </c>
      <c r="V531" s="256" t="n"/>
      <c r="W531" s="257" t="n"/>
      <c r="X531" s="256" t="n"/>
      <c r="Y531" s="258" t="n"/>
      <c r="Z531" s="259" t="n"/>
      <c r="AA531" s="259" t="n"/>
      <c r="AB531" s="258" t="n"/>
      <c r="AC531" s="256" t="n"/>
      <c r="AD531" s="256" t="n"/>
      <c r="AE531" s="256" t="n"/>
      <c r="AF531" s="256" t="n"/>
      <c r="AG531" s="256" t="n"/>
      <c r="AH531" s="256">
        <f>IFERROR(IFERROR(V531,0)+IFERROR(AC531,0)+IFERROR(AD531,0)+IFERROR(AE531,0)+IFERROR(AF531,0)+IFERROR(AG531,0),0)</f>
        <v/>
      </c>
    </row>
    <row r="532" ht="15" customHeight="1" s="199">
      <c r="A532" s="104" t="n"/>
      <c r="B532" s="104" t="n"/>
      <c r="C532" s="104" t="n"/>
      <c r="D532" s="105" t="n"/>
      <c r="E532" s="105" t="n"/>
      <c r="F532" s="105" t="n"/>
      <c r="G532" s="106" t="n"/>
      <c r="H532" s="106" t="n"/>
      <c r="I532" s="106" t="n"/>
      <c r="J532" s="107" t="n"/>
      <c r="K532" s="105" t="n"/>
      <c r="L532" s="106" t="n"/>
      <c r="M532" s="106" t="n"/>
      <c r="N532" s="106" t="n"/>
      <c r="O532" s="106" t="n"/>
      <c r="P532" s="105" t="n"/>
      <c r="Q532" s="107" t="n"/>
      <c r="R532" s="105" t="n"/>
      <c r="S532" s="107" t="n"/>
      <c r="T532" s="108">
        <f>IFERROR(L532+M532+N532+O532,0)</f>
        <v/>
      </c>
      <c r="U532" s="108">
        <f>IFERROR(H532+IFERROR(I532,0)+T532+IFERROR(AH532,0),0)</f>
        <v/>
      </c>
      <c r="V532" s="256" t="n"/>
      <c r="W532" s="257" t="n"/>
      <c r="X532" s="256" t="n"/>
      <c r="Y532" s="258" t="n"/>
      <c r="Z532" s="259" t="n"/>
      <c r="AA532" s="259" t="n"/>
      <c r="AB532" s="258" t="n"/>
      <c r="AC532" s="256" t="n"/>
      <c r="AD532" s="256" t="n"/>
      <c r="AE532" s="256" t="n"/>
      <c r="AF532" s="256" t="n"/>
      <c r="AG532" s="256" t="n"/>
      <c r="AH532" s="256">
        <f>IFERROR(IFERROR(V532,0)+IFERROR(AC532,0)+IFERROR(AD532,0)+IFERROR(AE532,0)+IFERROR(AF532,0)+IFERROR(AG532,0),0)</f>
        <v/>
      </c>
    </row>
    <row r="533" ht="15" customHeight="1" s="199">
      <c r="A533" s="104" t="n"/>
      <c r="B533" s="104" t="n"/>
      <c r="C533" s="104" t="n"/>
      <c r="D533" s="105" t="n"/>
      <c r="E533" s="105" t="n"/>
      <c r="F533" s="105" t="n"/>
      <c r="G533" s="106" t="n"/>
      <c r="H533" s="106" t="n"/>
      <c r="I533" s="106" t="n"/>
      <c r="J533" s="107" t="n"/>
      <c r="K533" s="105" t="n"/>
      <c r="L533" s="106" t="n"/>
      <c r="M533" s="106" t="n"/>
      <c r="N533" s="106" t="n"/>
      <c r="O533" s="106" t="n"/>
      <c r="P533" s="105" t="n"/>
      <c r="Q533" s="107" t="n"/>
      <c r="R533" s="105" t="n"/>
      <c r="S533" s="107" t="n"/>
      <c r="T533" s="108">
        <f>IFERROR(L533+M533+N533+O533,0)</f>
        <v/>
      </c>
      <c r="U533" s="108">
        <f>IFERROR(H533+IFERROR(I533,0)+T533+IFERROR(AH533,0),0)</f>
        <v/>
      </c>
      <c r="V533" s="256" t="n"/>
      <c r="W533" s="257" t="n"/>
      <c r="X533" s="256" t="n"/>
      <c r="Y533" s="258" t="n"/>
      <c r="Z533" s="259" t="n"/>
      <c r="AA533" s="259" t="n"/>
      <c r="AB533" s="258" t="n"/>
      <c r="AC533" s="256" t="n"/>
      <c r="AD533" s="256" t="n"/>
      <c r="AE533" s="256" t="n"/>
      <c r="AF533" s="256" t="n"/>
      <c r="AG533" s="256" t="n"/>
      <c r="AH533" s="256">
        <f>IFERROR(IFERROR(V533,0)+IFERROR(AC533,0)+IFERROR(AD533,0)+IFERROR(AE533,0)+IFERROR(AF533,0)+IFERROR(AG533,0),0)</f>
        <v/>
      </c>
    </row>
    <row r="534" ht="15" customHeight="1" s="199">
      <c r="A534" s="104" t="n"/>
      <c r="B534" s="104" t="n"/>
      <c r="C534" s="104" t="n"/>
      <c r="D534" s="105" t="n"/>
      <c r="E534" s="105" t="n"/>
      <c r="F534" s="105" t="n"/>
      <c r="G534" s="106" t="n"/>
      <c r="H534" s="106" t="n"/>
      <c r="I534" s="106" t="n"/>
      <c r="J534" s="107" t="n"/>
      <c r="K534" s="105" t="n"/>
      <c r="L534" s="106" t="n"/>
      <c r="M534" s="106" t="n"/>
      <c r="N534" s="106" t="n"/>
      <c r="O534" s="106" t="n"/>
      <c r="P534" s="105" t="n"/>
      <c r="Q534" s="107" t="n"/>
      <c r="R534" s="105" t="n"/>
      <c r="S534" s="107" t="n"/>
      <c r="T534" s="108">
        <f>IFERROR(L534+M534+N534+O534,0)</f>
        <v/>
      </c>
      <c r="U534" s="108">
        <f>IFERROR(H534+IFERROR(I534,0)+T534+IFERROR(AH534,0),0)</f>
        <v/>
      </c>
      <c r="V534" s="256" t="n"/>
      <c r="W534" s="257" t="n"/>
      <c r="X534" s="256" t="n"/>
      <c r="Y534" s="258" t="n"/>
      <c r="Z534" s="259" t="n"/>
      <c r="AA534" s="259" t="n"/>
      <c r="AB534" s="258" t="n"/>
      <c r="AC534" s="256" t="n"/>
      <c r="AD534" s="256" t="n"/>
      <c r="AE534" s="256" t="n"/>
      <c r="AF534" s="256" t="n"/>
      <c r="AG534" s="256" t="n"/>
      <c r="AH534" s="256">
        <f>IFERROR(IFERROR(V534,0)+IFERROR(AC534,0)+IFERROR(AD534,0)+IFERROR(AE534,0)+IFERROR(AF534,0)+IFERROR(AG534,0),0)</f>
        <v/>
      </c>
    </row>
    <row r="535" ht="15" customHeight="1" s="199">
      <c r="A535" s="104" t="n"/>
      <c r="B535" s="104" t="n"/>
      <c r="C535" s="104" t="n"/>
      <c r="D535" s="105" t="n"/>
      <c r="E535" s="105" t="n"/>
      <c r="F535" s="105" t="n"/>
      <c r="G535" s="106" t="n"/>
      <c r="H535" s="106" t="n"/>
      <c r="I535" s="106" t="n"/>
      <c r="J535" s="107" t="n"/>
      <c r="K535" s="105" t="n"/>
      <c r="L535" s="106" t="n"/>
      <c r="M535" s="106" t="n"/>
      <c r="N535" s="106" t="n"/>
      <c r="O535" s="106" t="n"/>
      <c r="P535" s="105" t="n"/>
      <c r="Q535" s="107" t="n"/>
      <c r="R535" s="105" t="n"/>
      <c r="S535" s="107" t="n"/>
      <c r="T535" s="108">
        <f>IFERROR(L535+M535+N535+O535,0)</f>
        <v/>
      </c>
      <c r="U535" s="108">
        <f>IFERROR(H535+IFERROR(I535,0)+T535+IFERROR(AH535,0),0)</f>
        <v/>
      </c>
      <c r="V535" s="256" t="n"/>
      <c r="W535" s="257" t="n"/>
      <c r="X535" s="256" t="n"/>
      <c r="Y535" s="258" t="n"/>
      <c r="Z535" s="259" t="n"/>
      <c r="AA535" s="259" t="n"/>
      <c r="AB535" s="258" t="n"/>
      <c r="AC535" s="256" t="n"/>
      <c r="AD535" s="256" t="n"/>
      <c r="AE535" s="256" t="n"/>
      <c r="AF535" s="256" t="n"/>
      <c r="AG535" s="256" t="n"/>
      <c r="AH535" s="256">
        <f>IFERROR(IFERROR(V535,0)+IFERROR(AC535,0)+IFERROR(AD535,0)+IFERROR(AE535,0)+IFERROR(AF535,0)+IFERROR(AG535,0),0)</f>
        <v/>
      </c>
    </row>
    <row r="536" ht="15" customHeight="1" s="199">
      <c r="A536" s="104" t="n"/>
      <c r="B536" s="104" t="n"/>
      <c r="C536" s="104" t="n"/>
      <c r="D536" s="105" t="n"/>
      <c r="E536" s="105" t="n"/>
      <c r="F536" s="105" t="n"/>
      <c r="G536" s="106" t="n"/>
      <c r="H536" s="106" t="n"/>
      <c r="I536" s="106" t="n"/>
      <c r="J536" s="107" t="n"/>
      <c r="K536" s="105" t="n"/>
      <c r="L536" s="106" t="n"/>
      <c r="M536" s="106" t="n"/>
      <c r="N536" s="106" t="n"/>
      <c r="O536" s="106" t="n"/>
      <c r="P536" s="105" t="n"/>
      <c r="Q536" s="107" t="n"/>
      <c r="R536" s="105" t="n"/>
      <c r="S536" s="107" t="n"/>
      <c r="T536" s="108">
        <f>IFERROR(L536+M536+N536+O536,0)</f>
        <v/>
      </c>
      <c r="U536" s="108">
        <f>IFERROR(H536+IFERROR(I536,0)+T536+IFERROR(AH536,0),0)</f>
        <v/>
      </c>
      <c r="V536" s="256" t="n"/>
      <c r="W536" s="257" t="n"/>
      <c r="X536" s="256" t="n"/>
      <c r="Y536" s="258" t="n"/>
      <c r="Z536" s="259" t="n"/>
      <c r="AA536" s="259" t="n"/>
      <c r="AB536" s="258" t="n"/>
      <c r="AC536" s="256" t="n"/>
      <c r="AD536" s="256" t="n"/>
      <c r="AE536" s="256" t="n"/>
      <c r="AF536" s="256" t="n"/>
      <c r="AG536" s="256" t="n"/>
      <c r="AH536" s="256">
        <f>IFERROR(IFERROR(V536,0)+IFERROR(AC536,0)+IFERROR(AD536,0)+IFERROR(AE536,0)+IFERROR(AF536,0)+IFERROR(AG536,0),0)</f>
        <v/>
      </c>
    </row>
    <row r="537" ht="15" customHeight="1" s="199">
      <c r="A537" s="104" t="n"/>
      <c r="B537" s="104" t="n"/>
      <c r="C537" s="104" t="n"/>
      <c r="D537" s="105" t="n"/>
      <c r="E537" s="105" t="n"/>
      <c r="F537" s="105" t="n"/>
      <c r="G537" s="106" t="n"/>
      <c r="H537" s="106" t="n"/>
      <c r="I537" s="106" t="n"/>
      <c r="J537" s="107" t="n"/>
      <c r="K537" s="105" t="n"/>
      <c r="L537" s="106" t="n"/>
      <c r="M537" s="106" t="n"/>
      <c r="N537" s="106" t="n"/>
      <c r="O537" s="106" t="n"/>
      <c r="P537" s="105" t="n"/>
      <c r="Q537" s="107" t="n"/>
      <c r="R537" s="105" t="n"/>
      <c r="S537" s="107" t="n"/>
      <c r="T537" s="108">
        <f>IFERROR(L537+M537+N537+O537,0)</f>
        <v/>
      </c>
      <c r="U537" s="108">
        <f>IFERROR(H537+IFERROR(I537,0)+T537+IFERROR(AH537,0),0)</f>
        <v/>
      </c>
      <c r="V537" s="256" t="n"/>
      <c r="W537" s="257" t="n"/>
      <c r="X537" s="256" t="n"/>
      <c r="Y537" s="258" t="n"/>
      <c r="Z537" s="259" t="n"/>
      <c r="AA537" s="259" t="n"/>
      <c r="AB537" s="258" t="n"/>
      <c r="AC537" s="256" t="n"/>
      <c r="AD537" s="256" t="n"/>
      <c r="AE537" s="256" t="n"/>
      <c r="AF537" s="256" t="n"/>
      <c r="AG537" s="256" t="n"/>
      <c r="AH537" s="256">
        <f>IFERROR(IFERROR(V537,0)+IFERROR(AC537,0)+IFERROR(AD537,0)+IFERROR(AE537,0)+IFERROR(AF537,0)+IFERROR(AG537,0),0)</f>
        <v/>
      </c>
    </row>
    <row r="538" ht="15" customHeight="1" s="199">
      <c r="A538" s="104" t="n"/>
      <c r="B538" s="104" t="n"/>
      <c r="C538" s="104" t="n"/>
      <c r="D538" s="105" t="n"/>
      <c r="E538" s="105" t="n"/>
      <c r="F538" s="105" t="n"/>
      <c r="G538" s="106" t="n"/>
      <c r="H538" s="106" t="n"/>
      <c r="I538" s="106" t="n"/>
      <c r="J538" s="107" t="n"/>
      <c r="K538" s="105" t="n"/>
      <c r="L538" s="106" t="n"/>
      <c r="M538" s="106" t="n"/>
      <c r="N538" s="106" t="n"/>
      <c r="O538" s="106" t="n"/>
      <c r="P538" s="105" t="n"/>
      <c r="Q538" s="107" t="n"/>
      <c r="R538" s="105" t="n"/>
      <c r="S538" s="107" t="n"/>
      <c r="T538" s="108">
        <f>IFERROR(L538+M538+N538+O538,0)</f>
        <v/>
      </c>
      <c r="U538" s="108">
        <f>IFERROR(H538+IFERROR(I538,0)+T538+IFERROR(AH538,0),0)</f>
        <v/>
      </c>
      <c r="V538" s="256" t="n"/>
      <c r="W538" s="257" t="n"/>
      <c r="X538" s="256" t="n"/>
      <c r="Y538" s="258" t="n"/>
      <c r="Z538" s="259" t="n"/>
      <c r="AA538" s="259" t="n"/>
      <c r="AB538" s="258" t="n"/>
      <c r="AC538" s="256" t="n"/>
      <c r="AD538" s="256" t="n"/>
      <c r="AE538" s="256" t="n"/>
      <c r="AF538" s="256" t="n"/>
      <c r="AG538" s="256" t="n"/>
      <c r="AH538" s="256">
        <f>IFERROR(IFERROR(V538,0)+IFERROR(AC538,0)+IFERROR(AD538,0)+IFERROR(AE538,0)+IFERROR(AF538,0)+IFERROR(AG538,0),0)</f>
        <v/>
      </c>
    </row>
    <row r="539" ht="15" customHeight="1" s="199">
      <c r="A539" s="104" t="n"/>
      <c r="B539" s="104" t="n"/>
      <c r="C539" s="104" t="n"/>
      <c r="D539" s="105" t="n"/>
      <c r="E539" s="105" t="n"/>
      <c r="F539" s="105" t="n"/>
      <c r="G539" s="106" t="n"/>
      <c r="H539" s="106" t="n"/>
      <c r="I539" s="106" t="n"/>
      <c r="J539" s="107" t="n"/>
      <c r="K539" s="105" t="n"/>
      <c r="L539" s="106" t="n"/>
      <c r="M539" s="106" t="n"/>
      <c r="N539" s="106" t="n"/>
      <c r="O539" s="106" t="n"/>
      <c r="P539" s="105" t="n"/>
      <c r="Q539" s="107" t="n"/>
      <c r="R539" s="105" t="n"/>
      <c r="S539" s="107" t="n"/>
      <c r="T539" s="108">
        <f>IFERROR(L539+M539+N539+O539,0)</f>
        <v/>
      </c>
      <c r="U539" s="108">
        <f>IFERROR(H539+IFERROR(I539,0)+T539+IFERROR(AH539,0),0)</f>
        <v/>
      </c>
      <c r="V539" s="256" t="n"/>
      <c r="W539" s="257" t="n"/>
      <c r="X539" s="256" t="n"/>
      <c r="Y539" s="258" t="n"/>
      <c r="Z539" s="259" t="n"/>
      <c r="AA539" s="259" t="n"/>
      <c r="AB539" s="258" t="n"/>
      <c r="AC539" s="256" t="n"/>
      <c r="AD539" s="256" t="n"/>
      <c r="AE539" s="256" t="n"/>
      <c r="AF539" s="256" t="n"/>
      <c r="AG539" s="256" t="n"/>
      <c r="AH539" s="256">
        <f>IFERROR(IFERROR(V539,0)+IFERROR(AC539,0)+IFERROR(AD539,0)+IFERROR(AE539,0)+IFERROR(AF539,0)+IFERROR(AG539,0),0)</f>
        <v/>
      </c>
    </row>
    <row r="540" ht="15" customHeight="1" s="199">
      <c r="A540" s="104" t="n"/>
      <c r="B540" s="104" t="n"/>
      <c r="C540" s="104" t="n"/>
      <c r="D540" s="105" t="n"/>
      <c r="E540" s="105" t="n"/>
      <c r="F540" s="105" t="n"/>
      <c r="G540" s="106" t="n"/>
      <c r="H540" s="106" t="n"/>
      <c r="I540" s="106" t="n"/>
      <c r="J540" s="107" t="n"/>
      <c r="K540" s="105" t="n"/>
      <c r="L540" s="106" t="n"/>
      <c r="M540" s="106" t="n"/>
      <c r="N540" s="106" t="n"/>
      <c r="O540" s="106" t="n"/>
      <c r="P540" s="105" t="n"/>
      <c r="Q540" s="107" t="n"/>
      <c r="R540" s="105" t="n"/>
      <c r="S540" s="107" t="n"/>
      <c r="T540" s="108">
        <f>IFERROR(L540+M540+N540+O540,0)</f>
        <v/>
      </c>
      <c r="U540" s="108">
        <f>IFERROR(H540+IFERROR(I540,0)+T540+IFERROR(AH540,0),0)</f>
        <v/>
      </c>
      <c r="V540" s="256" t="n"/>
      <c r="W540" s="257" t="n"/>
      <c r="X540" s="256" t="n"/>
      <c r="Y540" s="258" t="n"/>
      <c r="Z540" s="259" t="n"/>
      <c r="AA540" s="259" t="n"/>
      <c r="AB540" s="258" t="n"/>
      <c r="AC540" s="256" t="n"/>
      <c r="AD540" s="256" t="n"/>
      <c r="AE540" s="256" t="n"/>
      <c r="AF540" s="256" t="n"/>
      <c r="AG540" s="256" t="n"/>
      <c r="AH540" s="256">
        <f>IFERROR(IFERROR(V540,0)+IFERROR(AC540,0)+IFERROR(AD540,0)+IFERROR(AE540,0)+IFERROR(AF540,0)+IFERROR(AG540,0),0)</f>
        <v/>
      </c>
    </row>
    <row r="541" ht="15" customHeight="1" s="199">
      <c r="A541" s="104" t="n"/>
      <c r="B541" s="104" t="n"/>
      <c r="C541" s="104" t="n"/>
      <c r="D541" s="105" t="n"/>
      <c r="E541" s="105" t="n"/>
      <c r="F541" s="105" t="n"/>
      <c r="G541" s="106" t="n"/>
      <c r="H541" s="106" t="n"/>
      <c r="I541" s="106" t="n"/>
      <c r="J541" s="107" t="n"/>
      <c r="K541" s="105" t="n"/>
      <c r="L541" s="106" t="n"/>
      <c r="M541" s="106" t="n"/>
      <c r="N541" s="106" t="n"/>
      <c r="O541" s="106" t="n"/>
      <c r="P541" s="105" t="n"/>
      <c r="Q541" s="107" t="n"/>
      <c r="R541" s="105" t="n"/>
      <c r="S541" s="107" t="n"/>
      <c r="T541" s="108">
        <f>IFERROR(L541+M541+N541+O541,0)</f>
        <v/>
      </c>
      <c r="U541" s="108">
        <f>IFERROR(H541+IFERROR(I541,0)+T541+IFERROR(AH541,0),0)</f>
        <v/>
      </c>
      <c r="V541" s="256" t="n"/>
      <c r="W541" s="257" t="n"/>
      <c r="X541" s="256" t="n"/>
      <c r="Y541" s="258" t="n"/>
      <c r="Z541" s="259" t="n"/>
      <c r="AA541" s="259" t="n"/>
      <c r="AB541" s="258" t="n"/>
      <c r="AC541" s="256" t="n"/>
      <c r="AD541" s="256" t="n"/>
      <c r="AE541" s="256" t="n"/>
      <c r="AF541" s="256" t="n"/>
      <c r="AG541" s="256" t="n"/>
      <c r="AH541" s="256">
        <f>IFERROR(IFERROR(V541,0)+IFERROR(AC541,0)+IFERROR(AD541,0)+IFERROR(AE541,0)+IFERROR(AF541,0)+IFERROR(AG541,0),0)</f>
        <v/>
      </c>
    </row>
    <row r="542" ht="15" customHeight="1" s="199">
      <c r="A542" s="104" t="n"/>
      <c r="B542" s="104" t="n"/>
      <c r="C542" s="104" t="n"/>
      <c r="D542" s="105" t="n"/>
      <c r="E542" s="105" t="n"/>
      <c r="F542" s="105" t="n"/>
      <c r="G542" s="106" t="n"/>
      <c r="H542" s="106" t="n"/>
      <c r="I542" s="106" t="n"/>
      <c r="J542" s="107" t="n"/>
      <c r="K542" s="105" t="n"/>
      <c r="L542" s="106" t="n"/>
      <c r="M542" s="106" t="n"/>
      <c r="N542" s="106" t="n"/>
      <c r="O542" s="106" t="n"/>
      <c r="P542" s="105" t="n"/>
      <c r="Q542" s="107" t="n"/>
      <c r="R542" s="105" t="n"/>
      <c r="S542" s="107" t="n"/>
      <c r="T542" s="108">
        <f>IFERROR(L542+M542+N542+O542,0)</f>
        <v/>
      </c>
      <c r="U542" s="108">
        <f>IFERROR(H542+IFERROR(I542,0)+T542+IFERROR(AH542,0),0)</f>
        <v/>
      </c>
      <c r="V542" s="256" t="n"/>
      <c r="W542" s="257" t="n"/>
      <c r="X542" s="256" t="n"/>
      <c r="Y542" s="258" t="n"/>
      <c r="Z542" s="259" t="n"/>
      <c r="AA542" s="259" t="n"/>
      <c r="AB542" s="258" t="n"/>
      <c r="AC542" s="256" t="n"/>
      <c r="AD542" s="256" t="n"/>
      <c r="AE542" s="256" t="n"/>
      <c r="AF542" s="256" t="n"/>
      <c r="AG542" s="256" t="n"/>
      <c r="AH542" s="256">
        <f>IFERROR(IFERROR(V542,0)+IFERROR(AC542,0)+IFERROR(AD542,0)+IFERROR(AE542,0)+IFERROR(AF542,0)+IFERROR(AG542,0),0)</f>
        <v/>
      </c>
    </row>
    <row r="543" ht="15" customHeight="1" s="199">
      <c r="A543" s="104" t="n"/>
      <c r="B543" s="104" t="n"/>
      <c r="C543" s="104" t="n"/>
      <c r="D543" s="105" t="n"/>
      <c r="E543" s="105" t="n"/>
      <c r="F543" s="105" t="n"/>
      <c r="G543" s="106" t="n"/>
      <c r="H543" s="106" t="n"/>
      <c r="I543" s="106" t="n"/>
      <c r="J543" s="107" t="n"/>
      <c r="K543" s="105" t="n"/>
      <c r="L543" s="106" t="n"/>
      <c r="M543" s="106" t="n"/>
      <c r="N543" s="106" t="n"/>
      <c r="O543" s="106" t="n"/>
      <c r="P543" s="105" t="n"/>
      <c r="Q543" s="107" t="n"/>
      <c r="R543" s="105" t="n"/>
      <c r="S543" s="107" t="n"/>
      <c r="T543" s="108">
        <f>IFERROR(L543+M543+N543+O543,0)</f>
        <v/>
      </c>
      <c r="U543" s="108">
        <f>IFERROR(H543+IFERROR(I543,0)+T543+IFERROR(AH543,0),0)</f>
        <v/>
      </c>
      <c r="V543" s="256" t="n"/>
      <c r="W543" s="257" t="n"/>
      <c r="X543" s="256" t="n"/>
      <c r="Y543" s="258" t="n"/>
      <c r="Z543" s="259" t="n"/>
      <c r="AA543" s="259" t="n"/>
      <c r="AB543" s="258" t="n"/>
      <c r="AC543" s="256" t="n"/>
      <c r="AD543" s="256" t="n"/>
      <c r="AE543" s="256" t="n"/>
      <c r="AF543" s="256" t="n"/>
      <c r="AG543" s="256" t="n"/>
      <c r="AH543" s="256">
        <f>IFERROR(IFERROR(V543,0)+IFERROR(AC543,0)+IFERROR(AD543,0)+IFERROR(AE543,0)+IFERROR(AF543,0)+IFERROR(AG543,0),0)</f>
        <v/>
      </c>
    </row>
    <row r="544" ht="15" customHeight="1" s="199">
      <c r="A544" s="104" t="n"/>
      <c r="B544" s="104" t="n"/>
      <c r="C544" s="104" t="n"/>
      <c r="D544" s="105" t="n"/>
      <c r="E544" s="105" t="n"/>
      <c r="F544" s="105" t="n"/>
      <c r="G544" s="106" t="n"/>
      <c r="H544" s="106" t="n"/>
      <c r="I544" s="106" t="n"/>
      <c r="J544" s="107" t="n"/>
      <c r="K544" s="105" t="n"/>
      <c r="L544" s="106" t="n"/>
      <c r="M544" s="106" t="n"/>
      <c r="N544" s="106" t="n"/>
      <c r="O544" s="106" t="n"/>
      <c r="P544" s="105" t="n"/>
      <c r="Q544" s="107" t="n"/>
      <c r="R544" s="105" t="n"/>
      <c r="S544" s="107" t="n"/>
      <c r="T544" s="108">
        <f>IFERROR(L544+M544+N544+O544,0)</f>
        <v/>
      </c>
      <c r="U544" s="108">
        <f>IFERROR(H544+IFERROR(I544,0)+T544+IFERROR(AH544,0),0)</f>
        <v/>
      </c>
      <c r="V544" s="256" t="n"/>
      <c r="W544" s="257" t="n"/>
      <c r="X544" s="256" t="n"/>
      <c r="Y544" s="258" t="n"/>
      <c r="Z544" s="259" t="n"/>
      <c r="AA544" s="259" t="n"/>
      <c r="AB544" s="258" t="n"/>
      <c r="AC544" s="256" t="n"/>
      <c r="AD544" s="256" t="n"/>
      <c r="AE544" s="256" t="n"/>
      <c r="AF544" s="256" t="n"/>
      <c r="AG544" s="256" t="n"/>
      <c r="AH544" s="256">
        <f>IFERROR(IFERROR(V544,0)+IFERROR(AC544,0)+IFERROR(AD544,0)+IFERROR(AE544,0)+IFERROR(AF544,0)+IFERROR(AG544,0),0)</f>
        <v/>
      </c>
    </row>
    <row r="545" ht="15" customHeight="1" s="199">
      <c r="A545" s="104" t="n"/>
      <c r="B545" s="104" t="n"/>
      <c r="C545" s="104" t="n"/>
      <c r="D545" s="105" t="n"/>
      <c r="E545" s="105" t="n"/>
      <c r="F545" s="105" t="n"/>
      <c r="G545" s="106" t="n"/>
      <c r="H545" s="106" t="n"/>
      <c r="I545" s="106" t="n"/>
      <c r="J545" s="107" t="n"/>
      <c r="K545" s="105" t="n"/>
      <c r="L545" s="106" t="n"/>
      <c r="M545" s="106" t="n"/>
      <c r="N545" s="106" t="n"/>
      <c r="O545" s="106" t="n"/>
      <c r="P545" s="105" t="n"/>
      <c r="Q545" s="107" t="n"/>
      <c r="R545" s="105" t="n"/>
      <c r="S545" s="107" t="n"/>
      <c r="T545" s="108">
        <f>IFERROR(L545+M545+N545+O545,0)</f>
        <v/>
      </c>
      <c r="U545" s="108">
        <f>IFERROR(H545+IFERROR(I545,0)+T545+IFERROR(AH545,0),0)</f>
        <v/>
      </c>
      <c r="V545" s="256" t="n"/>
      <c r="W545" s="257" t="n"/>
      <c r="X545" s="256" t="n"/>
      <c r="Y545" s="258" t="n"/>
      <c r="Z545" s="259" t="n"/>
      <c r="AA545" s="259" t="n"/>
      <c r="AB545" s="258" t="n"/>
      <c r="AC545" s="256" t="n"/>
      <c r="AD545" s="256" t="n"/>
      <c r="AE545" s="256" t="n"/>
      <c r="AF545" s="256" t="n"/>
      <c r="AG545" s="256" t="n"/>
      <c r="AH545" s="256">
        <f>IFERROR(IFERROR(V545,0)+IFERROR(AC545,0)+IFERROR(AD545,0)+IFERROR(AE545,0)+IFERROR(AF545,0)+IFERROR(AG545,0),0)</f>
        <v/>
      </c>
    </row>
    <row r="546" ht="15" customHeight="1" s="199">
      <c r="A546" s="104" t="n"/>
      <c r="B546" s="104" t="n"/>
      <c r="C546" s="104" t="n"/>
      <c r="D546" s="105" t="n"/>
      <c r="E546" s="105" t="n"/>
      <c r="F546" s="105" t="n"/>
      <c r="G546" s="106" t="n"/>
      <c r="H546" s="106" t="n"/>
      <c r="I546" s="106" t="n"/>
      <c r="J546" s="107" t="n"/>
      <c r="K546" s="105" t="n"/>
      <c r="L546" s="106" t="n"/>
      <c r="M546" s="106" t="n"/>
      <c r="N546" s="106" t="n"/>
      <c r="O546" s="106" t="n"/>
      <c r="P546" s="105" t="n"/>
      <c r="Q546" s="107" t="n"/>
      <c r="R546" s="105" t="n"/>
      <c r="S546" s="107" t="n"/>
      <c r="T546" s="108">
        <f>IFERROR(L546+M546+N546+O546,0)</f>
        <v/>
      </c>
      <c r="U546" s="108">
        <f>IFERROR(H546+IFERROR(I546,0)+T546+IFERROR(AH546,0),0)</f>
        <v/>
      </c>
      <c r="V546" s="256" t="n"/>
      <c r="W546" s="257" t="n"/>
      <c r="X546" s="256" t="n"/>
      <c r="Y546" s="258" t="n"/>
      <c r="Z546" s="259" t="n"/>
      <c r="AA546" s="259" t="n"/>
      <c r="AB546" s="258" t="n"/>
      <c r="AC546" s="256" t="n"/>
      <c r="AD546" s="256" t="n"/>
      <c r="AE546" s="256" t="n"/>
      <c r="AF546" s="256" t="n"/>
      <c r="AG546" s="256" t="n"/>
      <c r="AH546" s="256">
        <f>IFERROR(IFERROR(V546,0)+IFERROR(AC546,0)+IFERROR(AD546,0)+IFERROR(AE546,0)+IFERROR(AF546,0)+IFERROR(AG546,0),0)</f>
        <v/>
      </c>
    </row>
    <row r="547" ht="15" customHeight="1" s="199">
      <c r="A547" s="104" t="n"/>
      <c r="B547" s="104" t="n"/>
      <c r="C547" s="104" t="n"/>
      <c r="D547" s="105" t="n"/>
      <c r="E547" s="105" t="n"/>
      <c r="F547" s="105" t="n"/>
      <c r="G547" s="106" t="n"/>
      <c r="H547" s="106" t="n"/>
      <c r="I547" s="106" t="n"/>
      <c r="J547" s="107" t="n"/>
      <c r="K547" s="105" t="n"/>
      <c r="L547" s="106" t="n"/>
      <c r="M547" s="106" t="n"/>
      <c r="N547" s="106" t="n"/>
      <c r="O547" s="106" t="n"/>
      <c r="P547" s="105" t="n"/>
      <c r="Q547" s="107" t="n"/>
      <c r="R547" s="105" t="n"/>
      <c r="S547" s="107" t="n"/>
      <c r="T547" s="108">
        <f>IFERROR(L547+M547+N547+O547,0)</f>
        <v/>
      </c>
      <c r="U547" s="108">
        <f>IFERROR(H547+IFERROR(I547,0)+T547+IFERROR(AH547,0),0)</f>
        <v/>
      </c>
      <c r="V547" s="256" t="n"/>
      <c r="W547" s="257" t="n"/>
      <c r="X547" s="256" t="n"/>
      <c r="Y547" s="258" t="n"/>
      <c r="Z547" s="259" t="n"/>
      <c r="AA547" s="259" t="n"/>
      <c r="AB547" s="258" t="n"/>
      <c r="AC547" s="256" t="n"/>
      <c r="AD547" s="256" t="n"/>
      <c r="AE547" s="256" t="n"/>
      <c r="AF547" s="256" t="n"/>
      <c r="AG547" s="256" t="n"/>
      <c r="AH547" s="256">
        <f>IFERROR(IFERROR(V547,0)+IFERROR(AC547,0)+IFERROR(AD547,0)+IFERROR(AE547,0)+IFERROR(AF547,0)+IFERROR(AG547,0),0)</f>
        <v/>
      </c>
    </row>
    <row r="548" ht="15" customHeight="1" s="199">
      <c r="A548" s="104" t="n"/>
      <c r="B548" s="104" t="n"/>
      <c r="C548" s="104" t="n"/>
      <c r="D548" s="105" t="n"/>
      <c r="E548" s="105" t="n"/>
      <c r="F548" s="105" t="n"/>
      <c r="G548" s="106" t="n"/>
      <c r="H548" s="106" t="n"/>
      <c r="I548" s="106" t="n"/>
      <c r="J548" s="107" t="n"/>
      <c r="K548" s="105" t="n"/>
      <c r="L548" s="106" t="n"/>
      <c r="M548" s="106" t="n"/>
      <c r="N548" s="106" t="n"/>
      <c r="O548" s="106" t="n"/>
      <c r="P548" s="105" t="n"/>
      <c r="Q548" s="107" t="n"/>
      <c r="R548" s="105" t="n"/>
      <c r="S548" s="107" t="n"/>
      <c r="T548" s="108">
        <f>IFERROR(L548+M548+N548+O548,0)</f>
        <v/>
      </c>
      <c r="U548" s="108">
        <f>IFERROR(H548+IFERROR(I548,0)+T548+IFERROR(AH548,0),0)</f>
        <v/>
      </c>
      <c r="V548" s="256" t="n"/>
      <c r="W548" s="257" t="n"/>
      <c r="X548" s="256" t="n"/>
      <c r="Y548" s="258" t="n"/>
      <c r="Z548" s="259" t="n"/>
      <c r="AA548" s="259" t="n"/>
      <c r="AB548" s="258" t="n"/>
      <c r="AC548" s="256" t="n"/>
      <c r="AD548" s="256" t="n"/>
      <c r="AE548" s="256" t="n"/>
      <c r="AF548" s="256" t="n"/>
      <c r="AG548" s="256" t="n"/>
      <c r="AH548" s="256">
        <f>IFERROR(IFERROR(V548,0)+IFERROR(AC548,0)+IFERROR(AD548,0)+IFERROR(AE548,0)+IFERROR(AF548,0)+IFERROR(AG548,0),0)</f>
        <v/>
      </c>
    </row>
    <row r="549" ht="15" customHeight="1" s="199">
      <c r="A549" s="104" t="n"/>
      <c r="B549" s="104" t="n"/>
      <c r="C549" s="104" t="n"/>
      <c r="D549" s="105" t="n"/>
      <c r="E549" s="105" t="n"/>
      <c r="F549" s="105" t="n"/>
      <c r="G549" s="106" t="n"/>
      <c r="H549" s="106" t="n"/>
      <c r="I549" s="106" t="n"/>
      <c r="J549" s="107" t="n"/>
      <c r="K549" s="105" t="n"/>
      <c r="L549" s="106" t="n"/>
      <c r="M549" s="106" t="n"/>
      <c r="N549" s="106" t="n"/>
      <c r="O549" s="106" t="n"/>
      <c r="P549" s="105" t="n"/>
      <c r="Q549" s="107" t="n"/>
      <c r="R549" s="105" t="n"/>
      <c r="S549" s="107" t="n"/>
      <c r="T549" s="108">
        <f>IFERROR(L549+M549+N549+O549,0)</f>
        <v/>
      </c>
      <c r="U549" s="108">
        <f>IFERROR(H549+IFERROR(I549,0)+T549+IFERROR(AH549,0),0)</f>
        <v/>
      </c>
      <c r="V549" s="256" t="n"/>
      <c r="W549" s="257" t="n"/>
      <c r="X549" s="256" t="n"/>
      <c r="Y549" s="258" t="n"/>
      <c r="Z549" s="259" t="n"/>
      <c r="AA549" s="259" t="n"/>
      <c r="AB549" s="258" t="n"/>
      <c r="AC549" s="256" t="n"/>
      <c r="AD549" s="256" t="n"/>
      <c r="AE549" s="256" t="n"/>
      <c r="AF549" s="256" t="n"/>
      <c r="AG549" s="256" t="n"/>
      <c r="AH549" s="256">
        <f>IFERROR(IFERROR(V549,0)+IFERROR(AC549,0)+IFERROR(AD549,0)+IFERROR(AE549,0)+IFERROR(AF549,0)+IFERROR(AG549,0),0)</f>
        <v/>
      </c>
    </row>
    <row r="550" ht="15" customHeight="1" s="199">
      <c r="A550" s="104" t="n"/>
      <c r="B550" s="104" t="n"/>
      <c r="C550" s="104" t="n"/>
      <c r="D550" s="105" t="n"/>
      <c r="E550" s="105" t="n"/>
      <c r="F550" s="105" t="n"/>
      <c r="G550" s="106" t="n"/>
      <c r="H550" s="106" t="n"/>
      <c r="I550" s="106" t="n"/>
      <c r="J550" s="107" t="n"/>
      <c r="K550" s="105" t="n"/>
      <c r="L550" s="106" t="n"/>
      <c r="M550" s="106" t="n"/>
      <c r="N550" s="106" t="n"/>
      <c r="O550" s="106" t="n"/>
      <c r="P550" s="105" t="n"/>
      <c r="Q550" s="107" t="n"/>
      <c r="R550" s="105" t="n"/>
      <c r="S550" s="107" t="n"/>
      <c r="T550" s="108">
        <f>IFERROR(L550+M550+N550+O550,0)</f>
        <v/>
      </c>
      <c r="U550" s="108">
        <f>IFERROR(H550+IFERROR(I550,0)+T550+IFERROR(AH550,0),0)</f>
        <v/>
      </c>
      <c r="V550" s="256" t="n"/>
      <c r="W550" s="257" t="n"/>
      <c r="X550" s="256" t="n"/>
      <c r="Y550" s="258" t="n"/>
      <c r="Z550" s="259" t="n"/>
      <c r="AA550" s="259" t="n"/>
      <c r="AB550" s="258" t="n"/>
      <c r="AC550" s="256" t="n"/>
      <c r="AD550" s="256" t="n"/>
      <c r="AE550" s="256" t="n"/>
      <c r="AF550" s="256" t="n"/>
      <c r="AG550" s="256" t="n"/>
      <c r="AH550" s="256">
        <f>IFERROR(IFERROR(V550,0)+IFERROR(AC550,0)+IFERROR(AD550,0)+IFERROR(AE550,0)+IFERROR(AF550,0)+IFERROR(AG550,0),0)</f>
        <v/>
      </c>
    </row>
    <row r="551" ht="15" customHeight="1" s="199">
      <c r="A551" s="104" t="n"/>
      <c r="B551" s="104" t="n"/>
      <c r="C551" s="104" t="n"/>
      <c r="D551" s="105" t="n"/>
      <c r="E551" s="105" t="n"/>
      <c r="F551" s="105" t="n"/>
      <c r="G551" s="106" t="n"/>
      <c r="H551" s="106" t="n"/>
      <c r="I551" s="106" t="n"/>
      <c r="J551" s="107" t="n"/>
      <c r="K551" s="105" t="n"/>
      <c r="L551" s="106" t="n"/>
      <c r="M551" s="106" t="n"/>
      <c r="N551" s="106" t="n"/>
      <c r="O551" s="106" t="n"/>
      <c r="P551" s="105" t="n"/>
      <c r="Q551" s="107" t="n"/>
      <c r="R551" s="105" t="n"/>
      <c r="S551" s="107" t="n"/>
      <c r="T551" s="108">
        <f>IFERROR(L551+M551+N551+O551,0)</f>
        <v/>
      </c>
      <c r="U551" s="108">
        <f>IFERROR(H551+IFERROR(I551,0)+T551+IFERROR(AH551,0),0)</f>
        <v/>
      </c>
      <c r="V551" s="256" t="n"/>
      <c r="W551" s="257" t="n"/>
      <c r="X551" s="256" t="n"/>
      <c r="Y551" s="258" t="n"/>
      <c r="Z551" s="259" t="n"/>
      <c r="AA551" s="259" t="n"/>
      <c r="AB551" s="258" t="n"/>
      <c r="AC551" s="256" t="n"/>
      <c r="AD551" s="256" t="n"/>
      <c r="AE551" s="256" t="n"/>
      <c r="AF551" s="256" t="n"/>
      <c r="AG551" s="256" t="n"/>
      <c r="AH551" s="256">
        <f>IFERROR(IFERROR(V551,0)+IFERROR(AC551,0)+IFERROR(AD551,0)+IFERROR(AE551,0)+IFERROR(AF551,0)+IFERROR(AG551,0),0)</f>
        <v/>
      </c>
    </row>
    <row r="552" ht="15" customHeight="1" s="199">
      <c r="A552" s="104" t="n"/>
      <c r="B552" s="104" t="n"/>
      <c r="C552" s="104" t="n"/>
      <c r="D552" s="105" t="n"/>
      <c r="E552" s="105" t="n"/>
      <c r="F552" s="105" t="n"/>
      <c r="G552" s="106" t="n"/>
      <c r="H552" s="106" t="n"/>
      <c r="I552" s="106" t="n"/>
      <c r="J552" s="107" t="n"/>
      <c r="K552" s="105" t="n"/>
      <c r="L552" s="106" t="n"/>
      <c r="M552" s="106" t="n"/>
      <c r="N552" s="106" t="n"/>
      <c r="O552" s="106" t="n"/>
      <c r="P552" s="105" t="n"/>
      <c r="Q552" s="107" t="n"/>
      <c r="R552" s="105" t="n"/>
      <c r="S552" s="107" t="n"/>
      <c r="T552" s="108">
        <f>IFERROR(L552+M552+N552+O552,0)</f>
        <v/>
      </c>
      <c r="U552" s="108">
        <f>IFERROR(H552+IFERROR(I552,0)+T552+IFERROR(AH552,0),0)</f>
        <v/>
      </c>
      <c r="V552" s="256" t="n"/>
      <c r="W552" s="257" t="n"/>
      <c r="X552" s="256" t="n"/>
      <c r="Y552" s="258" t="n"/>
      <c r="Z552" s="259" t="n"/>
      <c r="AA552" s="259" t="n"/>
      <c r="AB552" s="258" t="n"/>
      <c r="AC552" s="256" t="n"/>
      <c r="AD552" s="256" t="n"/>
      <c r="AE552" s="256" t="n"/>
      <c r="AF552" s="256" t="n"/>
      <c r="AG552" s="256" t="n"/>
      <c r="AH552" s="256">
        <f>IFERROR(IFERROR(V552,0)+IFERROR(AC552,0)+IFERROR(AD552,0)+IFERROR(AE552,0)+IFERROR(AF552,0)+IFERROR(AG552,0),0)</f>
        <v/>
      </c>
    </row>
    <row r="553" ht="15" customHeight="1" s="199">
      <c r="A553" s="104" t="n"/>
      <c r="B553" s="104" t="n"/>
      <c r="C553" s="104" t="n"/>
      <c r="D553" s="105" t="n"/>
      <c r="E553" s="105" t="n"/>
      <c r="F553" s="105" t="n"/>
      <c r="G553" s="106" t="n"/>
      <c r="H553" s="106" t="n"/>
      <c r="I553" s="106" t="n"/>
      <c r="J553" s="107" t="n"/>
      <c r="K553" s="105" t="n"/>
      <c r="L553" s="106" t="n"/>
      <c r="M553" s="106" t="n"/>
      <c r="N553" s="106" t="n"/>
      <c r="O553" s="106" t="n"/>
      <c r="P553" s="105" t="n"/>
      <c r="Q553" s="107" t="n"/>
      <c r="R553" s="105" t="n"/>
      <c r="S553" s="107" t="n"/>
      <c r="T553" s="108">
        <f>IFERROR(L553+M553+N553+O553,0)</f>
        <v/>
      </c>
      <c r="U553" s="108">
        <f>IFERROR(H553+IFERROR(I553,0)+T553+IFERROR(AH553,0),0)</f>
        <v/>
      </c>
      <c r="V553" s="256" t="n"/>
      <c r="W553" s="257" t="n"/>
      <c r="X553" s="256" t="n"/>
      <c r="Y553" s="258" t="n"/>
      <c r="Z553" s="259" t="n"/>
      <c r="AA553" s="259" t="n"/>
      <c r="AB553" s="258" t="n"/>
      <c r="AC553" s="256" t="n"/>
      <c r="AD553" s="256" t="n"/>
      <c r="AE553" s="256" t="n"/>
      <c r="AF553" s="256" t="n"/>
      <c r="AG553" s="256" t="n"/>
      <c r="AH553" s="256">
        <f>IFERROR(IFERROR(V553,0)+IFERROR(AC553,0)+IFERROR(AD553,0)+IFERROR(AE553,0)+IFERROR(AF553,0)+IFERROR(AG553,0),0)</f>
        <v/>
      </c>
    </row>
    <row r="554" ht="15" customHeight="1" s="199">
      <c r="A554" s="104" t="n"/>
      <c r="B554" s="104" t="n"/>
      <c r="C554" s="104" t="n"/>
      <c r="D554" s="105" t="n"/>
      <c r="E554" s="105" t="n"/>
      <c r="F554" s="105" t="n"/>
      <c r="G554" s="106" t="n"/>
      <c r="H554" s="106" t="n"/>
      <c r="I554" s="106" t="n"/>
      <c r="J554" s="107" t="n"/>
      <c r="K554" s="105" t="n"/>
      <c r="L554" s="106" t="n"/>
      <c r="M554" s="106" t="n"/>
      <c r="N554" s="106" t="n"/>
      <c r="O554" s="106" t="n"/>
      <c r="P554" s="105" t="n"/>
      <c r="Q554" s="107" t="n"/>
      <c r="R554" s="105" t="n"/>
      <c r="S554" s="107" t="n"/>
      <c r="T554" s="108">
        <f>IFERROR(L554+M554+N554+O554,0)</f>
        <v/>
      </c>
      <c r="U554" s="108">
        <f>IFERROR(H554+IFERROR(I554,0)+T554+IFERROR(AH554,0),0)</f>
        <v/>
      </c>
      <c r="V554" s="256" t="n"/>
      <c r="W554" s="257" t="n"/>
      <c r="X554" s="256" t="n"/>
      <c r="Y554" s="258" t="n"/>
      <c r="Z554" s="259" t="n"/>
      <c r="AA554" s="259" t="n"/>
      <c r="AB554" s="258" t="n"/>
      <c r="AC554" s="256" t="n"/>
      <c r="AD554" s="256" t="n"/>
      <c r="AE554" s="256" t="n"/>
      <c r="AF554" s="256" t="n"/>
      <c r="AG554" s="256" t="n"/>
      <c r="AH554" s="256">
        <f>IFERROR(IFERROR(V554,0)+IFERROR(AC554,0)+IFERROR(AD554,0)+IFERROR(AE554,0)+IFERROR(AF554,0)+IFERROR(AG554,0),0)</f>
        <v/>
      </c>
    </row>
    <row r="555" ht="15" customHeight="1" s="199">
      <c r="A555" s="104" t="n"/>
      <c r="B555" s="104" t="n"/>
      <c r="C555" s="104" t="n"/>
      <c r="D555" s="105" t="n"/>
      <c r="E555" s="105" t="n"/>
      <c r="F555" s="105" t="n"/>
      <c r="G555" s="106" t="n"/>
      <c r="H555" s="106" t="n"/>
      <c r="I555" s="106" t="n"/>
      <c r="J555" s="107" t="n"/>
      <c r="K555" s="105" t="n"/>
      <c r="L555" s="106" t="n"/>
      <c r="M555" s="106" t="n"/>
      <c r="N555" s="106" t="n"/>
      <c r="O555" s="106" t="n"/>
      <c r="P555" s="105" t="n"/>
      <c r="Q555" s="107" t="n"/>
      <c r="R555" s="105" t="n"/>
      <c r="S555" s="107" t="n"/>
      <c r="T555" s="108">
        <f>IFERROR(L555+M555+N555+O555,0)</f>
        <v/>
      </c>
      <c r="U555" s="108">
        <f>IFERROR(H555+IFERROR(I555,0)+T555+IFERROR(AH555,0),0)</f>
        <v/>
      </c>
      <c r="V555" s="256" t="n"/>
      <c r="W555" s="257" t="n"/>
      <c r="X555" s="256" t="n"/>
      <c r="Y555" s="258" t="n"/>
      <c r="Z555" s="259" t="n"/>
      <c r="AA555" s="259" t="n"/>
      <c r="AB555" s="258" t="n"/>
      <c r="AC555" s="256" t="n"/>
      <c r="AD555" s="256" t="n"/>
      <c r="AE555" s="256" t="n"/>
      <c r="AF555" s="256" t="n"/>
      <c r="AG555" s="256" t="n"/>
      <c r="AH555" s="256">
        <f>IFERROR(IFERROR(V555,0)+IFERROR(AC555,0)+IFERROR(AD555,0)+IFERROR(AE555,0)+IFERROR(AF555,0)+IFERROR(AG555,0),0)</f>
        <v/>
      </c>
    </row>
    <row r="556" ht="15" customHeight="1" s="199">
      <c r="A556" s="104" t="n"/>
      <c r="B556" s="104" t="n"/>
      <c r="C556" s="104" t="n"/>
      <c r="D556" s="105" t="n"/>
      <c r="E556" s="105" t="n"/>
      <c r="F556" s="105" t="n"/>
      <c r="G556" s="106" t="n"/>
      <c r="H556" s="106" t="n"/>
      <c r="I556" s="106" t="n"/>
      <c r="J556" s="107" t="n"/>
      <c r="K556" s="105" t="n"/>
      <c r="L556" s="106" t="n"/>
      <c r="M556" s="106" t="n"/>
      <c r="N556" s="106" t="n"/>
      <c r="O556" s="106" t="n"/>
      <c r="P556" s="105" t="n"/>
      <c r="Q556" s="107" t="n"/>
      <c r="R556" s="105" t="n"/>
      <c r="S556" s="107" t="n"/>
      <c r="T556" s="108">
        <f>IFERROR(L556+M556+N556+O556,0)</f>
        <v/>
      </c>
      <c r="U556" s="108">
        <f>IFERROR(H556+IFERROR(I556,0)+T556+IFERROR(AH556,0),0)</f>
        <v/>
      </c>
      <c r="V556" s="256" t="n"/>
      <c r="W556" s="257" t="n"/>
      <c r="X556" s="256" t="n"/>
      <c r="Y556" s="258" t="n"/>
      <c r="Z556" s="259" t="n"/>
      <c r="AA556" s="259" t="n"/>
      <c r="AB556" s="258" t="n"/>
      <c r="AC556" s="256" t="n"/>
      <c r="AD556" s="256" t="n"/>
      <c r="AE556" s="256" t="n"/>
      <c r="AF556" s="256" t="n"/>
      <c r="AG556" s="256" t="n"/>
      <c r="AH556" s="256">
        <f>IFERROR(IFERROR(V556,0)+IFERROR(AC556,0)+IFERROR(AD556,0)+IFERROR(AE556,0)+IFERROR(AF556,0)+IFERROR(AG556,0),0)</f>
        <v/>
      </c>
    </row>
    <row r="557" ht="15" customHeight="1" s="199">
      <c r="A557" s="104" t="n"/>
      <c r="B557" s="104" t="n"/>
      <c r="C557" s="104" t="n"/>
      <c r="D557" s="105" t="n"/>
      <c r="E557" s="105" t="n"/>
      <c r="F557" s="105" t="n"/>
      <c r="G557" s="106" t="n"/>
      <c r="H557" s="106" t="n"/>
      <c r="I557" s="106" t="n"/>
      <c r="J557" s="107" t="n"/>
      <c r="K557" s="105" t="n"/>
      <c r="L557" s="106" t="n"/>
      <c r="M557" s="106" t="n"/>
      <c r="N557" s="106" t="n"/>
      <c r="O557" s="106" t="n"/>
      <c r="P557" s="105" t="n"/>
      <c r="Q557" s="107" t="n"/>
      <c r="R557" s="105" t="n"/>
      <c r="S557" s="107" t="n"/>
      <c r="T557" s="108">
        <f>IFERROR(L557+M557+N557+O557,0)</f>
        <v/>
      </c>
      <c r="U557" s="108">
        <f>IFERROR(H557+IFERROR(I557,0)+T557+IFERROR(AH557,0),0)</f>
        <v/>
      </c>
      <c r="V557" s="256" t="n"/>
      <c r="W557" s="257" t="n"/>
      <c r="X557" s="256" t="n"/>
      <c r="Y557" s="258" t="n"/>
      <c r="Z557" s="259" t="n"/>
      <c r="AA557" s="259" t="n"/>
      <c r="AB557" s="258" t="n"/>
      <c r="AC557" s="256" t="n"/>
      <c r="AD557" s="256" t="n"/>
      <c r="AE557" s="256" t="n"/>
      <c r="AF557" s="256" t="n"/>
      <c r="AG557" s="256" t="n"/>
      <c r="AH557" s="256">
        <f>IFERROR(IFERROR(V557,0)+IFERROR(AC557,0)+IFERROR(AD557,0)+IFERROR(AE557,0)+IFERROR(AF557,0)+IFERROR(AG557,0),0)</f>
        <v/>
      </c>
    </row>
    <row r="558" ht="15" customHeight="1" s="199">
      <c r="A558" s="104" t="n"/>
      <c r="B558" s="104" t="n"/>
      <c r="C558" s="104" t="n"/>
      <c r="D558" s="105" t="n"/>
      <c r="E558" s="105" t="n"/>
      <c r="F558" s="105" t="n"/>
      <c r="G558" s="106" t="n"/>
      <c r="H558" s="106" t="n"/>
      <c r="I558" s="106" t="n"/>
      <c r="J558" s="107" t="n"/>
      <c r="K558" s="105" t="n"/>
      <c r="L558" s="106" t="n"/>
      <c r="M558" s="106" t="n"/>
      <c r="N558" s="106" t="n"/>
      <c r="O558" s="106" t="n"/>
      <c r="P558" s="105" t="n"/>
      <c r="Q558" s="107" t="n"/>
      <c r="R558" s="105" t="n"/>
      <c r="S558" s="107" t="n"/>
      <c r="T558" s="108">
        <f>IFERROR(L558+M558+N558+O558,0)</f>
        <v/>
      </c>
      <c r="U558" s="108">
        <f>IFERROR(H558+IFERROR(I558,0)+T558+IFERROR(AH558,0),0)</f>
        <v/>
      </c>
      <c r="V558" s="256" t="n"/>
      <c r="W558" s="257" t="n"/>
      <c r="X558" s="256" t="n"/>
      <c r="Y558" s="258" t="n"/>
      <c r="Z558" s="259" t="n"/>
      <c r="AA558" s="259" t="n"/>
      <c r="AB558" s="258" t="n"/>
      <c r="AC558" s="256" t="n"/>
      <c r="AD558" s="256" t="n"/>
      <c r="AE558" s="256" t="n"/>
      <c r="AF558" s="256" t="n"/>
      <c r="AG558" s="256" t="n"/>
      <c r="AH558" s="256">
        <f>IFERROR(IFERROR(V558,0)+IFERROR(AC558,0)+IFERROR(AD558,0)+IFERROR(AE558,0)+IFERROR(AF558,0)+IFERROR(AG558,0),0)</f>
        <v/>
      </c>
    </row>
    <row r="559" ht="15" customHeight="1" s="199">
      <c r="A559" s="104" t="n"/>
      <c r="B559" s="104" t="n"/>
      <c r="C559" s="104" t="n"/>
      <c r="D559" s="105" t="n"/>
      <c r="E559" s="105" t="n"/>
      <c r="F559" s="105" t="n"/>
      <c r="G559" s="106" t="n"/>
      <c r="H559" s="106" t="n"/>
      <c r="I559" s="106" t="n"/>
      <c r="J559" s="107" t="n"/>
      <c r="K559" s="105" t="n"/>
      <c r="L559" s="106" t="n"/>
      <c r="M559" s="106" t="n"/>
      <c r="N559" s="106" t="n"/>
      <c r="O559" s="106" t="n"/>
      <c r="P559" s="105" t="n"/>
      <c r="Q559" s="107" t="n"/>
      <c r="R559" s="105" t="n"/>
      <c r="S559" s="107" t="n"/>
      <c r="T559" s="108">
        <f>IFERROR(L559+M559+N559+O559,0)</f>
        <v/>
      </c>
      <c r="U559" s="108">
        <f>IFERROR(H559+IFERROR(I559,0)+T559+IFERROR(AH559,0),0)</f>
        <v/>
      </c>
      <c r="V559" s="256" t="n"/>
      <c r="W559" s="257" t="n"/>
      <c r="X559" s="256" t="n"/>
      <c r="Y559" s="258" t="n"/>
      <c r="Z559" s="259" t="n"/>
      <c r="AA559" s="259" t="n"/>
      <c r="AB559" s="258" t="n"/>
      <c r="AC559" s="256" t="n"/>
      <c r="AD559" s="256" t="n"/>
      <c r="AE559" s="256" t="n"/>
      <c r="AF559" s="256" t="n"/>
      <c r="AG559" s="256" t="n"/>
      <c r="AH559" s="256">
        <f>IFERROR(IFERROR(V559,0)+IFERROR(AC559,0)+IFERROR(AD559,0)+IFERROR(AE559,0)+IFERROR(AF559,0)+IFERROR(AG559,0),0)</f>
        <v/>
      </c>
    </row>
    <row r="560" ht="15" customHeight="1" s="199">
      <c r="A560" s="104" t="n"/>
      <c r="B560" s="104" t="n"/>
      <c r="C560" s="104" t="n"/>
      <c r="D560" s="105" t="n"/>
      <c r="E560" s="105" t="n"/>
      <c r="F560" s="105" t="n"/>
      <c r="G560" s="106" t="n"/>
      <c r="H560" s="106" t="n"/>
      <c r="I560" s="106" t="n"/>
      <c r="J560" s="107" t="n"/>
      <c r="K560" s="105" t="n"/>
      <c r="L560" s="106" t="n"/>
      <c r="M560" s="106" t="n"/>
      <c r="N560" s="106" t="n"/>
      <c r="O560" s="106" t="n"/>
      <c r="P560" s="105" t="n"/>
      <c r="Q560" s="107" t="n"/>
      <c r="R560" s="105" t="n"/>
      <c r="S560" s="107" t="n"/>
      <c r="T560" s="108">
        <f>IFERROR(L560+M560+N560+O560,0)</f>
        <v/>
      </c>
      <c r="U560" s="108">
        <f>IFERROR(H560+IFERROR(I560,0)+T560+IFERROR(AH560,0),0)</f>
        <v/>
      </c>
      <c r="V560" s="256" t="n"/>
      <c r="W560" s="257" t="n"/>
      <c r="X560" s="256" t="n"/>
      <c r="Y560" s="258" t="n"/>
      <c r="Z560" s="259" t="n"/>
      <c r="AA560" s="259" t="n"/>
      <c r="AB560" s="258" t="n"/>
      <c r="AC560" s="256" t="n"/>
      <c r="AD560" s="256" t="n"/>
      <c r="AE560" s="256" t="n"/>
      <c r="AF560" s="256" t="n"/>
      <c r="AG560" s="256" t="n"/>
      <c r="AH560" s="256">
        <f>IFERROR(IFERROR(V560,0)+IFERROR(AC560,0)+IFERROR(AD560,0)+IFERROR(AE560,0)+IFERROR(AF560,0)+IFERROR(AG560,0),0)</f>
        <v/>
      </c>
    </row>
    <row r="561" ht="15" customHeight="1" s="199">
      <c r="A561" s="104" t="n"/>
      <c r="B561" s="104" t="n"/>
      <c r="C561" s="104" t="n"/>
      <c r="D561" s="105" t="n"/>
      <c r="E561" s="105" t="n"/>
      <c r="F561" s="105" t="n"/>
      <c r="G561" s="106" t="n"/>
      <c r="H561" s="106" t="n"/>
      <c r="I561" s="106" t="n"/>
      <c r="J561" s="107" t="n"/>
      <c r="K561" s="105" t="n"/>
      <c r="L561" s="106" t="n"/>
      <c r="M561" s="106" t="n"/>
      <c r="N561" s="106" t="n"/>
      <c r="O561" s="106" t="n"/>
      <c r="P561" s="105" t="n"/>
      <c r="Q561" s="107" t="n"/>
      <c r="R561" s="105" t="n"/>
      <c r="S561" s="107" t="n"/>
      <c r="T561" s="108">
        <f>IFERROR(L561+M561+N561+O561,0)</f>
        <v/>
      </c>
      <c r="U561" s="108">
        <f>IFERROR(H561+IFERROR(I561,0)+T561+IFERROR(AH561,0),0)</f>
        <v/>
      </c>
      <c r="V561" s="256" t="n"/>
      <c r="W561" s="257" t="n"/>
      <c r="X561" s="256" t="n"/>
      <c r="Y561" s="258" t="n"/>
      <c r="Z561" s="259" t="n"/>
      <c r="AA561" s="259" t="n"/>
      <c r="AB561" s="258" t="n"/>
      <c r="AC561" s="256" t="n"/>
      <c r="AD561" s="256" t="n"/>
      <c r="AE561" s="256" t="n"/>
      <c r="AF561" s="256" t="n"/>
      <c r="AG561" s="256" t="n"/>
      <c r="AH561" s="256">
        <f>IFERROR(IFERROR(V561,0)+IFERROR(AC561,0)+IFERROR(AD561,0)+IFERROR(AE561,0)+IFERROR(AF561,0)+IFERROR(AG561,0),0)</f>
        <v/>
      </c>
    </row>
    <row r="562" ht="15" customHeight="1" s="199">
      <c r="A562" s="104" t="n"/>
      <c r="B562" s="104" t="n"/>
      <c r="C562" s="104" t="n"/>
      <c r="D562" s="105" t="n"/>
      <c r="E562" s="105" t="n"/>
      <c r="F562" s="105" t="n"/>
      <c r="G562" s="106" t="n"/>
      <c r="H562" s="106" t="n"/>
      <c r="I562" s="106" t="n"/>
      <c r="J562" s="107" t="n"/>
      <c r="K562" s="105" t="n"/>
      <c r="L562" s="106" t="n"/>
      <c r="M562" s="106" t="n"/>
      <c r="N562" s="106" t="n"/>
      <c r="O562" s="106" t="n"/>
      <c r="P562" s="105" t="n"/>
      <c r="Q562" s="107" t="n"/>
      <c r="R562" s="105" t="n"/>
      <c r="S562" s="107" t="n"/>
      <c r="T562" s="108">
        <f>IFERROR(L562+M562+N562+O562,0)</f>
        <v/>
      </c>
      <c r="U562" s="108">
        <f>IFERROR(H562+IFERROR(I562,0)+T562+IFERROR(AH562,0),0)</f>
        <v/>
      </c>
      <c r="V562" s="256" t="n"/>
      <c r="W562" s="257" t="n"/>
      <c r="X562" s="256" t="n"/>
      <c r="Y562" s="258" t="n"/>
      <c r="Z562" s="259" t="n"/>
      <c r="AA562" s="259" t="n"/>
      <c r="AB562" s="258" t="n"/>
      <c r="AC562" s="256" t="n"/>
      <c r="AD562" s="256" t="n"/>
      <c r="AE562" s="256" t="n"/>
      <c r="AF562" s="256" t="n"/>
      <c r="AG562" s="256" t="n"/>
      <c r="AH562" s="256">
        <f>IFERROR(IFERROR(V562,0)+IFERROR(AC562,0)+IFERROR(AD562,0)+IFERROR(AE562,0)+IFERROR(AF562,0)+IFERROR(AG562,0),0)</f>
        <v/>
      </c>
    </row>
    <row r="563" ht="15" customHeight="1" s="199">
      <c r="A563" s="104" t="n"/>
      <c r="B563" s="104" t="n"/>
      <c r="C563" s="104" t="n"/>
      <c r="D563" s="105" t="n"/>
      <c r="E563" s="105" t="n"/>
      <c r="F563" s="105" t="n"/>
      <c r="G563" s="106" t="n"/>
      <c r="H563" s="106" t="n"/>
      <c r="I563" s="106" t="n"/>
      <c r="J563" s="107" t="n"/>
      <c r="K563" s="105" t="n"/>
      <c r="L563" s="106" t="n"/>
      <c r="M563" s="106" t="n"/>
      <c r="N563" s="106" t="n"/>
      <c r="O563" s="106" t="n"/>
      <c r="P563" s="105" t="n"/>
      <c r="Q563" s="107" t="n"/>
      <c r="R563" s="105" t="n"/>
      <c r="S563" s="107" t="n"/>
      <c r="T563" s="108">
        <f>IFERROR(L563+M563+N563+O563,0)</f>
        <v/>
      </c>
      <c r="U563" s="108">
        <f>IFERROR(H563+IFERROR(I563,0)+T563+IFERROR(AH563,0),0)</f>
        <v/>
      </c>
      <c r="V563" s="256" t="n"/>
      <c r="W563" s="257" t="n"/>
      <c r="X563" s="256" t="n"/>
      <c r="Y563" s="258" t="n"/>
      <c r="Z563" s="259" t="n"/>
      <c r="AA563" s="259" t="n"/>
      <c r="AB563" s="258" t="n"/>
      <c r="AC563" s="256" t="n"/>
      <c r="AD563" s="256" t="n"/>
      <c r="AE563" s="256" t="n"/>
      <c r="AF563" s="256" t="n"/>
      <c r="AG563" s="256" t="n"/>
      <c r="AH563" s="256">
        <f>IFERROR(IFERROR(V563,0)+IFERROR(AC563,0)+IFERROR(AD563,0)+IFERROR(AE563,0)+IFERROR(AF563,0)+IFERROR(AG563,0),0)</f>
        <v/>
      </c>
    </row>
    <row r="564" ht="15" customHeight="1" s="199">
      <c r="A564" s="104" t="n"/>
      <c r="B564" s="104" t="n"/>
      <c r="C564" s="104" t="n"/>
      <c r="D564" s="105" t="n"/>
      <c r="E564" s="105" t="n"/>
      <c r="F564" s="105" t="n"/>
      <c r="G564" s="106" t="n"/>
      <c r="H564" s="106" t="n"/>
      <c r="I564" s="106" t="n"/>
      <c r="J564" s="107" t="n"/>
      <c r="K564" s="105" t="n"/>
      <c r="L564" s="106" t="n"/>
      <c r="M564" s="106" t="n"/>
      <c r="N564" s="106" t="n"/>
      <c r="O564" s="106" t="n"/>
      <c r="P564" s="105" t="n"/>
      <c r="Q564" s="107" t="n"/>
      <c r="R564" s="105" t="n"/>
      <c r="S564" s="107" t="n"/>
      <c r="T564" s="108">
        <f>IFERROR(L564+M564+N564+O564,0)</f>
        <v/>
      </c>
      <c r="U564" s="108">
        <f>IFERROR(H564+IFERROR(I564,0)+T564+IFERROR(AH564,0),0)</f>
        <v/>
      </c>
      <c r="V564" s="256" t="n"/>
      <c r="W564" s="257" t="n"/>
      <c r="X564" s="256" t="n"/>
      <c r="Y564" s="258" t="n"/>
      <c r="Z564" s="259" t="n"/>
      <c r="AA564" s="259" t="n"/>
      <c r="AB564" s="258" t="n"/>
      <c r="AC564" s="256" t="n"/>
      <c r="AD564" s="256" t="n"/>
      <c r="AE564" s="256" t="n"/>
      <c r="AF564" s="256" t="n"/>
      <c r="AG564" s="256" t="n"/>
      <c r="AH564" s="256">
        <f>IFERROR(IFERROR(V564,0)+IFERROR(AC564,0)+IFERROR(AD564,0)+IFERROR(AE564,0)+IFERROR(AF564,0)+IFERROR(AG564,0),0)</f>
        <v/>
      </c>
    </row>
    <row r="565" ht="15" customHeight="1" s="199">
      <c r="A565" s="104" t="n"/>
      <c r="B565" s="104" t="n"/>
      <c r="C565" s="104" t="n"/>
      <c r="D565" s="105" t="n"/>
      <c r="E565" s="105" t="n"/>
      <c r="F565" s="105" t="n"/>
      <c r="G565" s="106" t="n"/>
      <c r="H565" s="106" t="n"/>
      <c r="I565" s="106" t="n"/>
      <c r="J565" s="107" t="n"/>
      <c r="K565" s="105" t="n"/>
      <c r="L565" s="106" t="n"/>
      <c r="M565" s="106" t="n"/>
      <c r="N565" s="106" t="n"/>
      <c r="O565" s="106" t="n"/>
      <c r="P565" s="105" t="n"/>
      <c r="Q565" s="107" t="n"/>
      <c r="R565" s="105" t="n"/>
      <c r="S565" s="107" t="n"/>
      <c r="T565" s="108">
        <f>IFERROR(L565+M565+N565+O565,0)</f>
        <v/>
      </c>
      <c r="U565" s="108">
        <f>IFERROR(H565+IFERROR(I565,0)+T565+IFERROR(AH565,0),0)</f>
        <v/>
      </c>
      <c r="V565" s="256" t="n"/>
      <c r="W565" s="257" t="n"/>
      <c r="X565" s="256" t="n"/>
      <c r="Y565" s="258" t="n"/>
      <c r="Z565" s="259" t="n"/>
      <c r="AA565" s="259" t="n"/>
      <c r="AB565" s="258" t="n"/>
      <c r="AC565" s="256" t="n"/>
      <c r="AD565" s="256" t="n"/>
      <c r="AE565" s="256" t="n"/>
      <c r="AF565" s="256" t="n"/>
      <c r="AG565" s="256" t="n"/>
      <c r="AH565" s="256">
        <f>IFERROR(IFERROR(V565,0)+IFERROR(AC565,0)+IFERROR(AD565,0)+IFERROR(AE565,0)+IFERROR(AF565,0)+IFERROR(AG565,0),0)</f>
        <v/>
      </c>
    </row>
    <row r="566" ht="15" customHeight="1" s="199">
      <c r="A566" s="104" t="n"/>
      <c r="B566" s="104" t="n"/>
      <c r="C566" s="104" t="n"/>
      <c r="D566" s="105" t="n"/>
      <c r="E566" s="105" t="n"/>
      <c r="F566" s="105" t="n"/>
      <c r="G566" s="106" t="n"/>
      <c r="H566" s="106" t="n"/>
      <c r="I566" s="106" t="n"/>
      <c r="J566" s="107" t="n"/>
      <c r="K566" s="105" t="n"/>
      <c r="L566" s="106" t="n"/>
      <c r="M566" s="106" t="n"/>
      <c r="N566" s="106" t="n"/>
      <c r="O566" s="106" t="n"/>
      <c r="P566" s="105" t="n"/>
      <c r="Q566" s="107" t="n"/>
      <c r="R566" s="105" t="n"/>
      <c r="S566" s="107" t="n"/>
      <c r="T566" s="108">
        <f>IFERROR(L566+M566+N566+O566,0)</f>
        <v/>
      </c>
      <c r="U566" s="108">
        <f>IFERROR(H566+IFERROR(I566,0)+T566+IFERROR(AH566,0),0)</f>
        <v/>
      </c>
      <c r="V566" s="256" t="n"/>
      <c r="W566" s="257" t="n"/>
      <c r="X566" s="256" t="n"/>
      <c r="Y566" s="258" t="n"/>
      <c r="Z566" s="259" t="n"/>
      <c r="AA566" s="259" t="n"/>
      <c r="AB566" s="258" t="n"/>
      <c r="AC566" s="256" t="n"/>
      <c r="AD566" s="256" t="n"/>
      <c r="AE566" s="256" t="n"/>
      <c r="AF566" s="256" t="n"/>
      <c r="AG566" s="256" t="n"/>
      <c r="AH566" s="256">
        <f>IFERROR(IFERROR(V566,0)+IFERROR(AC566,0)+IFERROR(AD566,0)+IFERROR(AE566,0)+IFERROR(AF566,0)+IFERROR(AG566,0),0)</f>
        <v/>
      </c>
    </row>
    <row r="567" ht="15" customHeight="1" s="199">
      <c r="A567" s="104" t="n"/>
      <c r="B567" s="104" t="n"/>
      <c r="C567" s="104" t="n"/>
      <c r="D567" s="105" t="n"/>
      <c r="E567" s="105" t="n"/>
      <c r="F567" s="105" t="n"/>
      <c r="G567" s="106" t="n"/>
      <c r="H567" s="106" t="n"/>
      <c r="I567" s="106" t="n"/>
      <c r="J567" s="107" t="n"/>
      <c r="K567" s="105" t="n"/>
      <c r="L567" s="106" t="n"/>
      <c r="M567" s="106" t="n"/>
      <c r="N567" s="106" t="n"/>
      <c r="O567" s="106" t="n"/>
      <c r="P567" s="105" t="n"/>
      <c r="Q567" s="107" t="n"/>
      <c r="R567" s="105" t="n"/>
      <c r="S567" s="107" t="n"/>
      <c r="T567" s="108">
        <f>IFERROR(L567+M567+N567+O567,0)</f>
        <v/>
      </c>
      <c r="U567" s="108">
        <f>IFERROR(H567+IFERROR(I567,0)+T567+IFERROR(AH567,0),0)</f>
        <v/>
      </c>
      <c r="V567" s="256" t="n"/>
      <c r="W567" s="257" t="n"/>
      <c r="X567" s="256" t="n"/>
      <c r="Y567" s="258" t="n"/>
      <c r="Z567" s="259" t="n"/>
      <c r="AA567" s="259" t="n"/>
      <c r="AB567" s="258" t="n"/>
      <c r="AC567" s="256" t="n"/>
      <c r="AD567" s="256" t="n"/>
      <c r="AE567" s="256" t="n"/>
      <c r="AF567" s="256" t="n"/>
      <c r="AG567" s="256" t="n"/>
      <c r="AH567" s="256">
        <f>IFERROR(IFERROR(V567,0)+IFERROR(AC567,0)+IFERROR(AD567,0)+IFERROR(AE567,0)+IFERROR(AF567,0)+IFERROR(AG567,0),0)</f>
        <v/>
      </c>
    </row>
    <row r="568" ht="15" customHeight="1" s="199">
      <c r="A568" s="104" t="n"/>
      <c r="B568" s="104" t="n"/>
      <c r="C568" s="104" t="n"/>
      <c r="D568" s="105" t="n"/>
      <c r="E568" s="105" t="n"/>
      <c r="F568" s="105" t="n"/>
      <c r="G568" s="106" t="n"/>
      <c r="H568" s="106" t="n"/>
      <c r="I568" s="106" t="n"/>
      <c r="J568" s="107" t="n"/>
      <c r="K568" s="105" t="n"/>
      <c r="L568" s="106" t="n"/>
      <c r="M568" s="106" t="n"/>
      <c r="N568" s="106" t="n"/>
      <c r="O568" s="106" t="n"/>
      <c r="P568" s="105" t="n"/>
      <c r="Q568" s="107" t="n"/>
      <c r="R568" s="105" t="n"/>
      <c r="S568" s="107" t="n"/>
      <c r="T568" s="108">
        <f>IFERROR(L568+M568+N568+O568,0)</f>
        <v/>
      </c>
      <c r="U568" s="108">
        <f>IFERROR(H568+IFERROR(I568,0)+T568+IFERROR(AH568,0),0)</f>
        <v/>
      </c>
      <c r="V568" s="256" t="n"/>
      <c r="W568" s="257" t="n"/>
      <c r="X568" s="256" t="n"/>
      <c r="Y568" s="258" t="n"/>
      <c r="Z568" s="259" t="n"/>
      <c r="AA568" s="259" t="n"/>
      <c r="AB568" s="258" t="n"/>
      <c r="AC568" s="256" t="n"/>
      <c r="AD568" s="256" t="n"/>
      <c r="AE568" s="256" t="n"/>
      <c r="AF568" s="256" t="n"/>
      <c r="AG568" s="256" t="n"/>
      <c r="AH568" s="256">
        <f>IFERROR(IFERROR(V568,0)+IFERROR(AC568,0)+IFERROR(AD568,0)+IFERROR(AE568,0)+IFERROR(AF568,0)+IFERROR(AG568,0),0)</f>
        <v/>
      </c>
    </row>
    <row r="569" ht="15" customHeight="1" s="199">
      <c r="A569" s="104" t="n"/>
      <c r="B569" s="104" t="n"/>
      <c r="C569" s="104" t="n"/>
      <c r="D569" s="105" t="n"/>
      <c r="E569" s="105" t="n"/>
      <c r="F569" s="105" t="n"/>
      <c r="G569" s="106" t="n"/>
      <c r="H569" s="106" t="n"/>
      <c r="I569" s="106" t="n"/>
      <c r="J569" s="107" t="n"/>
      <c r="K569" s="105" t="n"/>
      <c r="L569" s="106" t="n"/>
      <c r="M569" s="106" t="n"/>
      <c r="N569" s="106" t="n"/>
      <c r="O569" s="106" t="n"/>
      <c r="P569" s="105" t="n"/>
      <c r="Q569" s="107" t="n"/>
      <c r="R569" s="105" t="n"/>
      <c r="S569" s="107" t="n"/>
      <c r="T569" s="108">
        <f>IFERROR(L569+M569+N569+O569,0)</f>
        <v/>
      </c>
      <c r="U569" s="108">
        <f>IFERROR(H569+IFERROR(I569,0)+T569+IFERROR(AH569,0),0)</f>
        <v/>
      </c>
      <c r="V569" s="256" t="n"/>
      <c r="W569" s="257" t="n"/>
      <c r="X569" s="256" t="n"/>
      <c r="Y569" s="258" t="n"/>
      <c r="Z569" s="259" t="n"/>
      <c r="AA569" s="259" t="n"/>
      <c r="AB569" s="258" t="n"/>
      <c r="AC569" s="256" t="n"/>
      <c r="AD569" s="256" t="n"/>
      <c r="AE569" s="256" t="n"/>
      <c r="AF569" s="256" t="n"/>
      <c r="AG569" s="256" t="n"/>
      <c r="AH569" s="256">
        <f>IFERROR(IFERROR(V569,0)+IFERROR(AC569,0)+IFERROR(AD569,0)+IFERROR(AE569,0)+IFERROR(AF569,0)+IFERROR(AG569,0),0)</f>
        <v/>
      </c>
    </row>
    <row r="570" ht="15" customHeight="1" s="199">
      <c r="A570" s="104" t="n"/>
      <c r="B570" s="104" t="n"/>
      <c r="C570" s="104" t="n"/>
      <c r="D570" s="105" t="n"/>
      <c r="E570" s="105" t="n"/>
      <c r="F570" s="105" t="n"/>
      <c r="G570" s="106" t="n"/>
      <c r="H570" s="106" t="n"/>
      <c r="I570" s="106" t="n"/>
      <c r="J570" s="107" t="n"/>
      <c r="K570" s="105" t="n"/>
      <c r="L570" s="106" t="n"/>
      <c r="M570" s="106" t="n"/>
      <c r="N570" s="106" t="n"/>
      <c r="O570" s="106" t="n"/>
      <c r="P570" s="105" t="n"/>
      <c r="Q570" s="107" t="n"/>
      <c r="R570" s="105" t="n"/>
      <c r="S570" s="107" t="n"/>
      <c r="T570" s="108">
        <f>IFERROR(L570+M570+N570+O570,0)</f>
        <v/>
      </c>
      <c r="U570" s="108">
        <f>IFERROR(H570+IFERROR(I570,0)+T570+IFERROR(AH570,0),0)</f>
        <v/>
      </c>
      <c r="V570" s="256" t="n"/>
      <c r="W570" s="257" t="n"/>
      <c r="X570" s="256" t="n"/>
      <c r="Y570" s="258" t="n"/>
      <c r="Z570" s="259" t="n"/>
      <c r="AA570" s="259" t="n"/>
      <c r="AB570" s="258" t="n"/>
      <c r="AC570" s="256" t="n"/>
      <c r="AD570" s="256" t="n"/>
      <c r="AE570" s="256" t="n"/>
      <c r="AF570" s="256" t="n"/>
      <c r="AG570" s="256" t="n"/>
      <c r="AH570" s="256">
        <f>IFERROR(IFERROR(V570,0)+IFERROR(AC570,0)+IFERROR(AD570,0)+IFERROR(AE570,0)+IFERROR(AF570,0)+IFERROR(AG570,0),0)</f>
        <v/>
      </c>
    </row>
    <row r="571" ht="15" customHeight="1" s="199">
      <c r="A571" s="104" t="n"/>
      <c r="B571" s="104" t="n"/>
      <c r="C571" s="104" t="n"/>
      <c r="D571" s="105" t="n"/>
      <c r="E571" s="105" t="n"/>
      <c r="F571" s="105" t="n"/>
      <c r="G571" s="106" t="n"/>
      <c r="H571" s="106" t="n"/>
      <c r="I571" s="106" t="n"/>
      <c r="J571" s="107" t="n"/>
      <c r="K571" s="105" t="n"/>
      <c r="L571" s="106" t="n"/>
      <c r="M571" s="106" t="n"/>
      <c r="N571" s="106" t="n"/>
      <c r="O571" s="106" t="n"/>
      <c r="P571" s="105" t="n"/>
      <c r="Q571" s="107" t="n"/>
      <c r="R571" s="105" t="n"/>
      <c r="S571" s="107" t="n"/>
      <c r="T571" s="108">
        <f>IFERROR(L571+M571+N571+O571,0)</f>
        <v/>
      </c>
      <c r="U571" s="108">
        <f>IFERROR(H571+IFERROR(I571,0)+T571+IFERROR(AH571,0),0)</f>
        <v/>
      </c>
      <c r="V571" s="256" t="n"/>
      <c r="W571" s="257" t="n"/>
      <c r="X571" s="256" t="n"/>
      <c r="Y571" s="258" t="n"/>
      <c r="Z571" s="259" t="n"/>
      <c r="AA571" s="259" t="n"/>
      <c r="AB571" s="258" t="n"/>
      <c r="AC571" s="256" t="n"/>
      <c r="AD571" s="256" t="n"/>
      <c r="AE571" s="256" t="n"/>
      <c r="AF571" s="256" t="n"/>
      <c r="AG571" s="256" t="n"/>
      <c r="AH571" s="256">
        <f>IFERROR(IFERROR(V571,0)+IFERROR(AC571,0)+IFERROR(AD571,0)+IFERROR(AE571,0)+IFERROR(AF571,0)+IFERROR(AG571,0),0)</f>
        <v/>
      </c>
    </row>
    <row r="572" ht="15" customHeight="1" s="199">
      <c r="A572" s="104" t="n"/>
      <c r="B572" s="104" t="n"/>
      <c r="C572" s="104" t="n"/>
      <c r="D572" s="105" t="n"/>
      <c r="E572" s="105" t="n"/>
      <c r="F572" s="105" t="n"/>
      <c r="G572" s="106" t="n"/>
      <c r="H572" s="106" t="n"/>
      <c r="I572" s="106" t="n"/>
      <c r="J572" s="107" t="n"/>
      <c r="K572" s="105" t="n"/>
      <c r="L572" s="106" t="n"/>
      <c r="M572" s="106" t="n"/>
      <c r="N572" s="106" t="n"/>
      <c r="O572" s="106" t="n"/>
      <c r="P572" s="105" t="n"/>
      <c r="Q572" s="107" t="n"/>
      <c r="R572" s="105" t="n"/>
      <c r="S572" s="107" t="n"/>
      <c r="T572" s="108">
        <f>IFERROR(L572+M572+N572+O572,0)</f>
        <v/>
      </c>
      <c r="U572" s="108">
        <f>IFERROR(H572+IFERROR(I572,0)+T572+IFERROR(AH572,0),0)</f>
        <v/>
      </c>
      <c r="V572" s="256" t="n"/>
      <c r="W572" s="257" t="n"/>
      <c r="X572" s="256" t="n"/>
      <c r="Y572" s="258" t="n"/>
      <c r="Z572" s="259" t="n"/>
      <c r="AA572" s="259" t="n"/>
      <c r="AB572" s="258" t="n"/>
      <c r="AC572" s="256" t="n"/>
      <c r="AD572" s="256" t="n"/>
      <c r="AE572" s="256" t="n"/>
      <c r="AF572" s="256" t="n"/>
      <c r="AG572" s="256" t="n"/>
      <c r="AH572" s="256">
        <f>IFERROR(IFERROR(V572,0)+IFERROR(AC572,0)+IFERROR(AD572,0)+IFERROR(AE572,0)+IFERROR(AF572,0)+IFERROR(AG572,0),0)</f>
        <v/>
      </c>
    </row>
    <row r="573" ht="15" customHeight="1" s="199">
      <c r="A573" s="104" t="n"/>
      <c r="B573" s="104" t="n"/>
      <c r="C573" s="104" t="n"/>
      <c r="D573" s="105" t="n"/>
      <c r="E573" s="105" t="n"/>
      <c r="F573" s="105" t="n"/>
      <c r="G573" s="106" t="n"/>
      <c r="H573" s="106" t="n"/>
      <c r="I573" s="106" t="n"/>
      <c r="J573" s="107" t="n"/>
      <c r="K573" s="105" t="n"/>
      <c r="L573" s="106" t="n"/>
      <c r="M573" s="106" t="n"/>
      <c r="N573" s="106" t="n"/>
      <c r="O573" s="106" t="n"/>
      <c r="P573" s="105" t="n"/>
      <c r="Q573" s="107" t="n"/>
      <c r="R573" s="105" t="n"/>
      <c r="S573" s="107" t="n"/>
      <c r="T573" s="108">
        <f>IFERROR(L573+M573+N573+O573,0)</f>
        <v/>
      </c>
      <c r="U573" s="108">
        <f>IFERROR(H573+IFERROR(I573,0)+T573+IFERROR(AH573,0),0)</f>
        <v/>
      </c>
      <c r="V573" s="256" t="n"/>
      <c r="W573" s="257" t="n"/>
      <c r="X573" s="256" t="n"/>
      <c r="Y573" s="258" t="n"/>
      <c r="Z573" s="259" t="n"/>
      <c r="AA573" s="259" t="n"/>
      <c r="AB573" s="258" t="n"/>
      <c r="AC573" s="256" t="n"/>
      <c r="AD573" s="256" t="n"/>
      <c r="AE573" s="256" t="n"/>
      <c r="AF573" s="256" t="n"/>
      <c r="AG573" s="256" t="n"/>
      <c r="AH573" s="256">
        <f>IFERROR(IFERROR(V573,0)+IFERROR(AC573,0)+IFERROR(AD573,0)+IFERROR(AE573,0)+IFERROR(AF573,0)+IFERROR(AG573,0),0)</f>
        <v/>
      </c>
    </row>
    <row r="574" ht="15" customHeight="1" s="199">
      <c r="A574" s="104" t="n"/>
      <c r="B574" s="104" t="n"/>
      <c r="C574" s="104" t="n"/>
      <c r="D574" s="105" t="n"/>
      <c r="E574" s="105" t="n"/>
      <c r="F574" s="105" t="n"/>
      <c r="G574" s="106" t="n"/>
      <c r="H574" s="106" t="n"/>
      <c r="I574" s="106" t="n"/>
      <c r="J574" s="107" t="n"/>
      <c r="K574" s="105" t="n"/>
      <c r="L574" s="106" t="n"/>
      <c r="M574" s="106" t="n"/>
      <c r="N574" s="106" t="n"/>
      <c r="O574" s="106" t="n"/>
      <c r="P574" s="105" t="n"/>
      <c r="Q574" s="107" t="n"/>
      <c r="R574" s="105" t="n"/>
      <c r="S574" s="107" t="n"/>
      <c r="T574" s="108">
        <f>IFERROR(L574+M574+N574+O574,0)</f>
        <v/>
      </c>
      <c r="U574" s="108">
        <f>IFERROR(H574+IFERROR(I574,0)+T574+IFERROR(AH574,0),0)</f>
        <v/>
      </c>
      <c r="V574" s="256" t="n"/>
      <c r="W574" s="257" t="n"/>
      <c r="X574" s="256" t="n"/>
      <c r="Y574" s="258" t="n"/>
      <c r="Z574" s="259" t="n"/>
      <c r="AA574" s="259" t="n"/>
      <c r="AB574" s="258" t="n"/>
      <c r="AC574" s="256" t="n"/>
      <c r="AD574" s="256" t="n"/>
      <c r="AE574" s="256" t="n"/>
      <c r="AF574" s="256" t="n"/>
      <c r="AG574" s="256" t="n"/>
      <c r="AH574" s="256">
        <f>IFERROR(IFERROR(V574,0)+IFERROR(AC574,0)+IFERROR(AD574,0)+IFERROR(AE574,0)+IFERROR(AF574,0)+IFERROR(AG574,0),0)</f>
        <v/>
      </c>
    </row>
    <row r="575" ht="15" customHeight="1" s="199">
      <c r="A575" s="104" t="n"/>
      <c r="B575" s="104" t="n"/>
      <c r="C575" s="104" t="n"/>
      <c r="D575" s="105" t="n"/>
      <c r="E575" s="105" t="n"/>
      <c r="F575" s="105" t="n"/>
      <c r="G575" s="106" t="n"/>
      <c r="H575" s="106" t="n"/>
      <c r="I575" s="106" t="n"/>
      <c r="J575" s="107" t="n"/>
      <c r="K575" s="105" t="n"/>
      <c r="L575" s="106" t="n"/>
      <c r="M575" s="106" t="n"/>
      <c r="N575" s="106" t="n"/>
      <c r="O575" s="106" t="n"/>
      <c r="P575" s="105" t="n"/>
      <c r="Q575" s="107" t="n"/>
      <c r="R575" s="105" t="n"/>
      <c r="S575" s="107" t="n"/>
      <c r="T575" s="108">
        <f>IFERROR(L575+M575+N575+O575,0)</f>
        <v/>
      </c>
      <c r="U575" s="108">
        <f>IFERROR(H575+IFERROR(I575,0)+T575+IFERROR(AH575,0),0)</f>
        <v/>
      </c>
      <c r="V575" s="256" t="n"/>
      <c r="W575" s="257" t="n"/>
      <c r="X575" s="256" t="n"/>
      <c r="Y575" s="258" t="n"/>
      <c r="Z575" s="259" t="n"/>
      <c r="AA575" s="259" t="n"/>
      <c r="AB575" s="258" t="n"/>
      <c r="AC575" s="256" t="n"/>
      <c r="AD575" s="256" t="n"/>
      <c r="AE575" s="256" t="n"/>
      <c r="AF575" s="256" t="n"/>
      <c r="AG575" s="256" t="n"/>
      <c r="AH575" s="256">
        <f>IFERROR(IFERROR(V575,0)+IFERROR(AC575,0)+IFERROR(AD575,0)+IFERROR(AE575,0)+IFERROR(AF575,0)+IFERROR(AG575,0),0)</f>
        <v/>
      </c>
    </row>
    <row r="576" ht="15" customHeight="1" s="199">
      <c r="A576" s="104" t="n"/>
      <c r="B576" s="104" t="n"/>
      <c r="C576" s="104" t="n"/>
      <c r="D576" s="105" t="n"/>
      <c r="E576" s="105" t="n"/>
      <c r="F576" s="105" t="n"/>
      <c r="G576" s="106" t="n"/>
      <c r="H576" s="106" t="n"/>
      <c r="I576" s="106" t="n"/>
      <c r="J576" s="107" t="n"/>
      <c r="K576" s="105" t="n"/>
      <c r="L576" s="106" t="n"/>
      <c r="M576" s="106" t="n"/>
      <c r="N576" s="106" t="n"/>
      <c r="O576" s="106" t="n"/>
      <c r="P576" s="105" t="n"/>
      <c r="Q576" s="107" t="n"/>
      <c r="R576" s="105" t="n"/>
      <c r="S576" s="107" t="n"/>
      <c r="T576" s="108">
        <f>IFERROR(L576+M576+N576+O576,0)</f>
        <v/>
      </c>
      <c r="U576" s="108">
        <f>IFERROR(H576+IFERROR(I576,0)+T576+IFERROR(AH576,0),0)</f>
        <v/>
      </c>
      <c r="V576" s="256" t="n"/>
      <c r="W576" s="257" t="n"/>
      <c r="X576" s="256" t="n"/>
      <c r="Y576" s="258" t="n"/>
      <c r="Z576" s="259" t="n"/>
      <c r="AA576" s="259" t="n"/>
      <c r="AB576" s="258" t="n"/>
      <c r="AC576" s="256" t="n"/>
      <c r="AD576" s="256" t="n"/>
      <c r="AE576" s="256" t="n"/>
      <c r="AF576" s="256" t="n"/>
      <c r="AG576" s="256" t="n"/>
      <c r="AH576" s="256">
        <f>IFERROR(IFERROR(V576,0)+IFERROR(AC576,0)+IFERROR(AD576,0)+IFERROR(AE576,0)+IFERROR(AF576,0)+IFERROR(AG576,0),0)</f>
        <v/>
      </c>
    </row>
    <row r="577" ht="15" customHeight="1" s="199">
      <c r="A577" s="104" t="n"/>
      <c r="B577" s="104" t="n"/>
      <c r="C577" s="104" t="n"/>
      <c r="D577" s="105" t="n"/>
      <c r="E577" s="105" t="n"/>
      <c r="F577" s="105" t="n"/>
      <c r="G577" s="106" t="n"/>
      <c r="H577" s="106" t="n"/>
      <c r="I577" s="106" t="n"/>
      <c r="J577" s="107" t="n"/>
      <c r="K577" s="105" t="n"/>
      <c r="L577" s="106" t="n"/>
      <c r="M577" s="106" t="n"/>
      <c r="N577" s="106" t="n"/>
      <c r="O577" s="106" t="n"/>
      <c r="P577" s="105" t="n"/>
      <c r="Q577" s="107" t="n"/>
      <c r="R577" s="105" t="n"/>
      <c r="S577" s="107" t="n"/>
      <c r="T577" s="108">
        <f>IFERROR(L577+M577+N577+O577,0)</f>
        <v/>
      </c>
      <c r="U577" s="108">
        <f>IFERROR(H577+IFERROR(I577,0)+T577+IFERROR(AH577,0),0)</f>
        <v/>
      </c>
      <c r="V577" s="256" t="n"/>
      <c r="W577" s="257" t="n"/>
      <c r="X577" s="256" t="n"/>
      <c r="Y577" s="258" t="n"/>
      <c r="Z577" s="259" t="n"/>
      <c r="AA577" s="259" t="n"/>
      <c r="AB577" s="258" t="n"/>
      <c r="AC577" s="256" t="n"/>
      <c r="AD577" s="256" t="n"/>
      <c r="AE577" s="256" t="n"/>
      <c r="AF577" s="256" t="n"/>
      <c r="AG577" s="256" t="n"/>
      <c r="AH577" s="256">
        <f>IFERROR(IFERROR(V577,0)+IFERROR(AC577,0)+IFERROR(AD577,0)+IFERROR(AE577,0)+IFERROR(AF577,0)+IFERROR(AG577,0),0)</f>
        <v/>
      </c>
    </row>
    <row r="578" ht="15" customHeight="1" s="199">
      <c r="A578" s="104" t="n"/>
      <c r="B578" s="104" t="n"/>
      <c r="C578" s="104" t="n"/>
      <c r="D578" s="105" t="n"/>
      <c r="E578" s="105" t="n"/>
      <c r="F578" s="105" t="n"/>
      <c r="G578" s="106" t="n"/>
      <c r="H578" s="106" t="n"/>
      <c r="I578" s="106" t="n"/>
      <c r="J578" s="107" t="n"/>
      <c r="K578" s="105" t="n"/>
      <c r="L578" s="106" t="n"/>
      <c r="M578" s="106" t="n"/>
      <c r="N578" s="106" t="n"/>
      <c r="O578" s="106" t="n"/>
      <c r="P578" s="105" t="n"/>
      <c r="Q578" s="107" t="n"/>
      <c r="R578" s="105" t="n"/>
      <c r="S578" s="107" t="n"/>
      <c r="T578" s="108">
        <f>IFERROR(L578+M578+N578+O578,0)</f>
        <v/>
      </c>
      <c r="U578" s="108">
        <f>IFERROR(H578+IFERROR(I578,0)+T578+IFERROR(AH578,0),0)</f>
        <v/>
      </c>
      <c r="V578" s="256" t="n"/>
      <c r="W578" s="257" t="n"/>
      <c r="X578" s="256" t="n"/>
      <c r="Y578" s="258" t="n"/>
      <c r="Z578" s="259" t="n"/>
      <c r="AA578" s="259" t="n"/>
      <c r="AB578" s="258" t="n"/>
      <c r="AC578" s="256" t="n"/>
      <c r="AD578" s="256" t="n"/>
      <c r="AE578" s="256" t="n"/>
      <c r="AF578" s="256" t="n"/>
      <c r="AG578" s="256" t="n"/>
      <c r="AH578" s="256">
        <f>IFERROR(IFERROR(V578,0)+IFERROR(AC578,0)+IFERROR(AD578,0)+IFERROR(AE578,0)+IFERROR(AF578,0)+IFERROR(AG578,0),0)</f>
        <v/>
      </c>
    </row>
    <row r="579" ht="15" customHeight="1" s="199">
      <c r="A579" s="104" t="n"/>
      <c r="B579" s="104" t="n"/>
      <c r="C579" s="104" t="n"/>
      <c r="D579" s="105" t="n"/>
      <c r="E579" s="105" t="n"/>
      <c r="F579" s="105" t="n"/>
      <c r="G579" s="106" t="n"/>
      <c r="H579" s="106" t="n"/>
      <c r="I579" s="106" t="n"/>
      <c r="J579" s="107" t="n"/>
      <c r="K579" s="105" t="n"/>
      <c r="L579" s="106" t="n"/>
      <c r="M579" s="106" t="n"/>
      <c r="N579" s="106" t="n"/>
      <c r="O579" s="106" t="n"/>
      <c r="P579" s="105" t="n"/>
      <c r="Q579" s="107" t="n"/>
      <c r="R579" s="105" t="n"/>
      <c r="S579" s="107" t="n"/>
      <c r="T579" s="108">
        <f>IFERROR(L579+M579+N579+O579,0)</f>
        <v/>
      </c>
      <c r="U579" s="108">
        <f>IFERROR(H579+IFERROR(I579,0)+T579+IFERROR(AH579,0),0)</f>
        <v/>
      </c>
      <c r="V579" s="256" t="n"/>
      <c r="W579" s="257" t="n"/>
      <c r="X579" s="256" t="n"/>
      <c r="Y579" s="258" t="n"/>
      <c r="Z579" s="259" t="n"/>
      <c r="AA579" s="259" t="n"/>
      <c r="AB579" s="258" t="n"/>
      <c r="AC579" s="256" t="n"/>
      <c r="AD579" s="256" t="n"/>
      <c r="AE579" s="256" t="n"/>
      <c r="AF579" s="256" t="n"/>
      <c r="AG579" s="256" t="n"/>
      <c r="AH579" s="256">
        <f>IFERROR(IFERROR(V579,0)+IFERROR(AC579,0)+IFERROR(AD579,0)+IFERROR(AE579,0)+IFERROR(AF579,0)+IFERROR(AG579,0),0)</f>
        <v/>
      </c>
    </row>
    <row r="580" ht="15" customHeight="1" s="199">
      <c r="A580" s="104" t="n"/>
      <c r="B580" s="104" t="n"/>
      <c r="C580" s="104" t="n"/>
      <c r="D580" s="105" t="n"/>
      <c r="E580" s="105" t="n"/>
      <c r="F580" s="105" t="n"/>
      <c r="G580" s="106" t="n"/>
      <c r="H580" s="106" t="n"/>
      <c r="I580" s="106" t="n"/>
      <c r="J580" s="107" t="n"/>
      <c r="K580" s="105" t="n"/>
      <c r="L580" s="106" t="n"/>
      <c r="M580" s="106" t="n"/>
      <c r="N580" s="106" t="n"/>
      <c r="O580" s="106" t="n"/>
      <c r="P580" s="105" t="n"/>
      <c r="Q580" s="107" t="n"/>
      <c r="R580" s="105" t="n"/>
      <c r="S580" s="107" t="n"/>
      <c r="T580" s="108">
        <f>IFERROR(L580+M580+N580+O580,0)</f>
        <v/>
      </c>
      <c r="U580" s="108">
        <f>IFERROR(H580+IFERROR(I580,0)+T580+IFERROR(AH580,0),0)</f>
        <v/>
      </c>
      <c r="V580" s="256" t="n"/>
      <c r="W580" s="257" t="n"/>
      <c r="X580" s="256" t="n"/>
      <c r="Y580" s="258" t="n"/>
      <c r="Z580" s="259" t="n"/>
      <c r="AA580" s="259" t="n"/>
      <c r="AB580" s="258" t="n"/>
      <c r="AC580" s="256" t="n"/>
      <c r="AD580" s="256" t="n"/>
      <c r="AE580" s="256" t="n"/>
      <c r="AF580" s="256" t="n"/>
      <c r="AG580" s="256" t="n"/>
      <c r="AH580" s="256">
        <f>IFERROR(IFERROR(V580,0)+IFERROR(AC580,0)+IFERROR(AD580,0)+IFERROR(AE580,0)+IFERROR(AF580,0)+IFERROR(AG580,0),0)</f>
        <v/>
      </c>
    </row>
    <row r="581" ht="15" customHeight="1" s="199">
      <c r="A581" s="104" t="n"/>
      <c r="B581" s="104" t="n"/>
      <c r="C581" s="104" t="n"/>
      <c r="D581" s="105" t="n"/>
      <c r="E581" s="105" t="n"/>
      <c r="F581" s="105" t="n"/>
      <c r="G581" s="106" t="n"/>
      <c r="H581" s="106" t="n"/>
      <c r="I581" s="106" t="n"/>
      <c r="J581" s="107" t="n"/>
      <c r="K581" s="105" t="n"/>
      <c r="L581" s="106" t="n"/>
      <c r="M581" s="106" t="n"/>
      <c r="N581" s="106" t="n"/>
      <c r="O581" s="106" t="n"/>
      <c r="P581" s="105" t="n"/>
      <c r="Q581" s="107" t="n"/>
      <c r="R581" s="105" t="n"/>
      <c r="S581" s="107" t="n"/>
      <c r="T581" s="108">
        <f>IFERROR(L581+M581+N581+O581,0)</f>
        <v/>
      </c>
      <c r="U581" s="108">
        <f>IFERROR(H581+IFERROR(I581,0)+T581+IFERROR(AH581,0),0)</f>
        <v/>
      </c>
      <c r="V581" s="256" t="n"/>
      <c r="W581" s="257" t="n"/>
      <c r="X581" s="256" t="n"/>
      <c r="Y581" s="258" t="n"/>
      <c r="Z581" s="259" t="n"/>
      <c r="AA581" s="259" t="n"/>
      <c r="AB581" s="258" t="n"/>
      <c r="AC581" s="256" t="n"/>
      <c r="AD581" s="256" t="n"/>
      <c r="AE581" s="256" t="n"/>
      <c r="AF581" s="256" t="n"/>
      <c r="AG581" s="256" t="n"/>
      <c r="AH581" s="256">
        <f>IFERROR(IFERROR(V581,0)+IFERROR(AC581,0)+IFERROR(AD581,0)+IFERROR(AE581,0)+IFERROR(AF581,0)+IFERROR(AG581,0),0)</f>
        <v/>
      </c>
    </row>
    <row r="582" ht="15" customHeight="1" s="199">
      <c r="A582" s="104" t="n"/>
      <c r="B582" s="104" t="n"/>
      <c r="C582" s="104" t="n"/>
      <c r="D582" s="105" t="n"/>
      <c r="E582" s="105" t="n"/>
      <c r="F582" s="105" t="n"/>
      <c r="G582" s="106" t="n"/>
      <c r="H582" s="106" t="n"/>
      <c r="I582" s="106" t="n"/>
      <c r="J582" s="107" t="n"/>
      <c r="K582" s="105" t="n"/>
      <c r="L582" s="106" t="n"/>
      <c r="M582" s="106" t="n"/>
      <c r="N582" s="106" t="n"/>
      <c r="O582" s="106" t="n"/>
      <c r="P582" s="105" t="n"/>
      <c r="Q582" s="107" t="n"/>
      <c r="R582" s="105" t="n"/>
      <c r="S582" s="107" t="n"/>
      <c r="T582" s="108">
        <f>IFERROR(L582+M582+N582+O582,0)</f>
        <v/>
      </c>
      <c r="U582" s="108">
        <f>IFERROR(H582+IFERROR(I582,0)+T582+IFERROR(AH582,0),0)</f>
        <v/>
      </c>
      <c r="V582" s="256" t="n"/>
      <c r="W582" s="257" t="n"/>
      <c r="X582" s="256" t="n"/>
      <c r="Y582" s="258" t="n"/>
      <c r="Z582" s="259" t="n"/>
      <c r="AA582" s="259" t="n"/>
      <c r="AB582" s="258" t="n"/>
      <c r="AC582" s="256" t="n"/>
      <c r="AD582" s="256" t="n"/>
      <c r="AE582" s="256" t="n"/>
      <c r="AF582" s="256" t="n"/>
      <c r="AG582" s="256" t="n"/>
      <c r="AH582" s="256">
        <f>IFERROR(IFERROR(V582,0)+IFERROR(AC582,0)+IFERROR(AD582,0)+IFERROR(AE582,0)+IFERROR(AF582,0)+IFERROR(AG582,0),0)</f>
        <v/>
      </c>
    </row>
    <row r="583" ht="15" customHeight="1" s="199">
      <c r="A583" s="104" t="n"/>
      <c r="B583" s="104" t="n"/>
      <c r="C583" s="104" t="n"/>
      <c r="D583" s="105" t="n"/>
      <c r="E583" s="105" t="n"/>
      <c r="F583" s="105" t="n"/>
      <c r="G583" s="106" t="n"/>
      <c r="H583" s="106" t="n"/>
      <c r="I583" s="106" t="n"/>
      <c r="J583" s="107" t="n"/>
      <c r="K583" s="105" t="n"/>
      <c r="L583" s="106" t="n"/>
      <c r="M583" s="106" t="n"/>
      <c r="N583" s="106" t="n"/>
      <c r="O583" s="106" t="n"/>
      <c r="P583" s="105" t="n"/>
      <c r="Q583" s="107" t="n"/>
      <c r="R583" s="105" t="n"/>
      <c r="S583" s="107" t="n"/>
      <c r="T583" s="108">
        <f>IFERROR(L583+M583+N583+O583,0)</f>
        <v/>
      </c>
      <c r="U583" s="108">
        <f>IFERROR(H583+IFERROR(I583,0)+T583+IFERROR(AH583,0),0)</f>
        <v/>
      </c>
      <c r="V583" s="256" t="n"/>
      <c r="W583" s="257" t="n"/>
      <c r="X583" s="256" t="n"/>
      <c r="Y583" s="258" t="n"/>
      <c r="Z583" s="259" t="n"/>
      <c r="AA583" s="259" t="n"/>
      <c r="AB583" s="258" t="n"/>
      <c r="AC583" s="256" t="n"/>
      <c r="AD583" s="256" t="n"/>
      <c r="AE583" s="256" t="n"/>
      <c r="AF583" s="256" t="n"/>
      <c r="AG583" s="256" t="n"/>
      <c r="AH583" s="256">
        <f>IFERROR(IFERROR(V583,0)+IFERROR(AC583,0)+IFERROR(AD583,0)+IFERROR(AE583,0)+IFERROR(AF583,0)+IFERROR(AG583,0),0)</f>
        <v/>
      </c>
    </row>
    <row r="584" ht="15" customHeight="1" s="199">
      <c r="A584" s="104" t="n"/>
      <c r="B584" s="104" t="n"/>
      <c r="C584" s="104" t="n"/>
      <c r="D584" s="105" t="n"/>
      <c r="E584" s="105" t="n"/>
      <c r="F584" s="105" t="n"/>
      <c r="G584" s="106" t="n"/>
      <c r="H584" s="106" t="n"/>
      <c r="I584" s="106" t="n"/>
      <c r="J584" s="107" t="n"/>
      <c r="K584" s="105" t="n"/>
      <c r="L584" s="106" t="n"/>
      <c r="M584" s="106" t="n"/>
      <c r="N584" s="106" t="n"/>
      <c r="O584" s="106" t="n"/>
      <c r="P584" s="105" t="n"/>
      <c r="Q584" s="107" t="n"/>
      <c r="R584" s="105" t="n"/>
      <c r="S584" s="107" t="n"/>
      <c r="T584" s="108">
        <f>IFERROR(L584+M584+N584+O584,0)</f>
        <v/>
      </c>
      <c r="U584" s="108">
        <f>IFERROR(H584+IFERROR(I584,0)+T584+IFERROR(AH584,0),0)</f>
        <v/>
      </c>
      <c r="V584" s="256" t="n"/>
      <c r="W584" s="257" t="n"/>
      <c r="X584" s="256" t="n"/>
      <c r="Y584" s="258" t="n"/>
      <c r="Z584" s="259" t="n"/>
      <c r="AA584" s="259" t="n"/>
      <c r="AB584" s="258" t="n"/>
      <c r="AC584" s="256" t="n"/>
      <c r="AD584" s="256" t="n"/>
      <c r="AE584" s="256" t="n"/>
      <c r="AF584" s="256" t="n"/>
      <c r="AG584" s="256" t="n"/>
      <c r="AH584" s="256">
        <f>IFERROR(IFERROR(V584,0)+IFERROR(AC584,0)+IFERROR(AD584,0)+IFERROR(AE584,0)+IFERROR(AF584,0)+IFERROR(AG584,0),0)</f>
        <v/>
      </c>
    </row>
    <row r="585" ht="15" customHeight="1" s="199">
      <c r="A585" s="104" t="n"/>
      <c r="B585" s="104" t="n"/>
      <c r="C585" s="104" t="n"/>
      <c r="D585" s="105" t="n"/>
      <c r="E585" s="105" t="n"/>
      <c r="F585" s="105" t="n"/>
      <c r="G585" s="106" t="n"/>
      <c r="H585" s="106" t="n"/>
      <c r="I585" s="106" t="n"/>
      <c r="J585" s="107" t="n"/>
      <c r="K585" s="105" t="n"/>
      <c r="L585" s="106" t="n"/>
      <c r="M585" s="106" t="n"/>
      <c r="N585" s="106" t="n"/>
      <c r="O585" s="106" t="n"/>
      <c r="P585" s="105" t="n"/>
      <c r="Q585" s="107" t="n"/>
      <c r="R585" s="105" t="n"/>
      <c r="S585" s="107" t="n"/>
      <c r="T585" s="108">
        <f>IFERROR(L585+M585+N585+O585,0)</f>
        <v/>
      </c>
      <c r="U585" s="108">
        <f>IFERROR(H585+IFERROR(I585,0)+T585+IFERROR(AH585,0),0)</f>
        <v/>
      </c>
      <c r="V585" s="256" t="n"/>
      <c r="W585" s="257" t="n"/>
      <c r="X585" s="256" t="n"/>
      <c r="Y585" s="258" t="n"/>
      <c r="Z585" s="259" t="n"/>
      <c r="AA585" s="259" t="n"/>
      <c r="AB585" s="258" t="n"/>
      <c r="AC585" s="256" t="n"/>
      <c r="AD585" s="256" t="n"/>
      <c r="AE585" s="256" t="n"/>
      <c r="AF585" s="256" t="n"/>
      <c r="AG585" s="256" t="n"/>
      <c r="AH585" s="256">
        <f>IFERROR(IFERROR(V585,0)+IFERROR(AC585,0)+IFERROR(AD585,0)+IFERROR(AE585,0)+IFERROR(AF585,0)+IFERROR(AG585,0),0)</f>
        <v/>
      </c>
    </row>
    <row r="586" ht="15" customHeight="1" s="199">
      <c r="A586" s="104" t="n"/>
      <c r="B586" s="104" t="n"/>
      <c r="C586" s="104" t="n"/>
      <c r="D586" s="105" t="n"/>
      <c r="E586" s="105" t="n"/>
      <c r="F586" s="105" t="n"/>
      <c r="G586" s="106" t="n"/>
      <c r="H586" s="106" t="n"/>
      <c r="I586" s="106" t="n"/>
      <c r="J586" s="107" t="n"/>
      <c r="K586" s="105" t="n"/>
      <c r="L586" s="106" t="n"/>
      <c r="M586" s="106" t="n"/>
      <c r="N586" s="106" t="n"/>
      <c r="O586" s="106" t="n"/>
      <c r="P586" s="105" t="n"/>
      <c r="Q586" s="107" t="n"/>
      <c r="R586" s="105" t="n"/>
      <c r="S586" s="107" t="n"/>
      <c r="T586" s="108">
        <f>IFERROR(L586+M586+N586+O586,0)</f>
        <v/>
      </c>
      <c r="U586" s="108">
        <f>IFERROR(H586+IFERROR(I586,0)+T586+IFERROR(AH586,0),0)</f>
        <v/>
      </c>
      <c r="V586" s="256" t="n"/>
      <c r="W586" s="257" t="n"/>
      <c r="X586" s="256" t="n"/>
      <c r="Y586" s="258" t="n"/>
      <c r="Z586" s="259" t="n"/>
      <c r="AA586" s="259" t="n"/>
      <c r="AB586" s="258" t="n"/>
      <c r="AC586" s="256" t="n"/>
      <c r="AD586" s="256" t="n"/>
      <c r="AE586" s="256" t="n"/>
      <c r="AF586" s="256" t="n"/>
      <c r="AG586" s="256" t="n"/>
      <c r="AH586" s="256">
        <f>IFERROR(IFERROR(V586,0)+IFERROR(AC586,0)+IFERROR(AD586,0)+IFERROR(AE586,0)+IFERROR(AF586,0)+IFERROR(AG586,0),0)</f>
        <v/>
      </c>
    </row>
    <row r="587" ht="15" customHeight="1" s="199">
      <c r="A587" s="104" t="n"/>
      <c r="B587" s="104" t="n"/>
      <c r="C587" s="104" t="n"/>
      <c r="D587" s="105" t="n"/>
      <c r="E587" s="105" t="n"/>
      <c r="F587" s="105" t="n"/>
      <c r="G587" s="106" t="n"/>
      <c r="H587" s="106" t="n"/>
      <c r="I587" s="106" t="n"/>
      <c r="J587" s="107" t="n"/>
      <c r="K587" s="105" t="n"/>
      <c r="L587" s="106" t="n"/>
      <c r="M587" s="106" t="n"/>
      <c r="N587" s="106" t="n"/>
      <c r="O587" s="106" t="n"/>
      <c r="P587" s="105" t="n"/>
      <c r="Q587" s="107" t="n"/>
      <c r="R587" s="105" t="n"/>
      <c r="S587" s="107" t="n"/>
      <c r="T587" s="108">
        <f>IFERROR(L587+M587+N587+O587,0)</f>
        <v/>
      </c>
      <c r="U587" s="108">
        <f>IFERROR(H587+IFERROR(I587,0)+T587+IFERROR(AH587,0),0)</f>
        <v/>
      </c>
      <c r="V587" s="256" t="n"/>
      <c r="W587" s="257" t="n"/>
      <c r="X587" s="256" t="n"/>
      <c r="Y587" s="258" t="n"/>
      <c r="Z587" s="259" t="n"/>
      <c r="AA587" s="259" t="n"/>
      <c r="AB587" s="258" t="n"/>
      <c r="AC587" s="256" t="n"/>
      <c r="AD587" s="256" t="n"/>
      <c r="AE587" s="256" t="n"/>
      <c r="AF587" s="256" t="n"/>
      <c r="AG587" s="256" t="n"/>
      <c r="AH587" s="256">
        <f>IFERROR(IFERROR(V587,0)+IFERROR(AC587,0)+IFERROR(AD587,0)+IFERROR(AE587,0)+IFERROR(AF587,0)+IFERROR(AG587,0),0)</f>
        <v/>
      </c>
    </row>
    <row r="588" ht="15" customHeight="1" s="199">
      <c r="A588" s="104" t="n"/>
      <c r="B588" s="104" t="n"/>
      <c r="C588" s="104" t="n"/>
      <c r="D588" s="105" t="n"/>
      <c r="E588" s="105" t="n"/>
      <c r="F588" s="105" t="n"/>
      <c r="G588" s="106" t="n"/>
      <c r="H588" s="106" t="n"/>
      <c r="I588" s="106" t="n"/>
      <c r="J588" s="107" t="n"/>
      <c r="K588" s="105" t="n"/>
      <c r="L588" s="106" t="n"/>
      <c r="M588" s="106" t="n"/>
      <c r="N588" s="106" t="n"/>
      <c r="O588" s="106" t="n"/>
      <c r="P588" s="105" t="n"/>
      <c r="Q588" s="107" t="n"/>
      <c r="R588" s="105" t="n"/>
      <c r="S588" s="107" t="n"/>
      <c r="T588" s="108">
        <f>IFERROR(L588+M588+N588+O588,0)</f>
        <v/>
      </c>
      <c r="U588" s="108">
        <f>IFERROR(H588+IFERROR(I588,0)+T588+IFERROR(AH588,0),0)</f>
        <v/>
      </c>
      <c r="V588" s="256" t="n"/>
      <c r="W588" s="257" t="n"/>
      <c r="X588" s="256" t="n"/>
      <c r="Y588" s="258" t="n"/>
      <c r="Z588" s="259" t="n"/>
      <c r="AA588" s="259" t="n"/>
      <c r="AB588" s="258" t="n"/>
      <c r="AC588" s="256" t="n"/>
      <c r="AD588" s="256" t="n"/>
      <c r="AE588" s="256" t="n"/>
      <c r="AF588" s="256" t="n"/>
      <c r="AG588" s="256" t="n"/>
      <c r="AH588" s="256">
        <f>IFERROR(IFERROR(V588,0)+IFERROR(AC588,0)+IFERROR(AD588,0)+IFERROR(AE588,0)+IFERROR(AF588,0)+IFERROR(AG588,0),0)</f>
        <v/>
      </c>
    </row>
    <row r="589" ht="15" customHeight="1" s="199">
      <c r="A589" s="104" t="n"/>
      <c r="B589" s="104" t="n"/>
      <c r="C589" s="104" t="n"/>
      <c r="D589" s="105" t="n"/>
      <c r="E589" s="105" t="n"/>
      <c r="F589" s="105" t="n"/>
      <c r="G589" s="106" t="n"/>
      <c r="H589" s="106" t="n"/>
      <c r="I589" s="106" t="n"/>
      <c r="J589" s="107" t="n"/>
      <c r="K589" s="105" t="n"/>
      <c r="L589" s="106" t="n"/>
      <c r="M589" s="106" t="n"/>
      <c r="N589" s="106" t="n"/>
      <c r="O589" s="106" t="n"/>
      <c r="P589" s="105" t="n"/>
      <c r="Q589" s="107" t="n"/>
      <c r="R589" s="105" t="n"/>
      <c r="S589" s="107" t="n"/>
      <c r="T589" s="108">
        <f>IFERROR(L589+M589+N589+O589,0)</f>
        <v/>
      </c>
      <c r="U589" s="108">
        <f>IFERROR(H589+IFERROR(I589,0)+T589+IFERROR(AH589,0),0)</f>
        <v/>
      </c>
      <c r="V589" s="256" t="n"/>
      <c r="W589" s="257" t="n"/>
      <c r="X589" s="256" t="n"/>
      <c r="Y589" s="258" t="n"/>
      <c r="Z589" s="259" t="n"/>
      <c r="AA589" s="259" t="n"/>
      <c r="AB589" s="258" t="n"/>
      <c r="AC589" s="256" t="n"/>
      <c r="AD589" s="256" t="n"/>
      <c r="AE589" s="256" t="n"/>
      <c r="AF589" s="256" t="n"/>
      <c r="AG589" s="256" t="n"/>
      <c r="AH589" s="256">
        <f>IFERROR(IFERROR(V589,0)+IFERROR(AC589,0)+IFERROR(AD589,0)+IFERROR(AE589,0)+IFERROR(AF589,0)+IFERROR(AG589,0),0)</f>
        <v/>
      </c>
    </row>
    <row r="590" ht="15" customHeight="1" s="199">
      <c r="A590" s="104" t="n"/>
      <c r="B590" s="104" t="n"/>
      <c r="C590" s="104" t="n"/>
      <c r="D590" s="105" t="n"/>
      <c r="E590" s="105" t="n"/>
      <c r="F590" s="105" t="n"/>
      <c r="G590" s="106" t="n"/>
      <c r="H590" s="106" t="n"/>
      <c r="I590" s="106" t="n"/>
      <c r="J590" s="107" t="n"/>
      <c r="K590" s="105" t="n"/>
      <c r="L590" s="106" t="n"/>
      <c r="M590" s="106" t="n"/>
      <c r="N590" s="106" t="n"/>
      <c r="O590" s="106" t="n"/>
      <c r="P590" s="105" t="n"/>
      <c r="Q590" s="107" t="n"/>
      <c r="R590" s="105" t="n"/>
      <c r="S590" s="107" t="n"/>
      <c r="T590" s="108">
        <f>IFERROR(L590+M590+N590+O590,0)</f>
        <v/>
      </c>
      <c r="U590" s="108">
        <f>IFERROR(H590+IFERROR(I590,0)+T590+IFERROR(AH590,0),0)</f>
        <v/>
      </c>
      <c r="V590" s="256" t="n"/>
      <c r="W590" s="257" t="n"/>
      <c r="X590" s="256" t="n"/>
      <c r="Y590" s="258" t="n"/>
      <c r="Z590" s="259" t="n"/>
      <c r="AA590" s="259" t="n"/>
      <c r="AB590" s="258" t="n"/>
      <c r="AC590" s="256" t="n"/>
      <c r="AD590" s="256" t="n"/>
      <c r="AE590" s="256" t="n"/>
      <c r="AF590" s="256" t="n"/>
      <c r="AG590" s="256" t="n"/>
      <c r="AH590" s="256">
        <f>IFERROR(IFERROR(V590,0)+IFERROR(AC590,0)+IFERROR(AD590,0)+IFERROR(AE590,0)+IFERROR(AF590,0)+IFERROR(AG590,0),0)</f>
        <v/>
      </c>
    </row>
    <row r="591" ht="15" customHeight="1" s="199">
      <c r="A591" s="104" t="n"/>
      <c r="B591" s="104" t="n"/>
      <c r="C591" s="104" t="n"/>
      <c r="D591" s="105" t="n"/>
      <c r="E591" s="105" t="n"/>
      <c r="F591" s="105" t="n"/>
      <c r="G591" s="106" t="n"/>
      <c r="H591" s="106" t="n"/>
      <c r="I591" s="106" t="n"/>
      <c r="J591" s="107" t="n"/>
      <c r="K591" s="105" t="n"/>
      <c r="L591" s="106" t="n"/>
      <c r="M591" s="106" t="n"/>
      <c r="N591" s="106" t="n"/>
      <c r="O591" s="106" t="n"/>
      <c r="P591" s="105" t="n"/>
      <c r="Q591" s="107" t="n"/>
      <c r="R591" s="105" t="n"/>
      <c r="S591" s="107" t="n"/>
      <c r="T591" s="108">
        <f>IFERROR(L591+M591+N591+O591,0)</f>
        <v/>
      </c>
      <c r="U591" s="108">
        <f>IFERROR(H591+IFERROR(I591,0)+T591+IFERROR(AH591,0),0)</f>
        <v/>
      </c>
      <c r="V591" s="256" t="n"/>
      <c r="W591" s="257" t="n"/>
      <c r="X591" s="256" t="n"/>
      <c r="Y591" s="258" t="n"/>
      <c r="Z591" s="259" t="n"/>
      <c r="AA591" s="259" t="n"/>
      <c r="AB591" s="258" t="n"/>
      <c r="AC591" s="256" t="n"/>
      <c r="AD591" s="256" t="n"/>
      <c r="AE591" s="256" t="n"/>
      <c r="AF591" s="256" t="n"/>
      <c r="AG591" s="256" t="n"/>
      <c r="AH591" s="256">
        <f>IFERROR(IFERROR(V591,0)+IFERROR(AC591,0)+IFERROR(AD591,0)+IFERROR(AE591,0)+IFERROR(AF591,0)+IFERROR(AG591,0),0)</f>
        <v/>
      </c>
    </row>
    <row r="592" ht="15" customHeight="1" s="199">
      <c r="A592" s="104" t="n"/>
      <c r="B592" s="104" t="n"/>
      <c r="C592" s="104" t="n"/>
      <c r="D592" s="105" t="n"/>
      <c r="E592" s="105" t="n"/>
      <c r="F592" s="105" t="n"/>
      <c r="G592" s="106" t="n"/>
      <c r="H592" s="106" t="n"/>
      <c r="I592" s="106" t="n"/>
      <c r="J592" s="107" t="n"/>
      <c r="K592" s="105" t="n"/>
      <c r="L592" s="106" t="n"/>
      <c r="M592" s="106" t="n"/>
      <c r="N592" s="106" t="n"/>
      <c r="O592" s="106" t="n"/>
      <c r="P592" s="105" t="n"/>
      <c r="Q592" s="107" t="n"/>
      <c r="R592" s="105" t="n"/>
      <c r="S592" s="107" t="n"/>
      <c r="T592" s="108">
        <f>IFERROR(L592+M592+N592+O592,0)</f>
        <v/>
      </c>
      <c r="U592" s="108">
        <f>IFERROR(H592+IFERROR(I592,0)+T592+IFERROR(AH592,0),0)</f>
        <v/>
      </c>
      <c r="V592" s="256" t="n"/>
      <c r="W592" s="257" t="n"/>
      <c r="X592" s="256" t="n"/>
      <c r="Y592" s="258" t="n"/>
      <c r="Z592" s="259" t="n"/>
      <c r="AA592" s="259" t="n"/>
      <c r="AB592" s="258" t="n"/>
      <c r="AC592" s="256" t="n"/>
      <c r="AD592" s="256" t="n"/>
      <c r="AE592" s="256" t="n"/>
      <c r="AF592" s="256" t="n"/>
      <c r="AG592" s="256" t="n"/>
      <c r="AH592" s="256">
        <f>IFERROR(IFERROR(V592,0)+IFERROR(AC592,0)+IFERROR(AD592,0)+IFERROR(AE592,0)+IFERROR(AF592,0)+IFERROR(AG592,0),0)</f>
        <v/>
      </c>
    </row>
    <row r="593" ht="15" customHeight="1" s="199">
      <c r="A593" s="104" t="n"/>
      <c r="B593" s="104" t="n"/>
      <c r="C593" s="104" t="n"/>
      <c r="D593" s="105" t="n"/>
      <c r="E593" s="105" t="n"/>
      <c r="F593" s="105" t="n"/>
      <c r="G593" s="106" t="n"/>
      <c r="H593" s="106" t="n"/>
      <c r="I593" s="106" t="n"/>
      <c r="J593" s="107" t="n"/>
      <c r="K593" s="105" t="n"/>
      <c r="L593" s="106" t="n"/>
      <c r="M593" s="106" t="n"/>
      <c r="N593" s="106" t="n"/>
      <c r="O593" s="106" t="n"/>
      <c r="P593" s="105" t="n"/>
      <c r="Q593" s="107" t="n"/>
      <c r="R593" s="105" t="n"/>
      <c r="S593" s="107" t="n"/>
      <c r="T593" s="108">
        <f>IFERROR(L593+M593+N593+O593,0)</f>
        <v/>
      </c>
      <c r="U593" s="108">
        <f>IFERROR(H593+IFERROR(I593,0)+T593+IFERROR(AH593,0),0)</f>
        <v/>
      </c>
      <c r="V593" s="256" t="n"/>
      <c r="W593" s="257" t="n"/>
      <c r="X593" s="256" t="n"/>
      <c r="Y593" s="258" t="n"/>
      <c r="Z593" s="259" t="n"/>
      <c r="AA593" s="259" t="n"/>
      <c r="AB593" s="258" t="n"/>
      <c r="AC593" s="256" t="n"/>
      <c r="AD593" s="256" t="n"/>
      <c r="AE593" s="256" t="n"/>
      <c r="AF593" s="256" t="n"/>
      <c r="AG593" s="256" t="n"/>
      <c r="AH593" s="256">
        <f>IFERROR(IFERROR(V593,0)+IFERROR(AC593,0)+IFERROR(AD593,0)+IFERROR(AE593,0)+IFERROR(AF593,0)+IFERROR(AG593,0),0)</f>
        <v/>
      </c>
    </row>
    <row r="594" ht="15" customHeight="1" s="199">
      <c r="A594" s="104" t="n"/>
      <c r="B594" s="104" t="n"/>
      <c r="C594" s="104" t="n"/>
      <c r="D594" s="105" t="n"/>
      <c r="E594" s="105" t="n"/>
      <c r="F594" s="105" t="n"/>
      <c r="G594" s="106" t="n"/>
      <c r="H594" s="106" t="n"/>
      <c r="I594" s="106" t="n"/>
      <c r="J594" s="107" t="n"/>
      <c r="K594" s="105" t="n"/>
      <c r="L594" s="106" t="n"/>
      <c r="M594" s="106" t="n"/>
      <c r="N594" s="106" t="n"/>
      <c r="O594" s="106" t="n"/>
      <c r="P594" s="105" t="n"/>
      <c r="Q594" s="107" t="n"/>
      <c r="R594" s="105" t="n"/>
      <c r="S594" s="107" t="n"/>
      <c r="T594" s="108">
        <f>IFERROR(L594+M594+N594+O594,0)</f>
        <v/>
      </c>
      <c r="U594" s="108">
        <f>IFERROR(H594+IFERROR(I594,0)+T594+IFERROR(AH594,0),0)</f>
        <v/>
      </c>
      <c r="V594" s="256" t="n"/>
      <c r="W594" s="257" t="n"/>
      <c r="X594" s="256" t="n"/>
      <c r="Y594" s="258" t="n"/>
      <c r="Z594" s="259" t="n"/>
      <c r="AA594" s="259" t="n"/>
      <c r="AB594" s="258" t="n"/>
      <c r="AC594" s="256" t="n"/>
      <c r="AD594" s="256" t="n"/>
      <c r="AE594" s="256" t="n"/>
      <c r="AF594" s="256" t="n"/>
      <c r="AG594" s="256" t="n"/>
      <c r="AH594" s="256">
        <f>IFERROR(IFERROR(V594,0)+IFERROR(AC594,0)+IFERROR(AD594,0)+IFERROR(AE594,0)+IFERROR(AF594,0)+IFERROR(AG594,0),0)</f>
        <v/>
      </c>
    </row>
    <row r="595" ht="15" customHeight="1" s="199">
      <c r="A595" s="104" t="n"/>
      <c r="B595" s="104" t="n"/>
      <c r="C595" s="104" t="n"/>
      <c r="D595" s="105" t="n"/>
      <c r="E595" s="105" t="n"/>
      <c r="F595" s="105" t="n"/>
      <c r="G595" s="106" t="n"/>
      <c r="H595" s="106" t="n"/>
      <c r="I595" s="106" t="n"/>
      <c r="J595" s="107" t="n"/>
      <c r="K595" s="105" t="n"/>
      <c r="L595" s="106" t="n"/>
      <c r="M595" s="106" t="n"/>
      <c r="N595" s="106" t="n"/>
      <c r="O595" s="106" t="n"/>
      <c r="P595" s="105" t="n"/>
      <c r="Q595" s="107" t="n"/>
      <c r="R595" s="105" t="n"/>
      <c r="S595" s="107" t="n"/>
      <c r="T595" s="108">
        <f>IFERROR(L595+M595+N595+O595,0)</f>
        <v/>
      </c>
      <c r="U595" s="108">
        <f>IFERROR(H595+IFERROR(I595,0)+T595+IFERROR(AH595,0),0)</f>
        <v/>
      </c>
      <c r="V595" s="256" t="n"/>
      <c r="W595" s="257" t="n"/>
      <c r="X595" s="256" t="n"/>
      <c r="Y595" s="258" t="n"/>
      <c r="Z595" s="259" t="n"/>
      <c r="AA595" s="259" t="n"/>
      <c r="AB595" s="258" t="n"/>
      <c r="AC595" s="256" t="n"/>
      <c r="AD595" s="256" t="n"/>
      <c r="AE595" s="256" t="n"/>
      <c r="AF595" s="256" t="n"/>
      <c r="AG595" s="256" t="n"/>
      <c r="AH595" s="256">
        <f>IFERROR(IFERROR(V595,0)+IFERROR(AC595,0)+IFERROR(AD595,0)+IFERROR(AE595,0)+IFERROR(AF595,0)+IFERROR(AG595,0),0)</f>
        <v/>
      </c>
    </row>
    <row r="596" ht="15" customHeight="1" s="199">
      <c r="A596" s="104" t="n"/>
      <c r="B596" s="104" t="n"/>
      <c r="C596" s="104" t="n"/>
      <c r="D596" s="105" t="n"/>
      <c r="E596" s="105" t="n"/>
      <c r="F596" s="105" t="n"/>
      <c r="G596" s="106" t="n"/>
      <c r="H596" s="106" t="n"/>
      <c r="I596" s="106" t="n"/>
      <c r="J596" s="107" t="n"/>
      <c r="K596" s="105" t="n"/>
      <c r="L596" s="106" t="n"/>
      <c r="M596" s="106" t="n"/>
      <c r="N596" s="106" t="n"/>
      <c r="O596" s="106" t="n"/>
      <c r="P596" s="105" t="n"/>
      <c r="Q596" s="107" t="n"/>
      <c r="R596" s="105" t="n"/>
      <c r="S596" s="107" t="n"/>
      <c r="T596" s="108">
        <f>IFERROR(L596+M596+N596+O596,0)</f>
        <v/>
      </c>
      <c r="U596" s="108">
        <f>IFERROR(H596+IFERROR(I596,0)+T596+IFERROR(AH596,0),0)</f>
        <v/>
      </c>
      <c r="V596" s="256" t="n"/>
      <c r="W596" s="257" t="n"/>
      <c r="X596" s="256" t="n"/>
      <c r="Y596" s="258" t="n"/>
      <c r="Z596" s="259" t="n"/>
      <c r="AA596" s="259" t="n"/>
      <c r="AB596" s="258" t="n"/>
      <c r="AC596" s="256" t="n"/>
      <c r="AD596" s="256" t="n"/>
      <c r="AE596" s="256" t="n"/>
      <c r="AF596" s="256" t="n"/>
      <c r="AG596" s="256" t="n"/>
      <c r="AH596" s="256">
        <f>IFERROR(IFERROR(V596,0)+IFERROR(AC596,0)+IFERROR(AD596,0)+IFERROR(AE596,0)+IFERROR(AF596,0)+IFERROR(AG596,0),0)</f>
        <v/>
      </c>
    </row>
    <row r="597" ht="15" customHeight="1" s="199">
      <c r="A597" s="104" t="n"/>
      <c r="B597" s="104" t="n"/>
      <c r="C597" s="104" t="n"/>
      <c r="D597" s="105" t="n"/>
      <c r="E597" s="105" t="n"/>
      <c r="F597" s="105" t="n"/>
      <c r="G597" s="106" t="n"/>
      <c r="H597" s="106" t="n"/>
      <c r="I597" s="106" t="n"/>
      <c r="J597" s="107" t="n"/>
      <c r="K597" s="105" t="n"/>
      <c r="L597" s="106" t="n"/>
      <c r="M597" s="106" t="n"/>
      <c r="N597" s="106" t="n"/>
      <c r="O597" s="106" t="n"/>
      <c r="P597" s="105" t="n"/>
      <c r="Q597" s="107" t="n"/>
      <c r="R597" s="105" t="n"/>
      <c r="S597" s="107" t="n"/>
      <c r="T597" s="108">
        <f>IFERROR(L597+M597+N597+O597,0)</f>
        <v/>
      </c>
      <c r="U597" s="108">
        <f>IFERROR(H597+IFERROR(I597,0)+T597+IFERROR(AH597,0),0)</f>
        <v/>
      </c>
      <c r="V597" s="256" t="n"/>
      <c r="W597" s="257" t="n"/>
      <c r="X597" s="256" t="n"/>
      <c r="Y597" s="258" t="n"/>
      <c r="Z597" s="259" t="n"/>
      <c r="AA597" s="259" t="n"/>
      <c r="AB597" s="258" t="n"/>
      <c r="AC597" s="256" t="n"/>
      <c r="AD597" s="256" t="n"/>
      <c r="AE597" s="256" t="n"/>
      <c r="AF597" s="256" t="n"/>
      <c r="AG597" s="256" t="n"/>
      <c r="AH597" s="256">
        <f>IFERROR(IFERROR(V597,0)+IFERROR(AC597,0)+IFERROR(AD597,0)+IFERROR(AE597,0)+IFERROR(AF597,0)+IFERROR(AG597,0),0)</f>
        <v/>
      </c>
    </row>
    <row r="598" ht="15" customHeight="1" s="199">
      <c r="A598" s="104" t="n"/>
      <c r="B598" s="104" t="n"/>
      <c r="C598" s="104" t="n"/>
      <c r="D598" s="105" t="n"/>
      <c r="E598" s="105" t="n"/>
      <c r="F598" s="105" t="n"/>
      <c r="G598" s="106" t="n"/>
      <c r="H598" s="106" t="n"/>
      <c r="I598" s="106" t="n"/>
      <c r="J598" s="107" t="n"/>
      <c r="K598" s="105" t="n"/>
      <c r="L598" s="106" t="n"/>
      <c r="M598" s="106" t="n"/>
      <c r="N598" s="106" t="n"/>
      <c r="O598" s="106" t="n"/>
      <c r="P598" s="105" t="n"/>
      <c r="Q598" s="107" t="n"/>
      <c r="R598" s="105" t="n"/>
      <c r="S598" s="107" t="n"/>
      <c r="T598" s="108">
        <f>IFERROR(L598+M598+N598+O598,0)</f>
        <v/>
      </c>
      <c r="U598" s="108">
        <f>IFERROR(H598+IFERROR(I598,0)+T598+IFERROR(AH598,0),0)</f>
        <v/>
      </c>
      <c r="V598" s="256" t="n"/>
      <c r="W598" s="257" t="n"/>
      <c r="X598" s="256" t="n"/>
      <c r="Y598" s="258" t="n"/>
      <c r="Z598" s="259" t="n"/>
      <c r="AA598" s="259" t="n"/>
      <c r="AB598" s="258" t="n"/>
      <c r="AC598" s="256" t="n"/>
      <c r="AD598" s="256" t="n"/>
      <c r="AE598" s="256" t="n"/>
      <c r="AF598" s="256" t="n"/>
      <c r="AG598" s="256" t="n"/>
      <c r="AH598" s="256">
        <f>IFERROR(IFERROR(V598,0)+IFERROR(AC598,0)+IFERROR(AD598,0)+IFERROR(AE598,0)+IFERROR(AF598,0)+IFERROR(AG598,0),0)</f>
        <v/>
      </c>
    </row>
    <row r="599" ht="15" customHeight="1" s="199">
      <c r="A599" s="104" t="n"/>
      <c r="B599" s="104" t="n"/>
      <c r="C599" s="104" t="n"/>
      <c r="D599" s="105" t="n"/>
      <c r="E599" s="105" t="n"/>
      <c r="F599" s="105" t="n"/>
      <c r="G599" s="106" t="n"/>
      <c r="H599" s="106" t="n"/>
      <c r="I599" s="106" t="n"/>
      <c r="J599" s="107" t="n"/>
      <c r="K599" s="105" t="n"/>
      <c r="L599" s="106" t="n"/>
      <c r="M599" s="106" t="n"/>
      <c r="N599" s="106" t="n"/>
      <c r="O599" s="106" t="n"/>
      <c r="P599" s="105" t="n"/>
      <c r="Q599" s="107" t="n"/>
      <c r="R599" s="105" t="n"/>
      <c r="S599" s="107" t="n"/>
      <c r="T599" s="108">
        <f>IFERROR(L599+M599+N599+O599,0)</f>
        <v/>
      </c>
      <c r="U599" s="108">
        <f>IFERROR(H599+IFERROR(I599,0)+T599+IFERROR(AH599,0),0)</f>
        <v/>
      </c>
      <c r="V599" s="256" t="n"/>
      <c r="W599" s="257" t="n"/>
      <c r="X599" s="256" t="n"/>
      <c r="Y599" s="258" t="n"/>
      <c r="Z599" s="259" t="n"/>
      <c r="AA599" s="259" t="n"/>
      <c r="AB599" s="258" t="n"/>
      <c r="AC599" s="256" t="n"/>
      <c r="AD599" s="256" t="n"/>
      <c r="AE599" s="256" t="n"/>
      <c r="AF599" s="256" t="n"/>
      <c r="AG599" s="256" t="n"/>
      <c r="AH599" s="256">
        <f>IFERROR(IFERROR(V599,0)+IFERROR(AC599,0)+IFERROR(AD599,0)+IFERROR(AE599,0)+IFERROR(AF599,0)+IFERROR(AG599,0),0)</f>
        <v/>
      </c>
    </row>
    <row r="600" ht="15" customHeight="1" s="199">
      <c r="A600" s="104" t="n"/>
      <c r="B600" s="104" t="n"/>
      <c r="C600" s="104" t="n"/>
      <c r="D600" s="105" t="n"/>
      <c r="E600" s="105" t="n"/>
      <c r="F600" s="105" t="n"/>
      <c r="G600" s="106" t="n"/>
      <c r="H600" s="106" t="n"/>
      <c r="I600" s="106" t="n"/>
      <c r="J600" s="107" t="n"/>
      <c r="K600" s="105" t="n"/>
      <c r="L600" s="106" t="n"/>
      <c r="M600" s="106" t="n"/>
      <c r="N600" s="106" t="n"/>
      <c r="O600" s="106" t="n"/>
      <c r="P600" s="105" t="n"/>
      <c r="Q600" s="107" t="n"/>
      <c r="R600" s="105" t="n"/>
      <c r="S600" s="107" t="n"/>
      <c r="T600" s="108">
        <f>IFERROR(L600+M600+N600+O600,0)</f>
        <v/>
      </c>
      <c r="U600" s="108">
        <f>IFERROR(H600+IFERROR(I600,0)+T600+IFERROR(AH600,0),0)</f>
        <v/>
      </c>
      <c r="V600" s="256" t="n"/>
      <c r="W600" s="257" t="n"/>
      <c r="X600" s="256" t="n"/>
      <c r="Y600" s="258" t="n"/>
      <c r="Z600" s="259" t="n"/>
      <c r="AA600" s="259" t="n"/>
      <c r="AB600" s="258" t="n"/>
      <c r="AC600" s="256" t="n"/>
      <c r="AD600" s="256" t="n"/>
      <c r="AE600" s="256" t="n"/>
      <c r="AF600" s="256" t="n"/>
      <c r="AG600" s="256" t="n"/>
      <c r="AH600" s="256">
        <f>IFERROR(IFERROR(V600,0)+IFERROR(AC600,0)+IFERROR(AD600,0)+IFERROR(AE600,0)+IFERROR(AF600,0)+IFERROR(AG600,0),0)</f>
        <v/>
      </c>
    </row>
    <row r="601" ht="15" customHeight="1" s="199">
      <c r="A601" s="104" t="n"/>
      <c r="B601" s="104" t="n"/>
      <c r="C601" s="104" t="n"/>
      <c r="D601" s="105" t="n"/>
      <c r="E601" s="105" t="n"/>
      <c r="F601" s="105" t="n"/>
      <c r="G601" s="106" t="n"/>
      <c r="H601" s="106" t="n"/>
      <c r="I601" s="106" t="n"/>
      <c r="J601" s="107" t="n"/>
      <c r="K601" s="105" t="n"/>
      <c r="L601" s="106" t="n"/>
      <c r="M601" s="106" t="n"/>
      <c r="N601" s="106" t="n"/>
      <c r="O601" s="106" t="n"/>
      <c r="P601" s="105" t="n"/>
      <c r="Q601" s="107" t="n"/>
      <c r="R601" s="105" t="n"/>
      <c r="S601" s="107" t="n"/>
      <c r="T601" s="108">
        <f>IFERROR(L601+M601+N601+O601,0)</f>
        <v/>
      </c>
      <c r="U601" s="108">
        <f>IFERROR(H601+IFERROR(I601,0)+T601+IFERROR(AH601,0),0)</f>
        <v/>
      </c>
      <c r="V601" s="256" t="n"/>
      <c r="W601" s="257" t="n"/>
      <c r="X601" s="256" t="n"/>
      <c r="Y601" s="258" t="n"/>
      <c r="Z601" s="259" t="n"/>
      <c r="AA601" s="259" t="n"/>
      <c r="AB601" s="258" t="n"/>
      <c r="AC601" s="256" t="n"/>
      <c r="AD601" s="256" t="n"/>
      <c r="AE601" s="256" t="n"/>
      <c r="AF601" s="256" t="n"/>
      <c r="AG601" s="256" t="n"/>
      <c r="AH601" s="256">
        <f>IFERROR(IFERROR(V601,0)+IFERROR(AC601,0)+IFERROR(AD601,0)+IFERROR(AE601,0)+IFERROR(AF601,0)+IFERROR(AG601,0),0)</f>
        <v/>
      </c>
    </row>
    <row r="602" ht="15" customHeight="1" s="199">
      <c r="A602" s="104" t="n"/>
      <c r="B602" s="104" t="n"/>
      <c r="C602" s="104" t="n"/>
      <c r="D602" s="105" t="n"/>
      <c r="E602" s="105" t="n"/>
      <c r="F602" s="105" t="n"/>
      <c r="G602" s="106" t="n"/>
      <c r="H602" s="106" t="n"/>
      <c r="I602" s="106" t="n"/>
      <c r="J602" s="107" t="n"/>
      <c r="K602" s="105" t="n"/>
      <c r="L602" s="106" t="n"/>
      <c r="M602" s="106" t="n"/>
      <c r="N602" s="106" t="n"/>
      <c r="O602" s="106" t="n"/>
      <c r="P602" s="105" t="n"/>
      <c r="Q602" s="107" t="n"/>
      <c r="R602" s="105" t="n"/>
      <c r="S602" s="107" t="n"/>
      <c r="T602" s="108">
        <f>IFERROR(L602+M602+N602+O602,0)</f>
        <v/>
      </c>
      <c r="U602" s="108">
        <f>IFERROR(H602+IFERROR(I602,0)+T602+IFERROR(AH602,0),0)</f>
        <v/>
      </c>
      <c r="V602" s="256" t="n"/>
      <c r="W602" s="257" t="n"/>
      <c r="X602" s="256" t="n"/>
      <c r="Y602" s="258" t="n"/>
      <c r="Z602" s="259" t="n"/>
      <c r="AA602" s="259" t="n"/>
      <c r="AB602" s="258" t="n"/>
      <c r="AC602" s="256" t="n"/>
      <c r="AD602" s="256" t="n"/>
      <c r="AE602" s="256" t="n"/>
      <c r="AF602" s="256" t="n"/>
      <c r="AG602" s="256" t="n"/>
      <c r="AH602" s="256">
        <f>IFERROR(IFERROR(V602,0)+IFERROR(AC602,0)+IFERROR(AD602,0)+IFERROR(AE602,0)+IFERROR(AF602,0)+IFERROR(AG602,0),0)</f>
        <v/>
      </c>
    </row>
    <row r="603" ht="15" customHeight="1" s="199">
      <c r="A603" s="104" t="n"/>
      <c r="B603" s="104" t="n"/>
      <c r="C603" s="104" t="n"/>
      <c r="D603" s="105" t="n"/>
      <c r="E603" s="105" t="n"/>
      <c r="F603" s="105" t="n"/>
      <c r="G603" s="106" t="n"/>
      <c r="H603" s="106" t="n"/>
      <c r="I603" s="106" t="n"/>
      <c r="J603" s="107" t="n"/>
      <c r="K603" s="105" t="n"/>
      <c r="L603" s="106" t="n"/>
      <c r="M603" s="106" t="n"/>
      <c r="N603" s="106" t="n"/>
      <c r="O603" s="106" t="n"/>
      <c r="P603" s="105" t="n"/>
      <c r="Q603" s="107" t="n"/>
      <c r="R603" s="105" t="n"/>
      <c r="S603" s="107" t="n"/>
      <c r="T603" s="108">
        <f>IFERROR(L603+M603+N603+O603,0)</f>
        <v/>
      </c>
      <c r="U603" s="108">
        <f>IFERROR(H603+IFERROR(I603,0)+T603+IFERROR(AH603,0),0)</f>
        <v/>
      </c>
      <c r="V603" s="256" t="n"/>
      <c r="W603" s="257" t="n"/>
      <c r="X603" s="256" t="n"/>
      <c r="Y603" s="258" t="n"/>
      <c r="Z603" s="259" t="n"/>
      <c r="AA603" s="259" t="n"/>
      <c r="AB603" s="258" t="n"/>
      <c r="AC603" s="256" t="n"/>
      <c r="AD603" s="256" t="n"/>
      <c r="AE603" s="256" t="n"/>
      <c r="AF603" s="256" t="n"/>
      <c r="AG603" s="256" t="n"/>
      <c r="AH603" s="256">
        <f>IFERROR(IFERROR(V603,0)+IFERROR(AC603,0)+IFERROR(AD603,0)+IFERROR(AE603,0)+IFERROR(AF603,0)+IFERROR(AG603,0),0)</f>
        <v/>
      </c>
    </row>
    <row r="604" ht="15" customHeight="1" s="199">
      <c r="A604" s="104" t="n"/>
      <c r="B604" s="104" t="n"/>
      <c r="C604" s="104" t="n"/>
      <c r="D604" s="105" t="n"/>
      <c r="E604" s="105" t="n"/>
      <c r="F604" s="105" t="n"/>
      <c r="G604" s="106" t="n"/>
      <c r="H604" s="106" t="n"/>
      <c r="I604" s="106" t="n"/>
      <c r="J604" s="107" t="n"/>
      <c r="K604" s="105" t="n"/>
      <c r="L604" s="106" t="n"/>
      <c r="M604" s="106" t="n"/>
      <c r="N604" s="106" t="n"/>
      <c r="O604" s="106" t="n"/>
      <c r="P604" s="105" t="n"/>
      <c r="Q604" s="107" t="n"/>
      <c r="R604" s="105" t="n"/>
      <c r="S604" s="107" t="n"/>
      <c r="T604" s="108">
        <f>IFERROR(L604+M604+N604+O604,0)</f>
        <v/>
      </c>
      <c r="U604" s="108">
        <f>IFERROR(H604+IFERROR(I604,0)+T604+IFERROR(AH604,0),0)</f>
        <v/>
      </c>
      <c r="V604" s="256" t="n"/>
      <c r="W604" s="257" t="n"/>
      <c r="X604" s="256" t="n"/>
      <c r="Y604" s="258" t="n"/>
      <c r="Z604" s="259" t="n"/>
      <c r="AA604" s="259" t="n"/>
      <c r="AB604" s="258" t="n"/>
      <c r="AC604" s="256" t="n"/>
      <c r="AD604" s="256" t="n"/>
      <c r="AE604" s="256" t="n"/>
      <c r="AF604" s="256" t="n"/>
      <c r="AG604" s="256" t="n"/>
      <c r="AH604" s="256">
        <f>IFERROR(IFERROR(V604,0)+IFERROR(AC604,0)+IFERROR(AD604,0)+IFERROR(AE604,0)+IFERROR(AF604,0)+IFERROR(AG604,0),0)</f>
        <v/>
      </c>
    </row>
    <row r="605" ht="15" customHeight="1" s="199">
      <c r="A605" s="104" t="n"/>
      <c r="B605" s="104" t="n"/>
      <c r="C605" s="104" t="n"/>
      <c r="D605" s="105" t="n"/>
      <c r="E605" s="105" t="n"/>
      <c r="F605" s="105" t="n"/>
      <c r="G605" s="106" t="n"/>
      <c r="H605" s="106" t="n"/>
      <c r="I605" s="106" t="n"/>
      <c r="J605" s="107" t="n"/>
      <c r="K605" s="105" t="n"/>
      <c r="L605" s="106" t="n"/>
      <c r="M605" s="106" t="n"/>
      <c r="N605" s="106" t="n"/>
      <c r="O605" s="106" t="n"/>
      <c r="P605" s="105" t="n"/>
      <c r="Q605" s="107" t="n"/>
      <c r="R605" s="105" t="n"/>
      <c r="S605" s="107" t="n"/>
      <c r="T605" s="108">
        <f>IFERROR(L605+M605+N605+O605,0)</f>
        <v/>
      </c>
      <c r="U605" s="108">
        <f>IFERROR(H605+IFERROR(I605,0)+T605+IFERROR(AH605,0),0)</f>
        <v/>
      </c>
      <c r="V605" s="256" t="n"/>
      <c r="W605" s="257" t="n"/>
      <c r="X605" s="256" t="n"/>
      <c r="Y605" s="258" t="n"/>
      <c r="Z605" s="259" t="n"/>
      <c r="AA605" s="259" t="n"/>
      <c r="AB605" s="258" t="n"/>
      <c r="AC605" s="256" t="n"/>
      <c r="AD605" s="256" t="n"/>
      <c r="AE605" s="256" t="n"/>
      <c r="AF605" s="256" t="n"/>
      <c r="AG605" s="256" t="n"/>
      <c r="AH605" s="256">
        <f>IFERROR(IFERROR(V605,0)+IFERROR(AC605,0)+IFERROR(AD605,0)+IFERROR(AE605,0)+IFERROR(AF605,0)+IFERROR(AG605,0),0)</f>
        <v/>
      </c>
    </row>
    <row r="606" ht="15" customHeight="1" s="199">
      <c r="A606" s="104" t="n"/>
      <c r="B606" s="104" t="n"/>
      <c r="C606" s="104" t="n"/>
      <c r="D606" s="105" t="n"/>
      <c r="E606" s="105" t="n"/>
      <c r="F606" s="105" t="n"/>
      <c r="G606" s="106" t="n"/>
      <c r="H606" s="106" t="n"/>
      <c r="I606" s="106" t="n"/>
      <c r="J606" s="107" t="n"/>
      <c r="K606" s="105" t="n"/>
      <c r="L606" s="106" t="n"/>
      <c r="M606" s="106" t="n"/>
      <c r="N606" s="106" t="n"/>
      <c r="O606" s="106" t="n"/>
      <c r="P606" s="105" t="n"/>
      <c r="Q606" s="107" t="n"/>
      <c r="R606" s="105" t="n"/>
      <c r="S606" s="107" t="n"/>
      <c r="T606" s="108">
        <f>IFERROR(L606+M606+N606+O606,0)</f>
        <v/>
      </c>
      <c r="U606" s="108">
        <f>IFERROR(H606+IFERROR(I606,0)+T606+IFERROR(AH606,0),0)</f>
        <v/>
      </c>
      <c r="V606" s="256" t="n"/>
      <c r="W606" s="257" t="n"/>
      <c r="X606" s="256" t="n"/>
      <c r="Y606" s="258" t="n"/>
      <c r="Z606" s="259" t="n"/>
      <c r="AA606" s="259" t="n"/>
      <c r="AB606" s="258" t="n"/>
      <c r="AC606" s="256" t="n"/>
      <c r="AD606" s="256" t="n"/>
      <c r="AE606" s="256" t="n"/>
      <c r="AF606" s="256" t="n"/>
      <c r="AG606" s="256" t="n"/>
      <c r="AH606" s="256">
        <f>IFERROR(IFERROR(V606,0)+IFERROR(AC606,0)+IFERROR(AD606,0)+IFERROR(AE606,0)+IFERROR(AF606,0)+IFERROR(AG606,0),0)</f>
        <v/>
      </c>
    </row>
  </sheetData>
  <dataValidations disablePrompts="1" count="5">
    <dataValidation sqref="D7:D606" showDropDown="0" showInputMessage="0" showErrorMessage="0" allowBlank="1" errorTitle="Invalid" type="list">
      <formula1>"AL,MC,IL"</formula1>
      <formula2>0</formula2>
    </dataValidation>
    <dataValidation sqref="E7:E606" showDropDown="0" showInputMessage="0" showErrorMessage="0" allowBlank="1" errorTitle="Invalid" type="list">
      <formula1>"Occupied,Vacant,Notice,Eviction"</formula1>
      <formula2>0</formula2>
    </dataValidation>
    <dataValidation sqref="F7:F606" showDropDown="0" showInputMessage="0" showErrorMessage="1" allowBlank="1" errorTitle="Note" error="Value not in list — continuing with custom entry." type="list" errorStyle="warning">
      <formula1>"Studio,1 Bedroom,1 Bedroom Deluxe,2 Bedroom,2 Bedroom Deluxe,Semi-Private,Other"</formula1>
      <formula2>0</formula2>
    </dataValidation>
    <dataValidation sqref="K7:K606" showDropDown="0" showInputMessage="0" showErrorMessage="1" allowBlank="1" errorTitle="Note" error="Value not in list — continuing with custom entry." type="list" errorStyle="warning">
      <formula1>"Basic,Level 2,Level 3,Level 4,Level 5,Level 6,Level 7,Other"</formula1>
      <formula2>0</formula2>
    </dataValidation>
    <dataValidation sqref="P7:P606" showDropDown="0" showInputMessage="0" showErrorMessage="1" allowBlank="1" errorTitle="Note" error="Value not in list — continuing with custom entry." type="list" errorStyle="warning">
      <formula1>"Private Pay,Medicaid,LTC Insurance,VA,Managed Care,Self-Pay,Other"</formula1>
      <formula2>0</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AZ183"/>
  <sheetViews>
    <sheetView zoomScaleNormal="100" workbookViewId="0">
      <pane ySplit="4" topLeftCell="A5" activePane="bottomLeft" state="frozen"/>
      <selection pane="bottomLeft" activeCell="D7" sqref="D7"/>
    </sheetView>
  </sheetViews>
  <sheetFormatPr baseColWidth="8" defaultColWidth="8.7109375" defaultRowHeight="15"/>
  <cols>
    <col width="38" customWidth="1" style="199" min="1" max="1"/>
    <col width="13" customWidth="1" style="199" min="2" max="7"/>
    <col width="63.140625" customWidth="1" style="199" min="8" max="8"/>
    <col width="24.85546875" customWidth="1" style="199" min="9" max="9"/>
  </cols>
  <sheetData>
    <row r="1" ht="27.75" customHeight="1" s="199">
      <c r="A1" s="189" t="inlineStr">
        <is>
          <t>Rent Roll Reconciliation  —  RR vs. T12 Gap Analysis</t>
        </is>
      </c>
      <c r="AZ1" t="inlineStr">
        <is>
          <t>RR ↔ T12 reconciliation diagnostic</t>
        </is>
      </c>
    </row>
    <row r="2" ht="30" customHeight="1" s="199">
      <c r="A2" s="109" t="inlineStr">
        <is>
          <t>Select period:</t>
        </is>
      </c>
      <c r="B2" s="110">
        <f>IF(MAX('Rent Roll Input'!$S$7:$S$606)&gt;0,MAX('Rent Roll Input'!$S$7:$S$606),"")</f>
        <v/>
      </c>
      <c r="C2" s="191" t="inlineStr">
        <is>
          <t>← date from Rent Roll Input col S. All tables auto-update.</t>
        </is>
      </c>
      <c r="AZ2" t="inlineStr">
        <is>
          <t>aggregator</t>
        </is>
      </c>
    </row>
    <row r="3" ht="6" customHeight="1" s="199">
      <c r="AZ3" t="inlineStr">
        <is>
          <t>visible</t>
        </is>
      </c>
    </row>
    <row r="4" ht="24" customHeight="1" s="199">
      <c r="A4" s="111" t="inlineStr">
        <is>
          <t>Metric</t>
        </is>
      </c>
      <c r="B4" s="10" t="inlineStr">
        <is>
          <t>IL</t>
        </is>
      </c>
      <c r="C4" s="10" t="inlineStr">
        <is>
          <t>AL</t>
        </is>
      </c>
      <c r="D4" s="10" t="inlineStr">
        <is>
          <t>MC</t>
        </is>
      </c>
      <c r="E4" s="10" t="inlineStr">
        <is>
          <t>Total</t>
        </is>
      </c>
      <c r="F4" s="10" t="n"/>
      <c r="G4" s="10" t="n"/>
      <c r="H4" s="10" t="inlineStr">
        <is>
          <t>Flag / Note</t>
        </is>
      </c>
      <c r="I4" s="200" t="n"/>
      <c r="AZ4" t="inlineStr">
        <is>
          <t>v0.2.7</t>
        </is>
      </c>
    </row>
    <row r="5" ht="6" customHeight="1" s="199"/>
    <row r="6" ht="18" customHeight="1" s="199">
      <c r="A6" s="174" t="inlineStr">
        <is>
          <t>A  ·  UNIT COUNTS  (from selected rent roll period)</t>
        </is>
      </c>
    </row>
    <row r="7" ht="15.75" customHeight="1" s="199">
      <c r="A7" s="112" t="inlineStr">
        <is>
          <t>Total units (all statuses)</t>
        </is>
      </c>
      <c r="B7" s="113">
        <f>COUNTIFS('Rent Roll Input'!$S$7:$S$606,'Rent Roll Recon'!$B$2,'Rent Roll Input'!$A$7:$A$606,"&lt;&gt;",'Rent Roll Input'!$D$7:$D$606,"IL")</f>
        <v/>
      </c>
      <c r="C7" s="113">
        <f>COUNTIFS('Rent Roll Input'!$S$7:$S$606,'Rent Roll Recon'!$B$2,'Rent Roll Input'!$A$7:$A$606,"&lt;&gt;",'Rent Roll Input'!$D$7:$D$606,"AL")</f>
        <v/>
      </c>
      <c r="D7" s="113">
        <f>COUNTIFS('Rent Roll Input'!$S$7:$S$606,'Rent Roll Recon'!$B$2,'Rent Roll Input'!$A$7:$A$606,"&lt;&gt;",'Rent Roll Input'!$D$7:$D$606,"MC")</f>
        <v/>
      </c>
      <c r="E7" s="114">
        <f>SUM(B7:D7)</f>
        <v/>
      </c>
      <c r="F7" s="200" t="n"/>
      <c r="G7" s="200" t="n"/>
      <c r="H7" s="200" t="n"/>
      <c r="I7" s="200" t="n"/>
    </row>
    <row r="8" ht="15.75" customHeight="1" s="199">
      <c r="A8" s="112" t="inlineStr">
        <is>
          <t>Occupied</t>
        </is>
      </c>
      <c r="B8" s="113">
        <f>COUNTIFS('Rent Roll Input'!$S$7:$S$606,'Rent Roll Recon'!$B$2,'Rent Roll Input'!$E$7:$E$606,"Occupied",'Rent Roll Input'!$D$7:$D$606,"IL")</f>
        <v/>
      </c>
      <c r="C8" s="113">
        <f>COUNTIFS('Rent Roll Input'!$S$7:$S$606,'Rent Roll Recon'!$B$2,'Rent Roll Input'!$E$7:$E$606,"Occupied",'Rent Roll Input'!$D$7:$D$606,"AL")</f>
        <v/>
      </c>
      <c r="D8" s="113">
        <f>COUNTIFS('Rent Roll Input'!$S$7:$S$606,'Rent Roll Recon'!$B$2,'Rent Roll Input'!$E$7:$E$606,"Occupied",'Rent Roll Input'!$D$7:$D$606,"MC")</f>
        <v/>
      </c>
      <c r="E8" s="114">
        <f>SUM(B8:D8)</f>
        <v/>
      </c>
      <c r="F8" s="200" t="n"/>
      <c r="G8" s="200" t="n"/>
      <c r="H8" s="200" t="n"/>
      <c r="I8" s="200" t="n"/>
    </row>
    <row r="9" ht="15.75" customHeight="1" s="199">
      <c r="A9" s="112" t="inlineStr">
        <is>
          <t>Vacant</t>
        </is>
      </c>
      <c r="B9" s="113">
        <f>COUNTIFS('Rent Roll Input'!$S$7:$S$606,'Rent Roll Recon'!$B$2,'Rent Roll Input'!$E$7:$E$606,"Vacant",'Rent Roll Input'!$D$7:$D$606,"IL")</f>
        <v/>
      </c>
      <c r="C9" s="113">
        <f>COUNTIFS('Rent Roll Input'!$S$7:$S$606,'Rent Roll Recon'!$B$2,'Rent Roll Input'!$E$7:$E$606,"Vacant",'Rent Roll Input'!$D$7:$D$606,"AL")</f>
        <v/>
      </c>
      <c r="D9" s="113">
        <f>COUNTIFS('Rent Roll Input'!$S$7:$S$606,'Rent Roll Recon'!$B$2,'Rent Roll Input'!$E$7:$E$606,"Vacant",'Rent Roll Input'!$D$7:$D$606,"MC")</f>
        <v/>
      </c>
      <c r="E9" s="114">
        <f>SUM(B9:D9)</f>
        <v/>
      </c>
      <c r="F9" s="200" t="n"/>
      <c r="G9" s="200" t="n"/>
      <c r="H9" s="200" t="n"/>
      <c r="I9" s="200" t="n"/>
    </row>
    <row r="10" ht="15.75" customHeight="1" s="199">
      <c r="A10" s="112" t="inlineStr">
        <is>
          <t>On notice</t>
        </is>
      </c>
      <c r="B10" s="113">
        <f>COUNTIFS('Rent Roll Input'!$S$7:$S$606,'Rent Roll Recon'!$B$2,'Rent Roll Input'!$E$7:$E$606,"Notice",'Rent Roll Input'!$D$7:$D$606,"IL")</f>
        <v/>
      </c>
      <c r="C10" s="113">
        <f>COUNTIFS('Rent Roll Input'!$S$7:$S$606,'Rent Roll Recon'!$B$2,'Rent Roll Input'!$E$7:$E$606,"Notice",'Rent Roll Input'!$D$7:$D$606,"AL")</f>
        <v/>
      </c>
      <c r="D10" s="113">
        <f>COUNTIFS('Rent Roll Input'!$S$7:$S$606,'Rent Roll Recon'!$B$2,'Rent Roll Input'!$E$7:$E$606,"Notice",'Rent Roll Input'!$D$7:$D$606,"MC")</f>
        <v/>
      </c>
      <c r="E10" s="114">
        <f>SUM(B10:D10)</f>
        <v/>
      </c>
      <c r="F10" s="200" t="n"/>
      <c r="G10" s="200" t="n"/>
      <c r="H10" s="200" t="n"/>
      <c r="I10" s="200" t="n"/>
    </row>
    <row r="11" ht="15.75" customHeight="1" s="199">
      <c r="A11" s="115" t="inlineStr">
        <is>
          <t>Eviction / non-paying</t>
        </is>
      </c>
      <c r="B11" s="116">
        <f>COUNTIFS('Rent Roll Input'!$S$7:$S$606,'Rent Roll Recon'!$B$2,'Rent Roll Input'!$E$7:$E$606,"Eviction",'Rent Roll Input'!$D$7:$D$606,"IL")</f>
        <v/>
      </c>
      <c r="C11" s="116">
        <f>COUNTIFS('Rent Roll Input'!$S$7:$S$606,'Rent Roll Recon'!$B$2,'Rent Roll Input'!$E$7:$E$606,"Eviction",'Rent Roll Input'!$D$7:$D$606,"AL")</f>
        <v/>
      </c>
      <c r="D11" s="116">
        <f>COUNTIFS('Rent Roll Input'!$S$7:$S$606,'Rent Roll Recon'!$B$2,'Rent Roll Input'!$E$7:$E$606,"Eviction",'Rent Roll Input'!$D$7:$D$606,"MC")</f>
        <v/>
      </c>
      <c r="E11" s="114">
        <f>SUM(B11:D11)</f>
        <v/>
      </c>
      <c r="F11" s="200" t="n"/>
      <c r="G11" s="200" t="n"/>
      <c r="H11" s="38" t="inlineStr">
        <is>
          <t>⚠ Economic vacancy — exclude from stabilized occupancy</t>
        </is>
      </c>
      <c r="I11" s="200" t="n"/>
    </row>
    <row r="12" ht="15.75" customHeight="1" s="199">
      <c r="A12" s="112" t="inlineStr">
        <is>
          <t>Physical occupancy %</t>
        </is>
      </c>
      <c r="B12" s="117">
        <f>IFERROR(B8/B7,"-")</f>
        <v/>
      </c>
      <c r="C12" s="117">
        <f>IFERROR(C8/C7,"-")</f>
        <v/>
      </c>
      <c r="D12" s="117">
        <f>IFERROR(D8/D7,"-")</f>
        <v/>
      </c>
      <c r="E12" s="118">
        <f>IFERROR(E8/E7,"-")</f>
        <v/>
      </c>
      <c r="F12" s="200" t="n"/>
      <c r="G12" s="200" t="n"/>
      <c r="H12" s="200" t="n"/>
      <c r="I12" s="200" t="n"/>
    </row>
    <row r="13" ht="15.75" customHeight="1" s="199">
      <c r="A13" s="112" t="inlineStr">
        <is>
          <t>Economic occupancy %  (excl. evictions)</t>
        </is>
      </c>
      <c r="B13" s="117">
        <f>IFERROR((B8-B11)/B7,"-")</f>
        <v/>
      </c>
      <c r="C13" s="117">
        <f>IFERROR((C8-C11)/C7,"-")</f>
        <v/>
      </c>
      <c r="D13" s="117">
        <f>IFERROR((D8-D11)/D7,"-")</f>
        <v/>
      </c>
      <c r="E13" s="118">
        <f>IFERROR((E8-E11)/E7,"-")</f>
        <v/>
      </c>
      <c r="F13" s="200" t="n"/>
      <c r="G13" s="200" t="n"/>
      <c r="H13" s="119" t="inlineStr">
        <is>
          <t>Gap vs. physical occ = true economic vacancy</t>
        </is>
      </c>
      <c r="I13" s="200" t="n"/>
    </row>
    <row r="14" ht="6" customHeight="1" s="199"/>
    <row r="15" ht="18" customHeight="1" s="199">
      <c r="A15" s="174" t="inlineStr">
        <is>
          <t>B  ·  REVENUE RECONCILIATION  (RR contracted vs. T12 collected)</t>
        </is>
      </c>
      <c r="I15" s="200" t="n"/>
    </row>
    <row r="16" ht="25.5" customHeight="1" s="199">
      <c r="A16" s="112" t="inlineStr">
        <is>
          <t>RR Gross Potential Rent / mo  (Market × all units)</t>
        </is>
      </c>
      <c r="B16" s="120">
        <f>IFERROR(SUMIFS('Rent Roll Input'!$G$7:$G$606,'Rent Roll Input'!$S$7:$S$606,'Rent Roll Recon'!$B$2,'Rent Roll Input'!$D$7:$D$606,"IL"),0)</f>
        <v/>
      </c>
      <c r="C16" s="120">
        <f>IFERROR(SUMIFS('Rent Roll Input'!$G$7:$G$606,'Rent Roll Input'!$S$7:$S$606,'Rent Roll Recon'!$B$2,'Rent Roll Input'!$D$7:$D$606,"AL"),0)</f>
        <v/>
      </c>
      <c r="D16" s="120">
        <f>IFERROR(SUMIFS('Rent Roll Input'!$G$7:$G$606,'Rent Roll Input'!$S$7:$S$606,'Rent Roll Recon'!$B$2,'Rent Roll Input'!$D$7:$D$606,"MC"),0)</f>
        <v/>
      </c>
      <c r="E16" s="121">
        <f>SUM(B16:D16)</f>
        <v/>
      </c>
      <c r="F16" s="200" t="n"/>
      <c r="G16" s="200" t="n"/>
      <c r="H16" s="119" t="inlineStr">
        <is>
          <t>Gross Potential Rent — Market Rate × all units at 100% occupancy. Excludes concessions &amp; vacancy loss. Row 16 − Row 17 = vacancy + market-vs-actual gap.</t>
        </is>
      </c>
      <c r="I16" s="10" t="inlineStr">
        <is>
          <t>Implied
Monthly</t>
        </is>
      </c>
    </row>
    <row r="17">
      <c r="A17" s="112" t="inlineStr">
        <is>
          <t>RR effective net base rent / mo  (after concessions)</t>
        </is>
      </c>
      <c r="B17" s="120">
        <f>IFERROR(SUMIFS('Rent Roll Input'!$H$7:$H$606,'Rent Roll Input'!$S$7:$S$606,'Rent Roll Recon'!$B$2,'Rent Roll Input'!$E$7:$E$606,"&lt;&gt;Vacant",'Rent Roll Input'!$E$7:$E$606,"&lt;&gt;Eviction",'Rent Roll Input'!$D$7:$D$606,"IL")+SUMIFS('Rent Roll Input'!$I$7:$I$606,'Rent Roll Input'!$S$7:$S$606,'Rent Roll Recon'!$B$2,'Rent Roll Input'!$E$7:$E$606,"&lt;&gt;Vacant",'Rent Roll Input'!$E$7:$E$606,"&lt;&gt;Eviction",'Rent Roll Input'!$D$7:$D$606,"IL"),0)</f>
        <v/>
      </c>
      <c r="C17" s="120">
        <f>IFERROR(SUMIFS('Rent Roll Input'!$H$7:$H$606,'Rent Roll Input'!$S$7:$S$606,'Rent Roll Recon'!$B$2,'Rent Roll Input'!$E$7:$E$606,"&lt;&gt;Vacant",'Rent Roll Input'!$E$7:$E$606,"&lt;&gt;Eviction",'Rent Roll Input'!$D$7:$D$606,"AL")+SUMIFS('Rent Roll Input'!$I$7:$I$606,'Rent Roll Input'!$S$7:$S$606,'Rent Roll Recon'!$B$2,'Rent Roll Input'!$E$7:$E$606,"&lt;&gt;Vacant",'Rent Roll Input'!$E$7:$E$606,"&lt;&gt;Eviction",'Rent Roll Input'!$D$7:$D$606,"AL"),0)</f>
        <v/>
      </c>
      <c r="D17" s="120">
        <f>IFERROR(SUMIFS('Rent Roll Input'!$H$7:$H$606,'Rent Roll Input'!$S$7:$S$606,'Rent Roll Recon'!$B$2,'Rent Roll Input'!$E$7:$E$606,"&lt;&gt;Vacant",'Rent Roll Input'!$E$7:$E$606,"&lt;&gt;Eviction",'Rent Roll Input'!$D$7:$D$606,"MC")+SUMIFS('Rent Roll Input'!$I$7:$I$606,'Rent Roll Input'!$S$7:$S$606,'Rent Roll Recon'!$B$2,'Rent Roll Input'!$E$7:$E$606,"&lt;&gt;Vacant",'Rent Roll Input'!$E$7:$E$606,"&lt;&gt;Eviction",'Rent Roll Input'!$D$7:$D$606,"MC"),0)</f>
        <v/>
      </c>
      <c r="E17" s="121">
        <f>SUM(B17:D17)</f>
        <v/>
      </c>
      <c r="F17" s="200" t="n"/>
      <c r="G17" s="200" t="n"/>
      <c r="H17" s="122" t="inlineStr">
        <is>
          <t>⚠ Actual rate + concessions — compare to T12 collected</t>
        </is>
      </c>
      <c r="I17" s="24">
        <f>E17</f>
        <v/>
      </c>
    </row>
    <row r="18" ht="15.75" customHeight="1" s="199">
      <c r="A18" s="112" t="inlineStr">
        <is>
          <t>RR effective net rent  (annualized ×12)</t>
        </is>
      </c>
      <c r="B18" s="120">
        <f>B17*12</f>
        <v/>
      </c>
      <c r="C18" s="120">
        <f>C17*12</f>
        <v/>
      </c>
      <c r="D18" s="120">
        <f>D17*12</f>
        <v/>
      </c>
      <c r="E18" s="121">
        <f>E17*12</f>
        <v/>
      </c>
      <c r="F18" s="200" t="n"/>
      <c r="G18" s="200" t="n"/>
      <c r="H18" s="119" t="inlineStr">
        <is>
          <t>For direct comparison to T12 annual base rent</t>
        </is>
      </c>
      <c r="I18" s="24">
        <f>E18/12</f>
        <v/>
      </c>
    </row>
    <row r="19" ht="15.75" customHeight="1" s="199">
      <c r="A19" s="112" t="inlineStr">
        <is>
          <t>T12 actual base rent  (from Raw Data, annualized)</t>
        </is>
      </c>
      <c r="B19" s="120">
        <f>IFERROR(INDEX('T12 Raw Data'!R:R,MATCH("Base rent — IL",'T12 Raw Data'!B:B,0)),0)</f>
        <v/>
      </c>
      <c r="C19" s="120">
        <f>IFERROR(INDEX('T12 Raw Data'!R:R,MATCH("Base rent — AL",'T12 Raw Data'!B:B,0)),0)</f>
        <v/>
      </c>
      <c r="D19" s="120">
        <f>IFERROR(INDEX('T12 Raw Data'!R:R,MATCH("Base rent — MC",'T12 Raw Data'!B:B,0)),0)</f>
        <v/>
      </c>
      <c r="E19" s="121">
        <f>SUM(B19:D19)</f>
        <v/>
      </c>
      <c r="F19" s="200" t="n"/>
      <c r="G19" s="200" t="n"/>
      <c r="H19" s="119" t="inlineStr">
        <is>
          <t>T12 total base rent from Raw Data</t>
        </is>
      </c>
      <c r="I19" s="24">
        <f>IFERROR(E19/12,0)</f>
        <v/>
      </c>
    </row>
    <row r="20" ht="69.75" customHeight="1" s="199">
      <c r="A20" s="115" t="inlineStr">
        <is>
          <t>Gap  (RR annualized − T12 actual)</t>
        </is>
      </c>
      <c r="B20" s="123">
        <f>B18-B19</f>
        <v/>
      </c>
      <c r="C20" s="123">
        <f>C18-C19</f>
        <v/>
      </c>
      <c r="D20" s="123">
        <f>D18-D19</f>
        <v/>
      </c>
      <c r="E20" s="124">
        <f>E18-E19</f>
        <v/>
      </c>
      <c r="F20" s="200" t="n"/>
      <c r="G20" s="200" t="n"/>
      <c r="H20" s="38">
        <f>IF(E20=0,"Gap = $0 — RR and T12 are perfectly aligned.",IF(ABS(E20/E19)&lt;=0.02,"Gap = "&amp;TEXT(E20,"$#,##0")&amp;" ("&amp;TEXT(E20/E19,"0.0%")&amp;") — within 2%, normal timing variance: partial-month move-ins/outs or rounding.",IF(E20&lt;0,"⚠ Gap = "&amp;TEXT(E20,"$#,##0")&amp;" ("&amp;TEXT(E20/E19,"0.0%")&amp;"). T12 collected MORE than RR projects. Investigate: (1) Occ was higher earlier in T12 — property trending down; (2) Rates were higher in prior months — compression or new concessions; (3) Active concessions are newer than T12 average — not in full T12; ("&amp;"4) Partial-month collections in T12 for move-ins/outs; (5) One-time adjustments or reversals in T12 income statement.","⚠ Gap = "&amp;TEXT(E20,"$#,##0")&amp;" ("&amp;TEXT(E20/E19,"0.0%")&amp;"). RR projects MORE than T12 collected. Investigate: (1) Occupancy has improved during T12 — positive trend; (2) Rates were raised mid-T12 — RR reflects new higher rates; (3) Bad debt or uncollected rent in T12 not visible in RR; (4) Notice residents bill"&amp;"ed but not yet collected; (5) One-time credits or refunds in T12 reduced collected revenue.")))</f>
        <v/>
      </c>
      <c r="I20" s="125">
        <f>IFERROR(IF(E20=0,"-",E20/12),"-")</f>
        <v/>
      </c>
    </row>
    <row r="21" ht="6" customHeight="1" s="199">
      <c r="I21" s="200" t="n"/>
    </row>
    <row r="22" ht="18" customHeight="1" s="199">
      <c r="A22" s="174" t="inlineStr">
        <is>
          <t>C  ·  RATE ANALYSIS  (RR contracted rate vs. T12 implied ADR)</t>
        </is>
      </c>
      <c r="I22" s="200" t="n"/>
    </row>
    <row r="23" ht="15.75" customHeight="1" s="199">
      <c r="A23" s="112" t="inlineStr">
        <is>
          <t>RR avg contracted rate / occ unit / month</t>
        </is>
      </c>
      <c r="B23" s="126">
        <f>IFERROR(AVERAGEIFS('Rent Roll Input'!$H$7:$H$606,'Rent Roll Input'!$S$7:$S$606,'Rent Roll Recon'!$B$2,'Rent Roll Input'!$E$7:$E$606,"&lt;&gt;Vacant",'Rent Roll Input'!$E$7:$E$606,"&lt;&gt;Eviction",'Rent Roll Input'!$D$7:$D$606,"IL"),"-")</f>
        <v/>
      </c>
      <c r="C23" s="126">
        <f>IFERROR(AVERAGEIFS('Rent Roll Input'!$H$7:$H$606,'Rent Roll Input'!$S$7:$S$606,'Rent Roll Recon'!$B$2,'Rent Roll Input'!$E$7:$E$606,"&lt;&gt;Vacant",'Rent Roll Input'!$E$7:$E$606,"&lt;&gt;Eviction",'Rent Roll Input'!$D$7:$D$606,"AL"),"-")</f>
        <v/>
      </c>
      <c r="D23" s="126">
        <f>IFERROR(AVERAGEIFS('Rent Roll Input'!$H$7:$H$606,'Rent Roll Input'!$S$7:$S$606,'Rent Roll Recon'!$B$2,'Rent Roll Input'!$E$7:$E$606,"&lt;&gt;Vacant",'Rent Roll Input'!$E$7:$E$606,"&lt;&gt;Eviction",'Rent Roll Input'!$D$7:$D$606,"MC"),"-")</f>
        <v/>
      </c>
      <c r="E23" s="127" t="inlineStr">
        <is>
          <t>-</t>
        </is>
      </c>
      <c r="F23" s="200" t="n"/>
      <c r="G23" s="200" t="n"/>
      <c r="H23" s="119" t="inlineStr">
        <is>
          <t>Avg gross rate, occupied units</t>
        </is>
      </c>
      <c r="I23" s="200" t="n"/>
    </row>
    <row r="24" ht="15.75" customHeight="1" s="199">
      <c r="A24" s="115" t="inlineStr">
        <is>
          <t>RR avg effective rate  (after concessions)</t>
        </is>
      </c>
      <c r="B24" s="128">
        <f>IFERROR(B17/B8,"-")</f>
        <v/>
      </c>
      <c r="C24" s="128">
        <f>IFERROR(C17/C8,"-")</f>
        <v/>
      </c>
      <c r="D24" s="128">
        <f>IFERROR(D17/D8,"-")</f>
        <v/>
      </c>
      <c r="E24" s="127" t="inlineStr">
        <is>
          <t>-</t>
        </is>
      </c>
      <c r="F24" s="200" t="n"/>
      <c r="G24" s="200" t="n"/>
      <c r="H24" s="122" t="inlineStr">
        <is>
          <t>⚠ Net of concessions — use for RevPOR crosscheck</t>
        </is>
      </c>
      <c r="I24" s="200" t="n"/>
    </row>
    <row r="25" ht="15.75" customHeight="1" s="199">
      <c r="A25" s="112" t="inlineStr">
        <is>
          <t>T12 implied ADR  (base rent ÷ occ. beds ÷ 12)</t>
        </is>
      </c>
      <c r="B25" s="126">
        <f>IFERROR('T12 Analytics'!B17,0)</f>
        <v/>
      </c>
      <c r="C25" s="126">
        <f>IFERROR('T12 Analytics'!C17,0)</f>
        <v/>
      </c>
      <c r="D25" s="126">
        <f>IFERROR('T12 Analytics'!D17,0)</f>
        <v/>
      </c>
      <c r="E25" s="127" t="inlineStr">
        <is>
          <t>-</t>
        </is>
      </c>
      <c r="F25" s="200" t="n"/>
      <c r="G25" s="200" t="n"/>
      <c r="H25" s="119" t="inlineStr">
        <is>
          <t>Back-calculated from T12 Analytics Section 2</t>
        </is>
      </c>
      <c r="I25" s="200" t="n"/>
    </row>
    <row r="27" ht="18" customHeight="1" s="199">
      <c r="A27" s="174" t="inlineStr">
        <is>
          <t>D  ·  OCCUPANCY CROSSCHECK  (RR snapshot vs. T12 avg occupied beds)</t>
        </is>
      </c>
    </row>
    <row r="28" ht="15.75" customHeight="1" s="199">
      <c r="A28" s="112" t="inlineStr">
        <is>
          <t>RR occupied units  (period snapshot)</t>
        </is>
      </c>
      <c r="B28" s="113">
        <f>COUNTIFS('Rent Roll Input'!$S$7:$S$606,'Rent Roll Recon'!$B$2,'Rent Roll Input'!$E$7:$E$606,"Occupied",'Rent Roll Input'!$D$7:$D$606,"IL")</f>
        <v/>
      </c>
      <c r="C28" s="113">
        <f>COUNTIFS('Rent Roll Input'!$S$7:$S$606,'Rent Roll Recon'!$B$2,'Rent Roll Input'!$E$7:$E$606,"Occupied",'Rent Roll Input'!$D$7:$D$606,"AL")</f>
        <v/>
      </c>
      <c r="D28" s="113">
        <f>COUNTIFS('Rent Roll Input'!$S$7:$S$606,'Rent Roll Recon'!$B$2,'Rent Roll Input'!$E$7:$E$606,"Occupied",'Rent Roll Input'!$D$7:$D$606,"MC")</f>
        <v/>
      </c>
      <c r="E28" s="114">
        <f>SUM(B28:D28)</f>
        <v/>
      </c>
      <c r="F28" s="200" t="n"/>
      <c r="G28" s="200" t="n"/>
      <c r="H28" s="200" t="n"/>
      <c r="I28" s="200" t="n"/>
    </row>
    <row r="29" ht="15.75" customHeight="1" s="199">
      <c r="A29" s="112" t="inlineStr">
        <is>
          <t>T12 avg occupied beds  (T12 Analytics Section 1)</t>
        </is>
      </c>
      <c r="B29" s="113">
        <f>IFERROR('T12 Analytics'!B7,0)</f>
        <v/>
      </c>
      <c r="C29" s="113">
        <f>IFERROR('T12 Analytics'!C7,0)</f>
        <v/>
      </c>
      <c r="D29" s="113">
        <f>IFERROR('T12 Analytics'!D7,0)</f>
        <v/>
      </c>
      <c r="E29" s="114">
        <f>SUM(B29:D29)</f>
        <v/>
      </c>
      <c r="F29" s="200" t="n"/>
      <c r="G29" s="200" t="n"/>
      <c r="H29" s="119" t="inlineStr">
        <is>
          <t>T12 12-month avg — compare to RR point-in-time</t>
        </is>
      </c>
      <c r="I29" s="200" t="n"/>
    </row>
    <row r="30" ht="15.75" customHeight="1" s="199">
      <c r="A30" s="115" t="inlineStr">
        <is>
          <t>Delta  (RR snapshot − T12 avg)</t>
        </is>
      </c>
      <c r="B30" s="116">
        <f>B28-B29</f>
        <v/>
      </c>
      <c r="C30" s="116">
        <f>C28-C29</f>
        <v/>
      </c>
      <c r="D30" s="116">
        <f>D28-D29</f>
        <v/>
      </c>
      <c r="E30" s="129">
        <f>E28-E29</f>
        <v/>
      </c>
      <c r="F30" s="200" t="n"/>
      <c r="G30" s="200" t="n"/>
      <c r="H30" s="122" t="inlineStr">
        <is>
          <t>⚠ Positive = occupancy improved; Negative = declined</t>
        </is>
      </c>
      <c r="I30" s="200" t="n"/>
    </row>
    <row r="31" ht="6" customHeight="1" s="199"/>
    <row r="32" ht="18" customHeight="1" s="199">
      <c r="A32" s="194" t="inlineStr">
        <is>
          <t>E  ·  AUTO-FILL TO T12 ANALYTICS  (occupied beds from selected period)</t>
        </is>
      </c>
    </row>
    <row r="33" ht="19.5" customHeight="1" s="199">
      <c r="A33" s="193" t="inlineStr">
        <is>
          <t>T12 Analytics Section 1 (avg occupied beds) reads from rows below automatically. Override T12 Analytics row 7 directly if needed.</t>
        </is>
      </c>
    </row>
    <row r="34" ht="15.75" customHeight="1" s="199">
      <c r="A34" s="112" t="inlineStr">
        <is>
          <t>Occupied beds — IL  (feeds T12 Analytics B7)</t>
        </is>
      </c>
      <c r="B34" s="113">
        <f>B28</f>
        <v/>
      </c>
      <c r="C34" s="200" t="n"/>
      <c r="D34" s="200" t="n"/>
      <c r="E34" s="200" t="n"/>
      <c r="F34" s="200" t="n"/>
      <c r="G34" s="200" t="n"/>
      <c r="H34" s="200" t="n"/>
      <c r="I34" s="200" t="n"/>
    </row>
    <row r="35" ht="15.75" customHeight="1" s="199">
      <c r="A35" s="112" t="inlineStr">
        <is>
          <t>Occupied beds — AL  (feeds T12 Analytics C7)</t>
        </is>
      </c>
      <c r="B35" s="200" t="n"/>
      <c r="C35" s="113">
        <f>C28</f>
        <v/>
      </c>
      <c r="D35" s="200" t="n"/>
      <c r="E35" s="200" t="n"/>
      <c r="F35" s="200" t="n"/>
      <c r="G35" s="200" t="n"/>
      <c r="H35" s="200" t="n"/>
      <c r="I35" s="200" t="n"/>
    </row>
    <row r="36" ht="15.75" customHeight="1" s="199">
      <c r="A36" s="112" t="inlineStr">
        <is>
          <t>Occupied beds — MC  (feeds T12 Analytics D7)</t>
        </is>
      </c>
      <c r="B36" s="200" t="n"/>
      <c r="C36" s="200" t="n"/>
      <c r="D36" s="113">
        <f>D28</f>
        <v/>
      </c>
      <c r="E36" s="200" t="n"/>
      <c r="F36" s="200" t="n"/>
      <c r="G36" s="200" t="n"/>
      <c r="H36" s="200" t="n"/>
      <c r="I36" s="200" t="n"/>
    </row>
    <row r="37" ht="6" customHeight="1" s="199"/>
    <row r="38" ht="18" customHeight="1" s="199">
      <c r="A38" s="174" t="inlineStr">
        <is>
          <t>F  ·  PAYER MIX SUMMARY  (auto-calculated from selected period)</t>
        </is>
      </c>
    </row>
    <row r="39" ht="27.75" customHeight="1" s="199">
      <c r="A39" s="111" t="inlineStr">
        <is>
          <t>Payer Type</t>
        </is>
      </c>
      <c r="B39" s="10" t="inlineStr">
        <is>
          <t>Resident
Count</t>
        </is>
      </c>
      <c r="C39" s="10" t="inlineStr">
        <is>
          <t>% of
Res.</t>
        </is>
      </c>
      <c r="D39" s="10" t="inlineStr">
        <is>
          <t>Monthly
Base Rev</t>
        </is>
      </c>
      <c r="E39" s="10" t="inlineStr">
        <is>
          <t>% Base
Rev</t>
        </is>
      </c>
      <c r="F39" s="10" t="inlineStr">
        <is>
          <t>Monthly
LOC Rev</t>
        </is>
      </c>
      <c r="G39" s="10" t="inlineStr">
        <is>
          <t>% LOC
Rev</t>
        </is>
      </c>
      <c r="H39" s="10" t="inlineStr">
        <is>
          <t>Total
Monthly Rev</t>
        </is>
      </c>
      <c r="I39" s="10" t="inlineStr">
        <is>
          <t>% of
Total</t>
        </is>
      </c>
    </row>
    <row r="40" ht="15.75" customHeight="1" s="199">
      <c r="A40" s="130" t="inlineStr">
        <is>
          <t>Private Pay</t>
        </is>
      </c>
      <c r="B40" s="131">
        <f>COUNTIFS('Rent Roll Input'!$S$7:$S$606,'Rent Roll Recon'!$B$2,'Rent Roll Input'!$E$7:$E$606,"&lt;&gt;Vacant",'Rent Roll Input'!$E$7:$E$606,"&lt;&gt;Eviction",'Rent Roll Input'!$P$7:$P$606,"Private Pay")</f>
        <v/>
      </c>
      <c r="C40" s="132">
        <f>IFERROR(B40/B47,"-")</f>
        <v/>
      </c>
      <c r="D40" s="133">
        <f>IFERROR(SUMIFS('Rent Roll Input'!$H$7:$H$606,'Rent Roll Input'!$S$7:$S$606,'Rent Roll Recon'!$B$2,'Rent Roll Input'!$E$7:$E$606,"&lt;&gt;Vacant",'Rent Roll Input'!$E$7:$E$606,"&lt;&gt;Eviction",'Rent Roll Input'!$P$7:$P$606,"Private Pay")+SUMIFS('Rent Roll Input'!$I$7:$I$606,'Rent Roll Input'!$S$7:$S$606,'Rent Roll Recon'!$B$2,'Rent Roll Input'!$E$7:$E$606,"&lt;&gt;Vacant",'Rent Roll Input'!$E$7:$E$606,"&lt;&gt;Eviction",'Rent Roll Input'!$P$7:$P$606,"Private Pay"),0)</f>
        <v/>
      </c>
      <c r="E40" s="132">
        <f>IFERROR(D40/D47,"-")</f>
        <v/>
      </c>
      <c r="F40" s="133">
        <f>IFERROR(SUMIFS('Rent Roll Input'!$T$7:$T$606,'Rent Roll Input'!$S$7:$S$606,'Rent Roll Recon'!$B$2,'Rent Roll Input'!$E$7:$E$606,"&lt;&gt;Vacant",'Rent Roll Input'!$E$7:$E$606,"&lt;&gt;Eviction",'Rent Roll Input'!$P$7:$P$606,"Private Pay"),0)</f>
        <v/>
      </c>
      <c r="G40" s="132">
        <f>IFERROR(F40/F47,"-")</f>
        <v/>
      </c>
      <c r="H40" s="133">
        <f>D40+F40</f>
        <v/>
      </c>
      <c r="I40" s="132">
        <f>IFERROR(H40/H47,"-")</f>
        <v/>
      </c>
    </row>
    <row r="41" ht="15.75" customHeight="1" s="199">
      <c r="A41" s="112" t="inlineStr">
        <is>
          <t>Medicaid</t>
        </is>
      </c>
      <c r="B41" s="113">
        <f>COUNTIFS('Rent Roll Input'!$S$7:$S$606,'Rent Roll Recon'!$B$2,'Rent Roll Input'!$E$7:$E$606,"&lt;&gt;Vacant",'Rent Roll Input'!$E$7:$E$606,"&lt;&gt;Eviction",'Rent Roll Input'!$P$7:$P$606,"Medicaid")</f>
        <v/>
      </c>
      <c r="C41" s="117">
        <f>IFERROR(B41/B47,"-")</f>
        <v/>
      </c>
      <c r="D41" s="120">
        <f>IFERROR(SUMIFS('Rent Roll Input'!$H$7:$H$606,'Rent Roll Input'!$S$7:$S$606,'Rent Roll Recon'!$B$2,'Rent Roll Input'!$E$7:$E$606,"&lt;&gt;Vacant",'Rent Roll Input'!$E$7:$E$606,"&lt;&gt;Eviction",'Rent Roll Input'!$P$7:$P$606,"Medicaid")+SUMIFS('Rent Roll Input'!$I$7:$I$606,'Rent Roll Input'!$S$7:$S$606,'Rent Roll Recon'!$B$2,'Rent Roll Input'!$E$7:$E$606,"&lt;&gt;Vacant",'Rent Roll Input'!$E$7:$E$606,"&lt;&gt;Eviction",'Rent Roll Input'!$P$7:$P$606,"Medicaid"),0)</f>
        <v/>
      </c>
      <c r="E41" s="117">
        <f>IFERROR(D41/D47,"-")</f>
        <v/>
      </c>
      <c r="F41" s="120">
        <f>IFERROR(SUMIFS('Rent Roll Input'!$T$7:$T$606,'Rent Roll Input'!$S$7:$S$606,'Rent Roll Recon'!$B$2,'Rent Roll Input'!$E$7:$E$606,"&lt;&gt;Vacant",'Rent Roll Input'!$E$7:$E$606,"&lt;&gt;Eviction",'Rent Roll Input'!$P$7:$P$606,"Medicaid"),0)</f>
        <v/>
      </c>
      <c r="G41" s="117">
        <f>IFERROR(F41/F47,"-")</f>
        <v/>
      </c>
      <c r="H41" s="120">
        <f>D41+F41</f>
        <v/>
      </c>
      <c r="I41" s="117">
        <f>IFERROR(H41/H47,"-")</f>
        <v/>
      </c>
    </row>
    <row r="42" ht="15.75" customHeight="1" s="199">
      <c r="A42" s="130" t="inlineStr">
        <is>
          <t>LTC Insurance</t>
        </is>
      </c>
      <c r="B42" s="131">
        <f>COUNTIFS('Rent Roll Input'!$S$7:$S$606,'Rent Roll Recon'!$B$2,'Rent Roll Input'!$E$7:$E$606,"&lt;&gt;Vacant",'Rent Roll Input'!$E$7:$E$606,"&lt;&gt;Eviction",'Rent Roll Input'!$P$7:$P$606,"LTC Insurance")</f>
        <v/>
      </c>
      <c r="C42" s="132">
        <f>IFERROR(B42/B47,"-")</f>
        <v/>
      </c>
      <c r="D42" s="133">
        <f>IFERROR(SUMIFS('Rent Roll Input'!$H$7:$H$606,'Rent Roll Input'!$S$7:$S$606,'Rent Roll Recon'!$B$2,'Rent Roll Input'!$E$7:$E$606,"&lt;&gt;Vacant",'Rent Roll Input'!$E$7:$E$606,"&lt;&gt;Eviction",'Rent Roll Input'!$P$7:$P$606,"LTC Insurance")+SUMIFS('Rent Roll Input'!$I$7:$I$606,'Rent Roll Input'!$S$7:$S$606,'Rent Roll Recon'!$B$2,'Rent Roll Input'!$E$7:$E$606,"&lt;&gt;Vacant",'Rent Roll Input'!$E$7:$E$606,"&lt;&gt;Eviction",'Rent Roll Input'!$P$7:$P$606,"LTC Insurance"),0)</f>
        <v/>
      </c>
      <c r="E42" s="132">
        <f>IFERROR(D42/D47,"-")</f>
        <v/>
      </c>
      <c r="F42" s="133">
        <f>IFERROR(SUMIFS('Rent Roll Input'!$T$7:$T$606,'Rent Roll Input'!$S$7:$S$606,'Rent Roll Recon'!$B$2,'Rent Roll Input'!$E$7:$E$606,"&lt;&gt;Vacant",'Rent Roll Input'!$E$7:$E$606,"&lt;&gt;Eviction",'Rent Roll Input'!$P$7:$P$606,"LTC Insurance"),0)</f>
        <v/>
      </c>
      <c r="G42" s="132">
        <f>IFERROR(F42/F47,"-")</f>
        <v/>
      </c>
      <c r="H42" s="133">
        <f>D42+F42</f>
        <v/>
      </c>
      <c r="I42" s="132">
        <f>IFERROR(H42/H47,"-")</f>
        <v/>
      </c>
    </row>
    <row r="43" ht="15.75" customHeight="1" s="199">
      <c r="A43" s="112" t="inlineStr">
        <is>
          <t>VA</t>
        </is>
      </c>
      <c r="B43" s="113">
        <f>COUNTIFS('Rent Roll Input'!$S$7:$S$606,'Rent Roll Recon'!$B$2,'Rent Roll Input'!$E$7:$E$606,"&lt;&gt;Vacant",'Rent Roll Input'!$E$7:$E$606,"&lt;&gt;Eviction",'Rent Roll Input'!$P$7:$P$606,"VA")</f>
        <v/>
      </c>
      <c r="C43" s="117">
        <f>IFERROR(B43/B47,"-")</f>
        <v/>
      </c>
      <c r="D43" s="120">
        <f>IFERROR(SUMIFS('Rent Roll Input'!$H$7:$H$606,'Rent Roll Input'!$S$7:$S$606,'Rent Roll Recon'!$B$2,'Rent Roll Input'!$E$7:$E$606,"&lt;&gt;Vacant",'Rent Roll Input'!$E$7:$E$606,"&lt;&gt;Eviction",'Rent Roll Input'!$P$7:$P$606,"VA")+SUMIFS('Rent Roll Input'!$I$7:$I$606,'Rent Roll Input'!$S$7:$S$606,'Rent Roll Recon'!$B$2,'Rent Roll Input'!$E$7:$E$606,"&lt;&gt;Vacant",'Rent Roll Input'!$E$7:$E$606,"&lt;&gt;Eviction",'Rent Roll Input'!$P$7:$P$606,"VA"),0)</f>
        <v/>
      </c>
      <c r="E43" s="117">
        <f>IFERROR(D43/D47,"-")</f>
        <v/>
      </c>
      <c r="F43" s="120">
        <f>IFERROR(SUMIFS('Rent Roll Input'!$T$7:$T$606,'Rent Roll Input'!$S$7:$S$606,'Rent Roll Recon'!$B$2,'Rent Roll Input'!$E$7:$E$606,"&lt;&gt;Vacant",'Rent Roll Input'!$E$7:$E$606,"&lt;&gt;Eviction",'Rent Roll Input'!$P$7:$P$606,"VA"),0)</f>
        <v/>
      </c>
      <c r="G43" s="117">
        <f>IFERROR(F43/F47,"-")</f>
        <v/>
      </c>
      <c r="H43" s="120">
        <f>D43+F43</f>
        <v/>
      </c>
      <c r="I43" s="117">
        <f>IFERROR(H43/H47,"-")</f>
        <v/>
      </c>
    </row>
    <row r="44" ht="15.75" customHeight="1" s="199">
      <c r="A44" s="130" t="inlineStr">
        <is>
          <t>Managed Care</t>
        </is>
      </c>
      <c r="B44" s="131">
        <f>COUNTIFS('Rent Roll Input'!$S$7:$S$606,'Rent Roll Recon'!$B$2,'Rent Roll Input'!$E$7:$E$606,"&lt;&gt;Vacant",'Rent Roll Input'!$E$7:$E$606,"&lt;&gt;Eviction",'Rent Roll Input'!$P$7:$P$606,"Managed Care")</f>
        <v/>
      </c>
      <c r="C44" s="132">
        <f>IFERROR(B44/B47,"-")</f>
        <v/>
      </c>
      <c r="D44" s="133">
        <f>IFERROR(SUMIFS('Rent Roll Input'!$H$7:$H$606,'Rent Roll Input'!$S$7:$S$606,'Rent Roll Recon'!$B$2,'Rent Roll Input'!$E$7:$E$606,"&lt;&gt;Vacant",'Rent Roll Input'!$E$7:$E$606,"&lt;&gt;Eviction",'Rent Roll Input'!$P$7:$P$606,"Managed Care")+SUMIFS('Rent Roll Input'!$I$7:$I$606,'Rent Roll Input'!$S$7:$S$606,'Rent Roll Recon'!$B$2,'Rent Roll Input'!$E$7:$E$606,"&lt;&gt;Vacant",'Rent Roll Input'!$E$7:$E$606,"&lt;&gt;Eviction",'Rent Roll Input'!$P$7:$P$606,"Managed Care"),0)</f>
        <v/>
      </c>
      <c r="E44" s="132">
        <f>IFERROR(D44/D47,"-")</f>
        <v/>
      </c>
      <c r="F44" s="133">
        <f>IFERROR(SUMIFS('Rent Roll Input'!$T$7:$T$606,'Rent Roll Input'!$S$7:$S$606,'Rent Roll Recon'!$B$2,'Rent Roll Input'!$E$7:$E$606,"&lt;&gt;Vacant",'Rent Roll Input'!$E$7:$E$606,"&lt;&gt;Eviction",'Rent Roll Input'!$P$7:$P$606,"Managed Care"),0)</f>
        <v/>
      </c>
      <c r="G44" s="132">
        <f>IFERROR(F44/F47,"-")</f>
        <v/>
      </c>
      <c r="H44" s="133">
        <f>D44+F44</f>
        <v/>
      </c>
      <c r="I44" s="132">
        <f>IFERROR(H44/H47,"-")</f>
        <v/>
      </c>
    </row>
    <row r="45" ht="15.75" customHeight="1" s="199">
      <c r="A45" s="112" t="inlineStr">
        <is>
          <t>Self-Pay</t>
        </is>
      </c>
      <c r="B45" s="113">
        <f>COUNTIFS('Rent Roll Input'!$S$7:$S$606,'Rent Roll Recon'!$B$2,'Rent Roll Input'!$E$7:$E$606,"&lt;&gt;Vacant",'Rent Roll Input'!$E$7:$E$606,"&lt;&gt;Eviction",'Rent Roll Input'!$P$7:$P$606,"Self-Pay")</f>
        <v/>
      </c>
      <c r="C45" s="117">
        <f>IFERROR(B45/B47,"-")</f>
        <v/>
      </c>
      <c r="D45" s="120">
        <f>IFERROR(SUMIFS('Rent Roll Input'!$H$7:$H$606,'Rent Roll Input'!$S$7:$S$606,'Rent Roll Recon'!$B$2,'Rent Roll Input'!$E$7:$E$606,"&lt;&gt;Vacant",'Rent Roll Input'!$E$7:$E$606,"&lt;&gt;Eviction",'Rent Roll Input'!$P$7:$P$606,"Self-Pay")+SUMIFS('Rent Roll Input'!$I$7:$I$606,'Rent Roll Input'!$S$7:$S$606,'Rent Roll Recon'!$B$2,'Rent Roll Input'!$E$7:$E$606,"&lt;&gt;Vacant",'Rent Roll Input'!$E$7:$E$606,"&lt;&gt;Eviction",'Rent Roll Input'!$P$7:$P$606,"Self-Pay"),0)</f>
        <v/>
      </c>
      <c r="E45" s="117">
        <f>IFERROR(D45/D47,"-")</f>
        <v/>
      </c>
      <c r="F45" s="120">
        <f>IFERROR(SUMIFS('Rent Roll Input'!$T$7:$T$606,'Rent Roll Input'!$S$7:$S$606,'Rent Roll Recon'!$B$2,'Rent Roll Input'!$E$7:$E$606,"&lt;&gt;Vacant",'Rent Roll Input'!$E$7:$E$606,"&lt;&gt;Eviction",'Rent Roll Input'!$P$7:$P$606,"Self-Pay"),0)</f>
        <v/>
      </c>
      <c r="G45" s="117">
        <f>IFERROR(F45/F47,"-")</f>
        <v/>
      </c>
      <c r="H45" s="120">
        <f>D45+F45</f>
        <v/>
      </c>
      <c r="I45" s="117">
        <f>IFERROR(H45/H47,"-")</f>
        <v/>
      </c>
    </row>
    <row r="46" ht="15.75" customHeight="1" s="199">
      <c r="A46" s="130" t="inlineStr">
        <is>
          <t>Other</t>
        </is>
      </c>
      <c r="B46" s="131">
        <f>COUNTIFS('Rent Roll Input'!$S$7:$S$606,'Rent Roll Recon'!$B$2,'Rent Roll Input'!$E$7:$E$606,"&lt;&gt;Vacant",'Rent Roll Input'!$E$7:$E$606,"&lt;&gt;Eviction",'Rent Roll Input'!$P$7:$P$606,"Other")</f>
        <v/>
      </c>
      <c r="C46" s="132">
        <f>IFERROR(B46/B47,"-")</f>
        <v/>
      </c>
      <c r="D46" s="133">
        <f>IFERROR(SUMIFS('Rent Roll Input'!$H$7:$H$606,'Rent Roll Input'!$S$7:$S$606,'Rent Roll Recon'!$B$2,'Rent Roll Input'!$E$7:$E$606,"&lt;&gt;Vacant",'Rent Roll Input'!$E$7:$E$606,"&lt;&gt;Eviction",'Rent Roll Input'!$P$7:$P$606,"Other")+SUMIFS('Rent Roll Input'!$I$7:$I$606,'Rent Roll Input'!$S$7:$S$606,'Rent Roll Recon'!$B$2,'Rent Roll Input'!$E$7:$E$606,"&lt;&gt;Vacant",'Rent Roll Input'!$E$7:$E$606,"&lt;&gt;Eviction",'Rent Roll Input'!$P$7:$P$606,"Other"),0)</f>
        <v/>
      </c>
      <c r="E46" s="132">
        <f>IFERROR(D46/D47,"-")</f>
        <v/>
      </c>
      <c r="F46" s="133">
        <f>IFERROR(SUMIFS('Rent Roll Input'!$T$7:$T$606,'Rent Roll Input'!$S$7:$S$606,'Rent Roll Recon'!$B$2,'Rent Roll Input'!$E$7:$E$606,"&lt;&gt;Vacant",'Rent Roll Input'!$E$7:$E$606,"&lt;&gt;Eviction",'Rent Roll Input'!$P$7:$P$606,"Other"),0)</f>
        <v/>
      </c>
      <c r="G46" s="132">
        <f>IFERROR(F46/F47,"-")</f>
        <v/>
      </c>
      <c r="H46" s="133">
        <f>D46+F46</f>
        <v/>
      </c>
      <c r="I46" s="132">
        <f>IFERROR(H46/H47,"-")</f>
        <v/>
      </c>
    </row>
    <row r="47" ht="18" customHeight="1" s="199">
      <c r="A47" s="183" t="inlineStr">
        <is>
          <t>Total occupied residents</t>
        </is>
      </c>
      <c r="B47" s="134">
        <f>SUM(B40:B46)</f>
        <v/>
      </c>
      <c r="C47" s="135" t="inlineStr">
        <is>
          <t>100.0%</t>
        </is>
      </c>
      <c r="D47" s="30">
        <f>SUM(D40:D46)</f>
        <v/>
      </c>
      <c r="E47" s="135" t="inlineStr">
        <is>
          <t>100.0%</t>
        </is>
      </c>
      <c r="F47" s="30">
        <f>SUM(F40:F46)</f>
        <v/>
      </c>
      <c r="G47" s="135" t="inlineStr">
        <is>
          <t>100.0%</t>
        </is>
      </c>
      <c r="H47" s="30">
        <f>SUM(H40:H46)</f>
        <v/>
      </c>
      <c r="I47" s="135" t="inlineStr">
        <is>
          <t>100.0%</t>
        </is>
      </c>
    </row>
    <row r="48" ht="18" customHeight="1" s="199">
      <c r="A48" s="192" t="inlineStr">
        <is>
          <t>⚠ Medicaid: flag for reimbursement rate risk, lower RevPOR impact, and stabilization assumptions. Managed Care: verify per diem rates vs. private pay rates.</t>
        </is>
      </c>
    </row>
    <row r="49" ht="6" customHeight="1" s="199"/>
    <row r="50" ht="18" customHeight="1" s="199">
      <c r="A50" s="174" t="inlineStr">
        <is>
          <t>G  ·  ARPR BY CARE TYPE  (avg revenue per resident / month)</t>
        </is>
      </c>
    </row>
    <row r="51" ht="27.75" customHeight="1" s="199">
      <c r="A51" s="111" t="inlineStr">
        <is>
          <t>Care Type</t>
        </is>
      </c>
      <c r="B51" s="10" t="inlineStr">
        <is>
          <t>Occupied
Units</t>
        </is>
      </c>
      <c r="C51" s="10" t="inlineStr">
        <is>
          <t>Total Base
Rev / mo</t>
        </is>
      </c>
      <c r="D51" s="23" t="inlineStr">
        <is>
          <t>ARPR Base
($/mo)</t>
        </is>
      </c>
      <c r="E51" s="10" t="inlineStr">
        <is>
          <t>Total LOC
Rev / mo</t>
        </is>
      </c>
      <c r="F51" s="23" t="inlineStr">
        <is>
          <t>ARPR LOC
($/mo)</t>
        </is>
      </c>
      <c r="G51" s="10" t="inlineStr">
        <is>
          <t>Total Rev
/ mo</t>
        </is>
      </c>
      <c r="H51" s="23" t="inlineStr">
        <is>
          <t>ARPR Total
($/mo)</t>
        </is>
      </c>
      <c r="I51" s="10" t="inlineStr">
        <is>
          <t>LOC %
of Base</t>
        </is>
      </c>
    </row>
    <row r="52" ht="15.75" customHeight="1" s="199">
      <c r="A52" s="130" t="inlineStr">
        <is>
          <t>IL</t>
        </is>
      </c>
      <c r="B52" s="131">
        <f>COUNTIFS('Rent Roll Input'!$S$7:$S$606,'Rent Roll Recon'!$B$2,'Rent Roll Input'!$E$7:$E$606,"&lt;&gt;Vacant",'Rent Roll Input'!$E$7:$E$606,"&lt;&gt;Eviction",'Rent Roll Input'!$D$7:$D$606,"IL")</f>
        <v/>
      </c>
      <c r="C52" s="133">
        <f>IFERROR(SUMIFS('Rent Roll Input'!$H$7:$H$606,'Rent Roll Input'!$S$7:$S$606,'Rent Roll Recon'!$B$2,'Rent Roll Input'!$E$7:$E$606,"&lt;&gt;Vacant",'Rent Roll Input'!$E$7:$E$606,"&lt;&gt;Eviction",'Rent Roll Input'!$D$7:$D$606,"IL")+SUMIFS('Rent Roll Input'!$I$7:$I$606,'Rent Roll Input'!$S$7:$S$606,'Rent Roll Recon'!$B$2,'Rent Roll Input'!$E$7:$E$606,"&lt;&gt;Vacant",'Rent Roll Input'!$E$7:$E$606,"&lt;&gt;Eviction",'Rent Roll Input'!$D$7:$D$606,"IL"),0)</f>
        <v/>
      </c>
      <c r="D52" s="136">
        <f>IFERROR(C52/B52,"-")</f>
        <v/>
      </c>
      <c r="E52" s="133">
        <f>IFERROR(SUMIFS('Rent Roll Input'!$T$7:$T$606,'Rent Roll Input'!$S$7:$S$606,'Rent Roll Recon'!$B$2,'Rent Roll Input'!$E$7:$E$606,"&lt;&gt;Vacant",'Rent Roll Input'!$E$7:$E$606,"&lt;&gt;Eviction",'Rent Roll Input'!$D$7:$D$606,"IL"),0)</f>
        <v/>
      </c>
      <c r="F52" s="136">
        <f>IFERROR(E52/B52,"-")</f>
        <v/>
      </c>
      <c r="G52" s="133">
        <f>C52+E52</f>
        <v/>
      </c>
      <c r="H52" s="136">
        <f>IFERROR(G52/B52,"-")</f>
        <v/>
      </c>
      <c r="I52" s="132">
        <f>IFERROR(E52/C52,"-")</f>
        <v/>
      </c>
    </row>
    <row r="53" ht="15.75" customHeight="1" s="199">
      <c r="A53" s="112" t="inlineStr">
        <is>
          <t>AL</t>
        </is>
      </c>
      <c r="B53" s="113">
        <f>COUNTIFS('Rent Roll Input'!$S$7:$S$606,'Rent Roll Recon'!$B$2,'Rent Roll Input'!$E$7:$E$606,"&lt;&gt;Vacant",'Rent Roll Input'!$E$7:$E$606,"&lt;&gt;Eviction",'Rent Roll Input'!$D$7:$D$606,"AL")</f>
        <v/>
      </c>
      <c r="C53" s="120">
        <f>IFERROR(SUMIFS('Rent Roll Input'!$H$7:$H$606,'Rent Roll Input'!$S$7:$S$606,'Rent Roll Recon'!$B$2,'Rent Roll Input'!$E$7:$E$606,"&lt;&gt;Vacant",'Rent Roll Input'!$E$7:$E$606,"&lt;&gt;Eviction",'Rent Roll Input'!$D$7:$D$606,"AL")+SUMIFS('Rent Roll Input'!$I$7:$I$606,'Rent Roll Input'!$S$7:$S$606,'Rent Roll Recon'!$B$2,'Rent Roll Input'!$E$7:$E$606,"&lt;&gt;Vacant",'Rent Roll Input'!$E$7:$E$606,"&lt;&gt;Eviction",'Rent Roll Input'!$D$7:$D$606,"AL"),0)</f>
        <v/>
      </c>
      <c r="D53" s="126">
        <f>IFERROR(C53/B53,"-")</f>
        <v/>
      </c>
      <c r="E53" s="120">
        <f>IFERROR(SUMIFS('Rent Roll Input'!$T$7:$T$606,'Rent Roll Input'!$S$7:$S$606,'Rent Roll Recon'!$B$2,'Rent Roll Input'!$E$7:$E$606,"&lt;&gt;Vacant",'Rent Roll Input'!$E$7:$E$606,"&lt;&gt;Eviction",'Rent Roll Input'!$D$7:$D$606,"AL"),0)</f>
        <v/>
      </c>
      <c r="F53" s="126">
        <f>IFERROR(E53/B53,"-")</f>
        <v/>
      </c>
      <c r="G53" s="120">
        <f>C53+E53</f>
        <v/>
      </c>
      <c r="H53" s="126">
        <f>IFERROR(G53/B53,"-")</f>
        <v/>
      </c>
      <c r="I53" s="117">
        <f>IFERROR(E53/C53,"-")</f>
        <v/>
      </c>
    </row>
    <row r="54" ht="15.75" customHeight="1" s="199">
      <c r="A54" s="130" t="inlineStr">
        <is>
          <t>MC</t>
        </is>
      </c>
      <c r="B54" s="131">
        <f>COUNTIFS('Rent Roll Input'!$S$7:$S$606,'Rent Roll Recon'!$B$2,'Rent Roll Input'!$E$7:$E$606,"&lt;&gt;Vacant",'Rent Roll Input'!$E$7:$E$606,"&lt;&gt;Eviction",'Rent Roll Input'!$D$7:$D$606,"MC")</f>
        <v/>
      </c>
      <c r="C54" s="133">
        <f>IFERROR(SUMIFS('Rent Roll Input'!$H$7:$H$606,'Rent Roll Input'!$S$7:$S$606,'Rent Roll Recon'!$B$2,'Rent Roll Input'!$E$7:$E$606,"&lt;&gt;Vacant",'Rent Roll Input'!$E$7:$E$606,"&lt;&gt;Eviction",'Rent Roll Input'!$D$7:$D$606,"MC")+SUMIFS('Rent Roll Input'!$I$7:$I$606,'Rent Roll Input'!$S$7:$S$606,'Rent Roll Recon'!$B$2,'Rent Roll Input'!$E$7:$E$606,"&lt;&gt;Vacant",'Rent Roll Input'!$E$7:$E$606,"&lt;&gt;Eviction",'Rent Roll Input'!$D$7:$D$606,"MC"),0)</f>
        <v/>
      </c>
      <c r="D54" s="136">
        <f>IFERROR(C54/B54,"-")</f>
        <v/>
      </c>
      <c r="E54" s="133">
        <f>IFERROR(SUMIFS('Rent Roll Input'!$T$7:$T$606,'Rent Roll Input'!$S$7:$S$606,'Rent Roll Recon'!$B$2,'Rent Roll Input'!$E$7:$E$606,"&lt;&gt;Vacant",'Rent Roll Input'!$E$7:$E$606,"&lt;&gt;Eviction",'Rent Roll Input'!$D$7:$D$606,"MC"),0)</f>
        <v/>
      </c>
      <c r="F54" s="136">
        <f>IFERROR(E54/B54,"-")</f>
        <v/>
      </c>
      <c r="G54" s="133">
        <f>C54+E54</f>
        <v/>
      </c>
      <c r="H54" s="136">
        <f>IFERROR(G54/B54,"-")</f>
        <v/>
      </c>
      <c r="I54" s="132">
        <f>IFERROR(E54/C54,"-")</f>
        <v/>
      </c>
    </row>
    <row r="55" ht="18" customHeight="1" s="199">
      <c r="A55" s="183" t="inlineStr">
        <is>
          <t>Blended  (all care types)</t>
        </is>
      </c>
      <c r="B55" s="134">
        <f>SUM(B52:B54)</f>
        <v/>
      </c>
      <c r="C55" s="30">
        <f>SUM(C52:C54)</f>
        <v/>
      </c>
      <c r="D55" s="137">
        <f>IFERROR(C55/B55,"-")</f>
        <v/>
      </c>
      <c r="E55" s="30">
        <f>SUM(E52:E54)</f>
        <v/>
      </c>
      <c r="F55" s="137">
        <f>IFERROR(E55/B55,"-")</f>
        <v/>
      </c>
      <c r="G55" s="30">
        <f>SUM(G52:G54)</f>
        <v/>
      </c>
      <c r="H55" s="137">
        <f>IFERROR(G55/B55,"-")</f>
        <v/>
      </c>
      <c r="I55" s="135">
        <f>IFERROR(E55/C55,"-")</f>
        <v/>
      </c>
    </row>
    <row r="56" ht="6" customHeight="1" s="199"/>
    <row r="57" ht="18" customHeight="1" s="199">
      <c r="A57" s="182" t="inlineStr">
        <is>
          <t>H  ·  AL CARE LEVEL DISTRIBUTION  (acuity mix)</t>
        </is>
      </c>
    </row>
    <row r="58" ht="25.5" customHeight="1" s="199">
      <c r="A58" s="111" t="inlineStr">
        <is>
          <t>AL Care Level</t>
        </is>
      </c>
      <c r="B58" s="10" t="inlineStr">
        <is>
          <t>Count</t>
        </is>
      </c>
      <c r="C58" s="10" t="inlineStr">
        <is>
          <t>% of
Occupied</t>
        </is>
      </c>
      <c r="D58" s="10" t="inlineStr">
        <is>
          <t>Total
$/mo</t>
        </is>
      </c>
      <c r="E58" s="23" t="inlineStr">
        <is>
          <t>Avg $/
resident</t>
        </is>
      </c>
      <c r="F58" s="10" t="n"/>
      <c r="G58" s="23" t="inlineStr">
        <is>
          <t>% of
Total LOC</t>
        </is>
      </c>
      <c r="H58" s="10" t="n"/>
      <c r="I58" s="10" t="n"/>
    </row>
    <row r="59" ht="15.75" customHeight="1" s="199">
      <c r="A59" s="130" t="inlineStr">
        <is>
          <t>Basic</t>
        </is>
      </c>
      <c r="B59" s="131">
        <f>COUNTIFS('Rent Roll Input'!$S$7:$S$606,'Rent Roll Recon'!$B$2,'Rent Roll Input'!$E$7:$E$606,"&lt;&gt;Vacant",'Rent Roll Input'!$E$7:$E$606,"&lt;&gt;Eviction",'Rent Roll Input'!$K$7:$K$606,"Basic")</f>
        <v/>
      </c>
      <c r="C59" s="132">
        <f>IFERROR(B59/COUNTIFS('Rent Roll Input'!$S$7:$S$606,'Rent Roll Recon'!$B$2,'Rent Roll Input'!$E$7:$E$606,"&lt;&gt;Vacant",'Rent Roll Input'!$E$7:$E$606,"&lt;&gt;Eviction"),"-")</f>
        <v/>
      </c>
      <c r="D59" s="133">
        <f>IF($B$67=0,"",IFERROR(SUMIFS('Rent Roll Input'!$L$7:$L$606,'Rent Roll Input'!$S$7:$S$606,'Rent Roll Recon'!$B$2,'Rent Roll Input'!$E$7:$E$606,"&lt;&gt;Vacant",'Rent Roll Input'!$E$7:$E$606,"&lt;&gt;Eviction",'Rent Roll Input'!$K$7:$K$606,"Basic"),0))</f>
        <v/>
      </c>
      <c r="E59" s="136">
        <f>IFERROR(D59/B59,"-")</f>
        <v/>
      </c>
      <c r="F59" s="138" t="n"/>
      <c r="G59" s="132">
        <f>IFERROR(D59/D67,"-")</f>
        <v/>
      </c>
      <c r="H59" s="138" t="n"/>
      <c r="I59" s="138" t="n"/>
    </row>
    <row r="60" ht="15.75" customHeight="1" s="199">
      <c r="A60" s="112" t="inlineStr">
        <is>
          <t>Level 2</t>
        </is>
      </c>
      <c r="B60" s="113">
        <f>COUNTIFS('Rent Roll Input'!$S$7:$S$606,'Rent Roll Recon'!$B$2,'Rent Roll Input'!$E$7:$E$606,"&lt;&gt;Vacant",'Rent Roll Input'!$E$7:$E$606,"&lt;&gt;Eviction",'Rent Roll Input'!$K$7:$K$606,"Level 2")</f>
        <v/>
      </c>
      <c r="C60" s="117">
        <f>IFERROR(B60/COUNTIFS('Rent Roll Input'!$S$7:$S$606,'Rent Roll Recon'!$B$2,'Rent Roll Input'!$E$7:$E$606,"&lt;&gt;Vacant",'Rent Roll Input'!$E$7:$E$606,"&lt;&gt;Eviction"),"-")</f>
        <v/>
      </c>
      <c r="D60" s="120">
        <f>IF($B$67=0,"",IFERROR(SUMIFS('Rent Roll Input'!$L$7:$L$606,'Rent Roll Input'!$S$7:$S$606,'Rent Roll Recon'!$B$2,'Rent Roll Input'!$E$7:$E$606,"&lt;&gt;Vacant",'Rent Roll Input'!$E$7:$E$606,"&lt;&gt;Eviction",'Rent Roll Input'!$K$7:$K$606,"Level 2"),0))</f>
        <v/>
      </c>
      <c r="E60" s="126">
        <f>IFERROR(D60/B60,"-")</f>
        <v/>
      </c>
      <c r="F60" s="139" t="n"/>
      <c r="G60" s="117">
        <f>IFERROR(D60/D67,"-")</f>
        <v/>
      </c>
      <c r="H60" s="139" t="n"/>
      <c r="I60" s="139" t="n"/>
    </row>
    <row r="61" ht="15.75" customHeight="1" s="199">
      <c r="A61" s="130" t="inlineStr">
        <is>
          <t>Level 3</t>
        </is>
      </c>
      <c r="B61" s="131">
        <f>COUNTIFS('Rent Roll Input'!$S$7:$S$606,'Rent Roll Recon'!$B$2,'Rent Roll Input'!$E$7:$E$606,"&lt;&gt;Vacant",'Rent Roll Input'!$E$7:$E$606,"&lt;&gt;Eviction",'Rent Roll Input'!$K$7:$K$606,"Level 3")</f>
        <v/>
      </c>
      <c r="C61" s="132">
        <f>IFERROR(B61/COUNTIFS('Rent Roll Input'!$S$7:$S$606,'Rent Roll Recon'!$B$2,'Rent Roll Input'!$E$7:$E$606,"&lt;&gt;Vacant",'Rent Roll Input'!$E$7:$E$606,"&lt;&gt;Eviction"),"-")</f>
        <v/>
      </c>
      <c r="D61" s="133">
        <f>IF($B$67=0,"",IFERROR(SUMIFS('Rent Roll Input'!$L$7:$L$606,'Rent Roll Input'!$S$7:$S$606,'Rent Roll Recon'!$B$2,'Rent Roll Input'!$E$7:$E$606,"&lt;&gt;Vacant",'Rent Roll Input'!$E$7:$E$606,"&lt;&gt;Eviction",'Rent Roll Input'!$K$7:$K$606,"Level 3"),0))</f>
        <v/>
      </c>
      <c r="E61" s="136">
        <f>IFERROR(D61/B61,"-")</f>
        <v/>
      </c>
      <c r="F61" s="138" t="n"/>
      <c r="G61" s="132">
        <f>IFERROR(D61/D67,"-")</f>
        <v/>
      </c>
      <c r="H61" s="138" t="n"/>
      <c r="I61" s="138" t="n"/>
    </row>
    <row r="62" ht="15.75" customHeight="1" s="199">
      <c r="A62" s="112" t="inlineStr">
        <is>
          <t>Level 4</t>
        </is>
      </c>
      <c r="B62" s="113">
        <f>COUNTIFS('Rent Roll Input'!$S$7:$S$606,'Rent Roll Recon'!$B$2,'Rent Roll Input'!$E$7:$E$606,"&lt;&gt;Vacant",'Rent Roll Input'!$E$7:$E$606,"&lt;&gt;Eviction",'Rent Roll Input'!$K$7:$K$606,"Level 4")</f>
        <v/>
      </c>
      <c r="C62" s="117">
        <f>IFERROR(B62/COUNTIFS('Rent Roll Input'!$S$7:$S$606,'Rent Roll Recon'!$B$2,'Rent Roll Input'!$E$7:$E$606,"&lt;&gt;Vacant",'Rent Roll Input'!$E$7:$E$606,"&lt;&gt;Eviction"),"-")</f>
        <v/>
      </c>
      <c r="D62" s="120">
        <f>IF($B$67=0,"",IFERROR(SUMIFS('Rent Roll Input'!$L$7:$L$606,'Rent Roll Input'!$S$7:$S$606,'Rent Roll Recon'!$B$2,'Rent Roll Input'!$E$7:$E$606,"&lt;&gt;Vacant",'Rent Roll Input'!$E$7:$E$606,"&lt;&gt;Eviction",'Rent Roll Input'!$K$7:$K$606,"Level 4"),0))</f>
        <v/>
      </c>
      <c r="E62" s="126">
        <f>IFERROR(D62/B62,"-")</f>
        <v/>
      </c>
      <c r="F62" s="139" t="n"/>
      <c r="G62" s="117">
        <f>IFERROR(D62/D67,"-")</f>
        <v/>
      </c>
      <c r="H62" s="139" t="n"/>
      <c r="I62" s="139" t="n"/>
    </row>
    <row r="63" ht="15.75" customHeight="1" s="199">
      <c r="A63" s="130" t="inlineStr">
        <is>
          <t>Level 5</t>
        </is>
      </c>
      <c r="B63" s="131">
        <f>COUNTIFS('Rent Roll Input'!$S$7:$S$606,'Rent Roll Recon'!$B$2,'Rent Roll Input'!$E$7:$E$606,"&lt;&gt;Vacant",'Rent Roll Input'!$E$7:$E$606,"&lt;&gt;Eviction",'Rent Roll Input'!$K$7:$K$606,"Level 5")</f>
        <v/>
      </c>
      <c r="C63" s="132">
        <f>IFERROR(B63/COUNTIFS('Rent Roll Input'!$S$7:$S$606,'Rent Roll Recon'!$B$2,'Rent Roll Input'!$E$7:$E$606,"&lt;&gt;Vacant",'Rent Roll Input'!$E$7:$E$606,"&lt;&gt;Eviction"),"-")</f>
        <v/>
      </c>
      <c r="D63" s="133">
        <f>IF($B$67=0,"",IFERROR(SUMIFS('Rent Roll Input'!$L$7:$L$606,'Rent Roll Input'!$S$7:$S$606,'Rent Roll Recon'!$B$2,'Rent Roll Input'!$E$7:$E$606,"&lt;&gt;Vacant",'Rent Roll Input'!$E$7:$E$606,"&lt;&gt;Eviction",'Rent Roll Input'!$K$7:$K$606,"Level 5"),0))</f>
        <v/>
      </c>
      <c r="E63" s="136">
        <f>IFERROR(D63/B63,"-")</f>
        <v/>
      </c>
      <c r="F63" s="138" t="n"/>
      <c r="G63" s="132">
        <f>IFERROR(D63/D67,"-")</f>
        <v/>
      </c>
      <c r="H63" s="138" t="n"/>
      <c r="I63" s="138" t="n"/>
    </row>
    <row r="64" ht="15.75" customHeight="1" s="199">
      <c r="A64" s="112" t="inlineStr">
        <is>
          <t>Level 6</t>
        </is>
      </c>
      <c r="B64" s="113">
        <f>COUNTIFS('Rent Roll Input'!$S$7:$S$606,'Rent Roll Recon'!$B$2,'Rent Roll Input'!$E$7:$E$606,"&lt;&gt;Vacant",'Rent Roll Input'!$E$7:$E$606,"&lt;&gt;Eviction",'Rent Roll Input'!$K$7:$K$606,"Level 6")</f>
        <v/>
      </c>
      <c r="C64" s="117">
        <f>IFERROR(B64/COUNTIFS('Rent Roll Input'!$S$7:$S$606,'Rent Roll Recon'!$B$2,'Rent Roll Input'!$E$7:$E$606,"&lt;&gt;Vacant",'Rent Roll Input'!$E$7:$E$606,"&lt;&gt;Eviction"),"-")</f>
        <v/>
      </c>
      <c r="D64" s="120">
        <f>IF($B$67=0,"",IFERROR(SUMIFS('Rent Roll Input'!$L$7:$L$606,'Rent Roll Input'!$S$7:$S$606,'Rent Roll Recon'!$B$2,'Rent Roll Input'!$E$7:$E$606,"&lt;&gt;Vacant",'Rent Roll Input'!$E$7:$E$606,"&lt;&gt;Eviction",'Rent Roll Input'!$K$7:$K$606,"Level 6"),0))</f>
        <v/>
      </c>
      <c r="E64" s="126">
        <f>IFERROR(D64/B64,"-")</f>
        <v/>
      </c>
      <c r="F64" s="139" t="n"/>
      <c r="G64" s="117">
        <f>IFERROR(D64/D67,"-")</f>
        <v/>
      </c>
      <c r="H64" s="139" t="n"/>
      <c r="I64" s="139" t="n"/>
    </row>
    <row r="65" ht="15.75" customHeight="1" s="199">
      <c r="A65" s="130" t="inlineStr">
        <is>
          <t>Level 7</t>
        </is>
      </c>
      <c r="B65" s="131">
        <f>COUNTIFS('Rent Roll Input'!$S$7:$S$606,'Rent Roll Recon'!$B$2,'Rent Roll Input'!$E$7:$E$606,"&lt;&gt;Vacant",'Rent Roll Input'!$E$7:$E$606,"&lt;&gt;Eviction",'Rent Roll Input'!$K$7:$K$606,"Level 7")</f>
        <v/>
      </c>
      <c r="C65" s="132">
        <f>IFERROR(B65/COUNTIFS('Rent Roll Input'!$S$7:$S$606,'Rent Roll Recon'!$B$2,'Rent Roll Input'!$E$7:$E$606,"&lt;&gt;Vacant",'Rent Roll Input'!$E$7:$E$606,"&lt;&gt;Eviction"),"-")</f>
        <v/>
      </c>
      <c r="D65" s="133">
        <f>IF($B$67=0,"",IFERROR(SUMIFS('Rent Roll Input'!$L$7:$L$606,'Rent Roll Input'!$S$7:$S$606,'Rent Roll Recon'!$B$2,'Rent Roll Input'!$E$7:$E$606,"&lt;&gt;Vacant",'Rent Roll Input'!$E$7:$E$606,"&lt;&gt;Eviction",'Rent Roll Input'!$K$7:$K$606,"Level 7"),0))</f>
        <v/>
      </c>
      <c r="E65" s="136">
        <f>IFERROR(D65/B65,"-")</f>
        <v/>
      </c>
      <c r="F65" s="138" t="n"/>
      <c r="G65" s="132">
        <f>IFERROR(D65/D67,"-")</f>
        <v/>
      </c>
      <c r="H65" s="138" t="n"/>
      <c r="I65" s="138" t="n"/>
    </row>
    <row r="66" ht="15.75" customHeight="1" s="199">
      <c r="A66" s="112" t="inlineStr">
        <is>
          <t>Other</t>
        </is>
      </c>
      <c r="B66" s="113">
        <f>COUNTIFS('Rent Roll Input'!$S$7:$S$606,'Rent Roll Recon'!$B$2,'Rent Roll Input'!$E$7:$E$606,"&lt;&gt;Vacant",'Rent Roll Input'!$E$7:$E$606,"&lt;&gt;Eviction",'Rent Roll Input'!$K$7:$K$606,"Other")</f>
        <v/>
      </c>
      <c r="C66" s="117">
        <f>IFERROR(B66/COUNTIFS('Rent Roll Input'!$S$7:$S$606,'Rent Roll Recon'!$B$2,'Rent Roll Input'!$E$7:$E$606,"&lt;&gt;Vacant",'Rent Roll Input'!$E$7:$E$606,"&lt;&gt;Eviction"),"-")</f>
        <v/>
      </c>
      <c r="D66" s="120">
        <f>IF($B$67=0,"",IFERROR(SUMIFS('Rent Roll Input'!$L$7:$L$606,'Rent Roll Input'!$S$7:$S$606,'Rent Roll Recon'!$B$2,'Rent Roll Input'!$E$7:$E$606,"&lt;&gt;Vacant",'Rent Roll Input'!$E$7:$E$606,"&lt;&gt;Eviction",'Rent Roll Input'!$K$7:$K$606,"Other"),0))</f>
        <v/>
      </c>
      <c r="E66" s="126">
        <f>IFERROR(D66/B66,"-")</f>
        <v/>
      </c>
      <c r="F66" s="139" t="n"/>
      <c r="G66" s="117">
        <f>IFERROR(D66/D67,"-")</f>
        <v/>
      </c>
      <c r="H66" s="139" t="n"/>
      <c r="I66" s="139" t="n"/>
    </row>
    <row r="67" ht="18" customHeight="1" s="199">
      <c r="A67" s="183" t="inlineStr">
        <is>
          <t>Total AL care charges</t>
        </is>
      </c>
      <c r="B67" s="134">
        <f>SUM(B59:B66)</f>
        <v/>
      </c>
      <c r="C67" s="135" t="inlineStr">
        <is>
          <t>100%</t>
        </is>
      </c>
      <c r="D67" s="30">
        <f>SUM(D59:D66)</f>
        <v/>
      </c>
      <c r="E67" s="137">
        <f>IFERROR(D67/B67,"-")</f>
        <v/>
      </c>
      <c r="F67" s="140" t="n"/>
      <c r="G67" s="135" t="inlineStr">
        <is>
          <t>100%</t>
        </is>
      </c>
      <c r="H67" s="140" t="n"/>
      <c r="I67" s="140" t="n"/>
    </row>
    <row r="68" ht="6" customHeight="1" s="199"/>
    <row r="69" ht="18" customHeight="1" s="199">
      <c r="A69" s="182" t="inlineStr">
        <is>
          <t>I  ·  ANCILLARY CHARGES  (Med Mgmt, Pharmacy, Other LOC)</t>
        </is>
      </c>
    </row>
    <row r="70" ht="25.5" customHeight="1" s="199">
      <c r="A70" s="111" t="inlineStr">
        <is>
          <t>Charge Type</t>
        </is>
      </c>
      <c r="B70" s="10" t="inlineStr">
        <is>
          <t>Count
Enrolled</t>
        </is>
      </c>
      <c r="C70" s="10" t="inlineStr">
        <is>
          <t>% of
Occupied</t>
        </is>
      </c>
      <c r="D70" s="10" t="inlineStr">
        <is>
          <t>Total
$/mo</t>
        </is>
      </c>
      <c r="E70" s="23" t="inlineStr">
        <is>
          <t>Avg $/
Enrolled</t>
        </is>
      </c>
      <c r="F70" s="10" t="n"/>
      <c r="G70" s="10" t="n"/>
      <c r="H70" s="10" t="n"/>
      <c r="I70" s="10" t="n"/>
    </row>
    <row r="71" ht="15.75" customHeight="1" s="199">
      <c r="A71" s="112" t="inlineStr">
        <is>
          <t>Medication Management</t>
        </is>
      </c>
      <c r="B71" s="113">
        <f>COUNTIFS('Rent Roll Input'!$S$7:$S$606,'Rent Roll Recon'!$B$2,'Rent Roll Input'!$E$7:$E$606,"&lt;&gt;Vacant",'Rent Roll Input'!$E$7:$E$606,"&lt;&gt;Eviction",'Rent Roll Input'!$M$7:$M$606,"&gt;0")</f>
        <v/>
      </c>
      <c r="C71" s="117">
        <f>IFERROR(COUNTIFS('Rent Roll Input'!$S$7:$S$606,'Rent Roll Recon'!$B$2,'Rent Roll Input'!$E$7:$E$606,"&lt;&gt;Vacant",'Rent Roll Input'!$E$7:$E$606,"&lt;&gt;Eviction",'Rent Roll Input'!$M$7:$M$606,"&gt;0")/(COUNTIFS('Rent Roll Input'!$S$7:$S$606,'Rent Roll Recon'!$B$2,'Rent Roll Input'!$E$7:$E$606,"&lt;&gt;Vacant",'Rent Roll Input'!$E$7:$E$606,"&lt;&gt;Eviction")),"-")</f>
        <v/>
      </c>
      <c r="D71" s="120">
        <f>IFERROR(SUMIFS('Rent Roll Input'!$M$7:$M$606,'Rent Roll Input'!$S$7:$S$606,'Rent Roll Recon'!$B$2,'Rent Roll Input'!$E$7:$E$606,"&lt;&gt;Vacant",'Rent Roll Input'!$E$7:$E$606,"&lt;&gt;Eviction"),0)</f>
        <v/>
      </c>
      <c r="E71" s="126">
        <f>IFERROR(D71/B71,"-")</f>
        <v/>
      </c>
      <c r="F71" s="139" t="n"/>
      <c r="G71" s="139" t="n"/>
      <c r="H71" s="85" t="inlineStr">
        <is>
          <t>$150–$350 / mo; 26 of 35 in Salem Road</t>
        </is>
      </c>
      <c r="I71" s="139" t="n"/>
    </row>
    <row r="72" ht="15.75" customHeight="1" s="199">
      <c r="A72" s="112" t="inlineStr">
        <is>
          <t>Pharmacy</t>
        </is>
      </c>
      <c r="B72" s="113">
        <f>COUNTIFS('Rent Roll Input'!$S$7:$S$606,'Rent Roll Recon'!$B$2,'Rent Roll Input'!$E$7:$E$606,"&lt;&gt;Vacant",'Rent Roll Input'!$E$7:$E$606,"&lt;&gt;Eviction",'Rent Roll Input'!$N$7:$N$606,"&gt;0")</f>
        <v/>
      </c>
      <c r="C72" s="117">
        <f>IFERROR(COUNTIFS('Rent Roll Input'!$S$7:$S$606,'Rent Roll Recon'!$B$2,'Rent Roll Input'!$E$7:$E$606,"&lt;&gt;Vacant",'Rent Roll Input'!$E$7:$E$606,"&lt;&gt;Eviction",'Rent Roll Input'!$N$7:$N$606,"&gt;0")/(COUNTIFS('Rent Roll Input'!$S$7:$S$606,'Rent Roll Recon'!$B$2,'Rent Roll Input'!$E$7:$E$606,"&lt;&gt;Vacant",'Rent Roll Input'!$E$7:$E$606,"&lt;&gt;Eviction")),"-")</f>
        <v/>
      </c>
      <c r="D72" s="120">
        <f>IFERROR(SUMIFS('Rent Roll Input'!$N$7:$N$606,'Rent Roll Input'!$S$7:$S$606,'Rent Roll Recon'!$B$2,'Rent Roll Input'!$E$7:$E$606,"&lt;&gt;Vacant",'Rent Roll Input'!$E$7:$E$606,"&lt;&gt;Eviction"),0)</f>
        <v/>
      </c>
      <c r="E72" s="126">
        <f>IFERROR(D72/B72,"-")</f>
        <v/>
      </c>
      <c r="F72" s="139" t="n"/>
      <c r="G72" s="139" t="n"/>
      <c r="H72" s="85" t="inlineStr">
        <is>
          <t>$450 / mo when enrolled</t>
        </is>
      </c>
      <c r="I72" s="139" t="n"/>
    </row>
    <row r="73" ht="15.75" customHeight="1" s="199">
      <c r="A73" s="112" t="inlineStr">
        <is>
          <t>Other LOC</t>
        </is>
      </c>
      <c r="B73" s="113">
        <f>COUNTIFS('Rent Roll Input'!$S$7:$S$606,'Rent Roll Recon'!$B$2,'Rent Roll Input'!$E$7:$E$606,"&lt;&gt;Vacant",'Rent Roll Input'!$E$7:$E$606,"&lt;&gt;Eviction",'Rent Roll Input'!$O$7:$O$606,"&gt;0")</f>
        <v/>
      </c>
      <c r="C73" s="117">
        <f>IFERROR(COUNTIFS('Rent Roll Input'!$S$7:$S$606,'Rent Roll Recon'!$B$2,'Rent Roll Input'!$E$7:$E$606,"&lt;&gt;Vacant",'Rent Roll Input'!$E$7:$E$606,"&lt;&gt;Eviction",'Rent Roll Input'!$O$7:$O$606,"&gt;0")/(COUNTIFS('Rent Roll Input'!$S$7:$S$606,'Rent Roll Recon'!$B$2,'Rent Roll Input'!$E$7:$E$606,"&lt;&gt;Vacant",'Rent Roll Input'!$E$7:$E$606,"&lt;&gt;Eviction")),"-")</f>
        <v/>
      </c>
      <c r="D73" s="120">
        <f>IFERROR(SUMIFS('Rent Roll Input'!$O$7:$O$606,'Rent Roll Input'!$S$7:$S$606,'Rent Roll Recon'!$B$2,'Rent Roll Input'!$E$7:$E$606,"&lt;&gt;Vacant",'Rent Roll Input'!$E$7:$E$606,"&lt;&gt;Eviction"),0)</f>
        <v/>
      </c>
      <c r="E73" s="126">
        <f>IFERROR(D73/B73,"-")</f>
        <v/>
      </c>
      <c r="F73" s="139" t="n"/>
      <c r="G73" s="139" t="n"/>
      <c r="H73" s="85" t="inlineStr">
        <is>
          <t>Catch-all for additional LOC charges</t>
        </is>
      </c>
      <c r="I73" s="139" t="n"/>
    </row>
    <row r="74" ht="18" customHeight="1" s="199">
      <c r="A74" s="183" t="inlineStr">
        <is>
          <t>Total ancillary charges</t>
        </is>
      </c>
      <c r="B74" s="140" t="n"/>
      <c r="C74" s="140" t="n"/>
      <c r="D74" s="30">
        <f>SUM(D71:D73)</f>
        <v/>
      </c>
      <c r="E74" s="140" t="n"/>
      <c r="F74" s="140" t="n"/>
      <c r="G74" s="140" t="n"/>
      <c r="H74" s="140" t="n"/>
      <c r="I74" s="140" t="n"/>
    </row>
    <row r="75" ht="15.75" customHeight="1" s="199">
      <c r="A75" s="112" t="inlineStr">
        <is>
          <t>Total LOC  (care level + all ancillary)</t>
        </is>
      </c>
      <c r="B75" s="200" t="n"/>
      <c r="C75" s="200" t="n"/>
      <c r="D75" s="141">
        <f>IFERROR(SUMIFS('Rent Roll Input'!$T$7:$T$606,'Rent Roll Input'!$S$7:$S$606,'Rent Roll Recon'!$B$2,'Rent Roll Input'!$E$7:$E$606,"&lt;&gt;Vacant",'Rent Roll Input'!$E$7:$E$606,"&lt;&gt;Eviction"),0)</f>
        <v/>
      </c>
      <c r="E75" s="200" t="n"/>
      <c r="F75" s="200" t="n"/>
      <c r="G75" s="200" t="n"/>
      <c r="H75" s="200" t="n"/>
      <c r="I75" s="200" t="n"/>
    </row>
    <row r="76" ht="6" customHeight="1" s="199"/>
    <row r="77" ht="18" customHeight="1" s="199">
      <c r="A77" s="182" t="inlineStr">
        <is>
          <t>J  ·  CONCESSION TRACKER  (active concessions and expiration flags)</t>
        </is>
      </c>
    </row>
    <row r="78" ht="18" customHeight="1" s="199">
      <c r="A78" s="112" t="inlineStr">
        <is>
          <t>Residents with active concessions</t>
        </is>
      </c>
      <c r="B78" s="113">
        <f>COUNTIFS('Rent Roll Input'!$S$7:$S$606,'Rent Roll Recon'!$B$2,'Rent Roll Input'!$E$7:$E$606,"&lt;&gt;Vacant",'Rent Roll Input'!$E$7:$E$606,"&lt;&gt;Eviction",'Rent Roll Input'!$I$7:$I$606,"&lt;0")</f>
        <v/>
      </c>
      <c r="C78" s="200" t="n"/>
      <c r="D78" s="200" t="n"/>
      <c r="E78" s="200" t="n"/>
      <c r="F78" s="200" t="n"/>
      <c r="G78" s="200" t="n"/>
      <c r="H78" s="200" t="n"/>
      <c r="I78" s="200" t="n"/>
    </row>
    <row r="79" ht="18" customHeight="1" s="199">
      <c r="A79" s="112" t="inlineStr">
        <is>
          <t>Total concession $/mo  (negative)</t>
        </is>
      </c>
      <c r="B79" s="120">
        <f>IFERROR(SUMIFS('Rent Roll Input'!$I$7:$I$606,'Rent Roll Input'!$S$7:$S$606,'Rent Roll Recon'!$B$2,'Rent Roll Input'!$E$7:$E$606,"&lt;&gt;Vacant",'Rent Roll Input'!$E$7:$E$606,"&lt;&gt;Eviction",'Rent Roll Input'!$I$7:$I$606,"&lt;0"),0)</f>
        <v/>
      </c>
      <c r="C79" s="200" t="n"/>
      <c r="D79" s="200" t="n"/>
      <c r="E79" s="200" t="n"/>
      <c r="F79" s="200" t="n"/>
      <c r="G79" s="200" t="n"/>
      <c r="H79" s="200" t="n"/>
      <c r="I79" s="200" t="n"/>
    </row>
    <row r="80" ht="18" customHeight="1" s="199">
      <c r="A80" s="112" t="inlineStr">
        <is>
          <t>Concession as % of gross contracted rent</t>
        </is>
      </c>
      <c r="B80" s="117">
        <f>IFERROR(B79/E16,"-")</f>
        <v/>
      </c>
      <c r="C80" s="200" t="n"/>
      <c r="D80" s="200" t="n"/>
      <c r="E80" s="200" t="n"/>
      <c r="F80" s="200" t="n"/>
      <c r="G80" s="200" t="n"/>
      <c r="H80" s="200" t="n"/>
      <c r="I80" s="200" t="n"/>
    </row>
    <row r="81" ht="18" customHeight="1" s="199">
      <c r="A81" s="115" t="inlineStr">
        <is>
          <t>Concessions expiring ≤ 90 days  (flag)</t>
        </is>
      </c>
      <c r="B81" s="116">
        <f>COUNTIFS('Rent Roll Input'!$S$7:$S$606,'Rent Roll Recon'!$B$2,'Rent Roll Input'!$E$7:$E$606,"&lt;&gt;Vacant",'Rent Roll Input'!$E$7:$E$606,"&lt;&gt;Eviction",'Rent Roll Input'!$I$7:$I$606,"&lt;0",'Rent Roll Input'!$J$7:$J$606,"&lt;="&amp;TODAY()+90,'Rent Roll Input'!$J$7:$J$606,"&gt;="&amp;TODAY())</f>
        <v/>
      </c>
      <c r="C81" s="200" t="n"/>
      <c r="D81" s="200" t="n"/>
      <c r="E81" s="200" t="n"/>
      <c r="F81" s="200" t="n"/>
      <c r="G81" s="200" t="n"/>
      <c r="H81" s="38" t="inlineStr">
        <is>
          <t>⚠ Review lease terms — concession burn-off boosts NOI</t>
        </is>
      </c>
      <c r="I81" s="200" t="n"/>
    </row>
    <row r="82" ht="18" customHeight="1" s="199">
      <c r="A82" s="112" t="inlineStr">
        <is>
          <t>Concessions expiring ≤ 180 days</t>
        </is>
      </c>
      <c r="B82" s="113">
        <f>COUNTIFS('Rent Roll Input'!$S$7:$S$606,'Rent Roll Recon'!$B$2,'Rent Roll Input'!$E$7:$E$606,"&lt;&gt;Vacant",'Rent Roll Input'!$E$7:$E$606,"&lt;&gt;Eviction",'Rent Roll Input'!$I$7:$I$606,"&lt;0",'Rent Roll Input'!$J$7:$J$606,"&lt;="&amp;TODAY()+180,'Rent Roll Input'!$J$7:$J$606,"&gt;="&amp;TODAY())</f>
        <v/>
      </c>
      <c r="C82" s="200" t="n"/>
      <c r="D82" s="200" t="n"/>
      <c r="E82" s="200" t="n"/>
      <c r="F82" s="200" t="n"/>
      <c r="G82" s="200" t="n"/>
      <c r="H82" s="15" t="inlineStr">
        <is>
          <t>Model future NOI improvement from concession burn-off</t>
        </is>
      </c>
      <c r="I82" s="200" t="n"/>
    </row>
    <row r="83" ht="6" customHeight="1" s="199"/>
    <row r="84" ht="13.5" customHeight="1" s="199">
      <c r="A84" s="190" t="inlineStr">
        <is>
          <t xml:space="preserve">  Blue=Period selector (B2)  |  Teal headers = calculated outputs  |  Yellow = key inputs  |  Amber = flags requiring review  |  ARPR = avg revenue per resident/month</t>
        </is>
      </c>
    </row>
    <row r="86">
      <c r="A86" s="216" t="inlineStr">
        <is>
          <t>K  ·  IL UNIT-TYPE MIX, SIZE &amp; RATE DISPERSION</t>
        </is>
      </c>
    </row>
    <row r="87">
      <c r="A87" s="214" t="inlineStr">
        <is>
          <t>Unit Type</t>
        </is>
      </c>
      <c r="B87" s="214" t="inlineStr">
        <is>
          <t>Count</t>
        </is>
      </c>
      <c r="C87" s="214" t="inlineStr">
        <is>
          <t>% of
IL</t>
        </is>
      </c>
      <c r="D87" s="214" t="inlineStr">
        <is>
          <t>Avg Rate</t>
        </is>
      </c>
      <c r="E87" s="214" t="inlineStr">
        <is>
          <t>Min Rate</t>
        </is>
      </c>
      <c r="F87" s="214" t="inlineStr">
        <is>
          <t>Max Rate</t>
        </is>
      </c>
      <c r="G87" s="214" t="inlineStr">
        <is>
          <t>Avg Sq Ft</t>
        </is>
      </c>
      <c r="H87" s="214" t="inlineStr">
        <is>
          <t>$/Sq Ft</t>
        </is>
      </c>
      <c r="I87" s="226" t="inlineStr">
        <is>
          <t>Avg Actual
PSF</t>
        </is>
      </c>
    </row>
    <row r="88">
      <c r="A88" s="217" t="inlineStr">
        <is>
          <t>Studio</t>
        </is>
      </c>
      <c r="B88">
        <f>COUNTIFS('Rent Roll Input'!$S$7:$S$606,'Rent Roll Recon'!$B$2,'Rent Roll Input'!$E$7:$E$606,"&lt;&gt;Vacant",'Rent Roll Input'!$E$7:$E$606,"&lt;&gt;Eviction",'Rent Roll Input'!$D$7:$D$606,"IL",'Rent Roll Input'!$F$7:$F$606,"Studio")</f>
        <v/>
      </c>
      <c r="C88" s="218">
        <f>IFERROR(B88/COUNTIFS('Rent Roll Input'!$S$7:$S$606,'Rent Roll Recon'!$B$2,'Rent Roll Input'!$E$7:$E$606,"&lt;&gt;Vacant",'Rent Roll Input'!$E$7:$E$606,"&lt;&gt;Eviction",'Rent Roll Input'!$D$7:$D$606,"IL"),"-")</f>
        <v/>
      </c>
      <c r="D88" s="219">
        <f>IFERROR(AVERAGEIFS('Rent Roll Input'!$H$7:$H$606,'Rent Roll Input'!$S$7:$S$606,'Rent Roll Recon'!$B$2,'Rent Roll Input'!$E$7:$E$606,"&lt;&gt;Vacant",'Rent Roll Input'!$E$7:$E$606,"&lt;&gt;Eviction",'Rent Roll Input'!$D$7:$D$606,"IL",'Rent Roll Input'!$F$7:$F$606,"Studio"),"-")</f>
        <v/>
      </c>
      <c r="E88" s="219">
        <f>IFERROR(MINIFS('Rent Roll Input'!$H$7:$H$606,'Rent Roll Input'!$S$7:$S$606,'Rent Roll Recon'!$B$2,'Rent Roll Input'!$E$7:$E$606,"&lt;&gt;Vacant",'Rent Roll Input'!$E$7:$E$606,"&lt;&gt;Eviction",'Rent Roll Input'!$D$7:$D$606,"IL",'Rent Roll Input'!$F$7:$F$606,"Studio"),"-")</f>
        <v/>
      </c>
      <c r="F88" s="219">
        <f>IFERROR(MAXIFS('Rent Roll Input'!$H$7:$H$606,'Rent Roll Input'!$S$7:$S$606,'Rent Roll Recon'!$B$2,'Rent Roll Input'!$E$7:$E$606,"&lt;&gt;Vacant",'Rent Roll Input'!$E$7:$E$606,"&lt;&gt;Eviction",'Rent Roll Input'!$D$7:$D$606,"IL",'Rent Roll Input'!$F$7:$F$606,"Studio"),"-")</f>
        <v/>
      </c>
      <c r="G88" s="220">
        <f>IFERROR(AVERAGEIFS('Rent Roll Input'!$C$7:$C$606,'Rent Roll Input'!$S$7:$S$606,'Rent Roll Recon'!$B$2,'Rent Roll Input'!$E$7:$E$606,"&lt;&gt;Vacant",'Rent Roll Input'!$E$7:$E$606,"&lt;&gt;Eviction",'Rent Roll Input'!$D$7:$D$606,"IL",'Rent Roll Input'!$F$7:$F$606,"Studio"),"-")</f>
        <v/>
      </c>
      <c r="H88" s="221">
        <f>IFERROR(D88/G88,"-")</f>
        <v/>
      </c>
      <c r="I88" s="242">
        <f>IFERROR(AVERAGEIFS('Rent Roll Input'!$AA$7:$AA$606,'Rent Roll Input'!$S$7:$S$606,'Rent Roll Recon'!$B$2,'Rent Roll Input'!$E$7:$E$606,"&lt;&gt;Vacant",'Rent Roll Input'!$E$7:$E$606,"&lt;&gt;Eviction",'Rent Roll Input'!$D$7:$D$606,"IL",'Rent Roll Input'!$F$7:$F$606,"Studio"),"-")</f>
        <v/>
      </c>
    </row>
    <row r="89">
      <c r="A89" s="217" t="inlineStr">
        <is>
          <t>1 Bedroom</t>
        </is>
      </c>
      <c r="B89">
        <f>COUNTIFS('Rent Roll Input'!$S$7:$S$606,'Rent Roll Recon'!$B$2,'Rent Roll Input'!$E$7:$E$606,"&lt;&gt;Vacant",'Rent Roll Input'!$E$7:$E$606,"&lt;&gt;Eviction",'Rent Roll Input'!$D$7:$D$606,"IL",'Rent Roll Input'!$F$7:$F$606,"1 Bedroom")</f>
        <v/>
      </c>
      <c r="C89" s="218">
        <f>IFERROR(B89/COUNTIFS('Rent Roll Input'!$S$7:$S$606,'Rent Roll Recon'!$B$2,'Rent Roll Input'!$E$7:$E$606,"&lt;&gt;Vacant",'Rent Roll Input'!$E$7:$E$606,"&lt;&gt;Eviction",'Rent Roll Input'!$D$7:$D$606,"IL"),"-")</f>
        <v/>
      </c>
      <c r="D89" s="219">
        <f>IFERROR(AVERAGEIFS('Rent Roll Input'!$H$7:$H$606,'Rent Roll Input'!$S$7:$S$606,'Rent Roll Recon'!$B$2,'Rent Roll Input'!$E$7:$E$606,"&lt;&gt;Vacant",'Rent Roll Input'!$E$7:$E$606,"&lt;&gt;Eviction",'Rent Roll Input'!$D$7:$D$606,"IL",'Rent Roll Input'!$F$7:$F$606,"1 Bedroom"),"-")</f>
        <v/>
      </c>
      <c r="E89" s="219">
        <f>IFERROR(MINIFS('Rent Roll Input'!$H$7:$H$606,'Rent Roll Input'!$S$7:$S$606,'Rent Roll Recon'!$B$2,'Rent Roll Input'!$E$7:$E$606,"&lt;&gt;Vacant",'Rent Roll Input'!$E$7:$E$606,"&lt;&gt;Eviction",'Rent Roll Input'!$D$7:$D$606,"IL",'Rent Roll Input'!$F$7:$F$606,"1 Bedroom"),"-")</f>
        <v/>
      </c>
      <c r="F89" s="219">
        <f>IFERROR(MAXIFS('Rent Roll Input'!$H$7:$H$606,'Rent Roll Input'!$S$7:$S$606,'Rent Roll Recon'!$B$2,'Rent Roll Input'!$E$7:$E$606,"&lt;&gt;Vacant",'Rent Roll Input'!$E$7:$E$606,"&lt;&gt;Eviction",'Rent Roll Input'!$D$7:$D$606,"IL",'Rent Roll Input'!$F$7:$F$606,"1 Bedroom"),"-")</f>
        <v/>
      </c>
      <c r="G89" s="220">
        <f>IFERROR(AVERAGEIFS('Rent Roll Input'!$C$7:$C$606,'Rent Roll Input'!$S$7:$S$606,'Rent Roll Recon'!$B$2,'Rent Roll Input'!$E$7:$E$606,"&lt;&gt;Vacant",'Rent Roll Input'!$E$7:$E$606,"&lt;&gt;Eviction",'Rent Roll Input'!$D$7:$D$606,"IL",'Rent Roll Input'!$F$7:$F$606,"1 Bedroom"),"-")</f>
        <v/>
      </c>
      <c r="H89" s="221">
        <f>IFERROR(D89/G89,"-")</f>
        <v/>
      </c>
      <c r="I89" s="242">
        <f>IFERROR(AVERAGEIFS('Rent Roll Input'!$AA$7:$AA$606,'Rent Roll Input'!$S$7:$S$606,'Rent Roll Recon'!$B$2,'Rent Roll Input'!$E$7:$E$606,"&lt;&gt;Vacant",'Rent Roll Input'!$E$7:$E$606,"&lt;&gt;Eviction",'Rent Roll Input'!$D$7:$D$606,"IL",'Rent Roll Input'!$F$7:$F$606,"1 Bedroom"),"-")</f>
        <v/>
      </c>
    </row>
    <row r="90">
      <c r="A90" s="217" t="inlineStr">
        <is>
          <t>2 Bedroom</t>
        </is>
      </c>
      <c r="B90">
        <f>COUNTIFS('Rent Roll Input'!$S$7:$S$606,'Rent Roll Recon'!$B$2,'Rent Roll Input'!$E$7:$E$606,"&lt;&gt;Vacant",'Rent Roll Input'!$E$7:$E$606,"&lt;&gt;Eviction",'Rent Roll Input'!$D$7:$D$606,"IL",'Rent Roll Input'!$F$7:$F$606,"2 Bedroom")</f>
        <v/>
      </c>
      <c r="C90" s="218">
        <f>IFERROR(B90/COUNTIFS('Rent Roll Input'!$S$7:$S$606,'Rent Roll Recon'!$B$2,'Rent Roll Input'!$E$7:$E$606,"&lt;&gt;Vacant",'Rent Roll Input'!$E$7:$E$606,"&lt;&gt;Eviction",'Rent Roll Input'!$D$7:$D$606,"IL"),"-")</f>
        <v/>
      </c>
      <c r="D90" s="219">
        <f>IFERROR(AVERAGEIFS('Rent Roll Input'!$H$7:$H$606,'Rent Roll Input'!$S$7:$S$606,'Rent Roll Recon'!$B$2,'Rent Roll Input'!$E$7:$E$606,"&lt;&gt;Vacant",'Rent Roll Input'!$E$7:$E$606,"&lt;&gt;Eviction",'Rent Roll Input'!$D$7:$D$606,"IL",'Rent Roll Input'!$F$7:$F$606,"2 Bedroom"),"-")</f>
        <v/>
      </c>
      <c r="E90" s="219">
        <f>IFERROR(MINIFS('Rent Roll Input'!$H$7:$H$606,'Rent Roll Input'!$S$7:$S$606,'Rent Roll Recon'!$B$2,'Rent Roll Input'!$E$7:$E$606,"&lt;&gt;Vacant",'Rent Roll Input'!$E$7:$E$606,"&lt;&gt;Eviction",'Rent Roll Input'!$D$7:$D$606,"IL",'Rent Roll Input'!$F$7:$F$606,"2 Bedroom"),"-")</f>
        <v/>
      </c>
      <c r="F90" s="219">
        <f>IFERROR(MAXIFS('Rent Roll Input'!$H$7:$H$606,'Rent Roll Input'!$S$7:$S$606,'Rent Roll Recon'!$B$2,'Rent Roll Input'!$E$7:$E$606,"&lt;&gt;Vacant",'Rent Roll Input'!$E$7:$E$606,"&lt;&gt;Eviction",'Rent Roll Input'!$D$7:$D$606,"IL",'Rent Roll Input'!$F$7:$F$606,"2 Bedroom"),"-")</f>
        <v/>
      </c>
      <c r="G90" s="220">
        <f>IFERROR(AVERAGEIFS('Rent Roll Input'!$C$7:$C$606,'Rent Roll Input'!$S$7:$S$606,'Rent Roll Recon'!$B$2,'Rent Roll Input'!$E$7:$E$606,"&lt;&gt;Vacant",'Rent Roll Input'!$E$7:$E$606,"&lt;&gt;Eviction",'Rent Roll Input'!$D$7:$D$606,"IL",'Rent Roll Input'!$F$7:$F$606,"2 Bedroom"),"-")</f>
        <v/>
      </c>
      <c r="H90" s="221">
        <f>IFERROR(D90/G90,"-")</f>
        <v/>
      </c>
      <c r="I90" s="242">
        <f>IFERROR(AVERAGEIFS('Rent Roll Input'!$AA$7:$AA$606,'Rent Roll Input'!$S$7:$S$606,'Rent Roll Recon'!$B$2,'Rent Roll Input'!$E$7:$E$606,"&lt;&gt;Vacant",'Rent Roll Input'!$E$7:$E$606,"&lt;&gt;Eviction",'Rent Roll Input'!$D$7:$D$606,"IL",'Rent Roll Input'!$F$7:$F$606,"2 Bedroom"),"-")</f>
        <v/>
      </c>
    </row>
    <row r="91">
      <c r="A91" s="217" t="inlineStr">
        <is>
          <t>Cottage / Villa</t>
        </is>
      </c>
      <c r="B91">
        <f>COUNTIFS('Rent Roll Input'!$S$7:$S$606,'Rent Roll Recon'!$B$2,'Rent Roll Input'!$E$7:$E$606,"&lt;&gt;Vacant",'Rent Roll Input'!$E$7:$E$606,"&lt;&gt;Eviction",'Rent Roll Input'!$D$7:$D$606,"IL",'Rent Roll Input'!$F$7:$F$606,"Cottage / Villa")</f>
        <v/>
      </c>
      <c r="C91" s="218">
        <f>IFERROR(B91/COUNTIFS('Rent Roll Input'!$S$7:$S$606,'Rent Roll Recon'!$B$2,'Rent Roll Input'!$E$7:$E$606,"&lt;&gt;Vacant",'Rent Roll Input'!$E$7:$E$606,"&lt;&gt;Eviction",'Rent Roll Input'!$D$7:$D$606,"IL"),"-")</f>
        <v/>
      </c>
      <c r="D91" s="219">
        <f>IFERROR(AVERAGEIFS('Rent Roll Input'!$H$7:$H$606,'Rent Roll Input'!$S$7:$S$606,'Rent Roll Recon'!$B$2,'Rent Roll Input'!$E$7:$E$606,"&lt;&gt;Vacant",'Rent Roll Input'!$E$7:$E$606,"&lt;&gt;Eviction",'Rent Roll Input'!$D$7:$D$606,"IL",'Rent Roll Input'!$F$7:$F$606,"Cottage / Villa"),"-")</f>
        <v/>
      </c>
      <c r="E91" s="219">
        <f>IFERROR(MINIFS('Rent Roll Input'!$H$7:$H$606,'Rent Roll Input'!$S$7:$S$606,'Rent Roll Recon'!$B$2,'Rent Roll Input'!$E$7:$E$606,"&lt;&gt;Vacant",'Rent Roll Input'!$E$7:$E$606,"&lt;&gt;Eviction",'Rent Roll Input'!$D$7:$D$606,"IL",'Rent Roll Input'!$F$7:$F$606,"Cottage / Villa"),"-")</f>
        <v/>
      </c>
      <c r="F91" s="219">
        <f>IFERROR(MAXIFS('Rent Roll Input'!$H$7:$H$606,'Rent Roll Input'!$S$7:$S$606,'Rent Roll Recon'!$B$2,'Rent Roll Input'!$E$7:$E$606,"&lt;&gt;Vacant",'Rent Roll Input'!$E$7:$E$606,"&lt;&gt;Eviction",'Rent Roll Input'!$D$7:$D$606,"IL",'Rent Roll Input'!$F$7:$F$606,"Cottage / Villa"),"-")</f>
        <v/>
      </c>
      <c r="G91" s="220">
        <f>IFERROR(AVERAGEIFS('Rent Roll Input'!$C$7:$C$606,'Rent Roll Input'!$S$7:$S$606,'Rent Roll Recon'!$B$2,'Rent Roll Input'!$E$7:$E$606,"&lt;&gt;Vacant",'Rent Roll Input'!$E$7:$E$606,"&lt;&gt;Eviction",'Rent Roll Input'!$D$7:$D$606,"IL",'Rent Roll Input'!$F$7:$F$606,"Cottage / Villa"),"-")</f>
        <v/>
      </c>
      <c r="H91" s="221">
        <f>IFERROR(D91/G91,"-")</f>
        <v/>
      </c>
      <c r="I91" s="242">
        <f>IFERROR(AVERAGEIFS('Rent Roll Input'!$AA$7:$AA$606,'Rent Roll Input'!$S$7:$S$606,'Rent Roll Recon'!$B$2,'Rent Roll Input'!$E$7:$E$606,"&lt;&gt;Vacant",'Rent Roll Input'!$E$7:$E$606,"&lt;&gt;Eviction",'Rent Roll Input'!$D$7:$D$606,"IL",'Rent Roll Input'!$F$7:$F$606,"Cottage / Villa"),"-")</f>
        <v/>
      </c>
    </row>
    <row r="92">
      <c r="A92" s="217" t="inlineStr">
        <is>
          <t>Other</t>
        </is>
      </c>
      <c r="B92">
        <f>COUNTIFS('Rent Roll Input'!$S$7:$S$606,'Rent Roll Recon'!$B$2,'Rent Roll Input'!$E$7:$E$606,"&lt;&gt;Vacant",'Rent Roll Input'!$E$7:$E$606,"&lt;&gt;Eviction",'Rent Roll Input'!$D$7:$D$606,"IL",'Rent Roll Input'!$F$7:$F$606,"Other")</f>
        <v/>
      </c>
      <c r="C92" s="218">
        <f>IFERROR(B92/COUNTIFS('Rent Roll Input'!$S$7:$S$606,'Rent Roll Recon'!$B$2,'Rent Roll Input'!$E$7:$E$606,"&lt;&gt;Vacant",'Rent Roll Input'!$E$7:$E$606,"&lt;&gt;Eviction",'Rent Roll Input'!$D$7:$D$606,"IL"),"-")</f>
        <v/>
      </c>
      <c r="D92" s="219">
        <f>IFERROR(AVERAGEIFS('Rent Roll Input'!$H$7:$H$606,'Rent Roll Input'!$S$7:$S$606,'Rent Roll Recon'!$B$2,'Rent Roll Input'!$E$7:$E$606,"&lt;&gt;Vacant",'Rent Roll Input'!$E$7:$E$606,"&lt;&gt;Eviction",'Rent Roll Input'!$D$7:$D$606,"IL",'Rent Roll Input'!$F$7:$F$606,"Other"),"-")</f>
        <v/>
      </c>
      <c r="E92" s="219">
        <f>IFERROR(MINIFS('Rent Roll Input'!$H$7:$H$606,'Rent Roll Input'!$S$7:$S$606,'Rent Roll Recon'!$B$2,'Rent Roll Input'!$E$7:$E$606,"&lt;&gt;Vacant",'Rent Roll Input'!$E$7:$E$606,"&lt;&gt;Eviction",'Rent Roll Input'!$D$7:$D$606,"IL",'Rent Roll Input'!$F$7:$F$606,"Other"),"-")</f>
        <v/>
      </c>
      <c r="F92" s="219">
        <f>IFERROR(MAXIFS('Rent Roll Input'!$H$7:$H$606,'Rent Roll Input'!$S$7:$S$606,'Rent Roll Recon'!$B$2,'Rent Roll Input'!$E$7:$E$606,"&lt;&gt;Vacant",'Rent Roll Input'!$E$7:$E$606,"&lt;&gt;Eviction",'Rent Roll Input'!$D$7:$D$606,"IL",'Rent Roll Input'!$F$7:$F$606,"Other"),"-")</f>
        <v/>
      </c>
      <c r="G92" s="220">
        <f>IFERROR(AVERAGEIFS('Rent Roll Input'!$C$7:$C$606,'Rent Roll Input'!$S$7:$S$606,'Rent Roll Recon'!$B$2,'Rent Roll Input'!$E$7:$E$606,"&lt;&gt;Vacant",'Rent Roll Input'!$E$7:$E$606,"&lt;&gt;Eviction",'Rent Roll Input'!$D$7:$D$606,"IL",'Rent Roll Input'!$F$7:$F$606,"Other"),"-")</f>
        <v/>
      </c>
      <c r="H92" s="221">
        <f>IFERROR(D92/G92,"-")</f>
        <v/>
      </c>
      <c r="I92" s="242">
        <f>IFERROR(AVERAGEIFS('Rent Roll Input'!$AA$7:$AA$606,'Rent Roll Input'!$S$7:$S$606,'Rent Roll Recon'!$B$2,'Rent Roll Input'!$E$7:$E$606,"&lt;&gt;Vacant",'Rent Roll Input'!$E$7:$E$606,"&lt;&gt;Eviction",'Rent Roll Input'!$D$7:$D$606,"IL",'Rent Roll Input'!$F$7:$F$606,"Other"),"-")</f>
        <v/>
      </c>
    </row>
    <row r="93">
      <c r="A93" s="215" t="inlineStr">
        <is>
          <t>Total IL occupied</t>
        </is>
      </c>
      <c r="B93" s="215">
        <f>SUM(B88:B92)</f>
        <v/>
      </c>
      <c r="C93" s="222" t="inlineStr">
        <is>
          <t>100.0%</t>
        </is>
      </c>
      <c r="D93" s="223">
        <f>IFERROR(AVERAGEIFS('Rent Roll Input'!$H$7:$H$606,'Rent Roll Input'!$S$7:$S$606,'Rent Roll Recon'!$B$2,'Rent Roll Input'!$E$7:$E$606,"&lt;&gt;Vacant",'Rent Roll Input'!$E$7:$E$606,"&lt;&gt;Eviction",'Rent Roll Input'!$D$7:$D$606,"IL"),"-")</f>
        <v/>
      </c>
      <c r="E93" s="219">
        <f>IFERROR(MINIFS('Rent Roll Input'!$H$7:$H$606,'Rent Roll Input'!$S$7:$S$606,'Rent Roll Recon'!$B$2,'Rent Roll Input'!$E$7:$E$606,"&lt;&gt;Vacant",'Rent Roll Input'!$E$7:$E$606,"&lt;&gt;Eviction",'Rent Roll Input'!$D$7:$D$606,"IL"),"-")</f>
        <v/>
      </c>
      <c r="F93" s="219">
        <f>IFERROR(MAXIFS('Rent Roll Input'!$H$7:$H$606,'Rent Roll Input'!$S$7:$S$606,'Rent Roll Recon'!$B$2,'Rent Roll Input'!$E$7:$E$606,"&lt;&gt;Vacant",'Rent Roll Input'!$E$7:$E$606,"&lt;&gt;Eviction",'Rent Roll Input'!$D$7:$D$606,"IL"),"-")</f>
        <v/>
      </c>
      <c r="G93" s="220">
        <f>IFERROR(AVERAGEIFS('Rent Roll Input'!$C$7:$C$606,'Rent Roll Input'!$S$7:$S$606,'Rent Roll Recon'!$B$2,'Rent Roll Input'!$E$7:$E$606,"&lt;&gt;Vacant",'Rent Roll Input'!$E$7:$E$606,"&lt;&gt;Eviction",'Rent Roll Input'!$D$7:$D$606,"IL"),"-")</f>
        <v/>
      </c>
      <c r="H93" s="221">
        <f>IFERROR(D93/G93,"-")</f>
        <v/>
      </c>
      <c r="I93" s="242">
        <f>IFERROR(AVERAGEIFS('Rent Roll Input'!$AA$7:$AA$606,'Rent Roll Input'!$S$7:$S$606,'Rent Roll Recon'!$B$2,'Rent Roll Input'!$E$7:$E$606,"&lt;&gt;Vacant",'Rent Roll Input'!$E$7:$E$606,"&lt;&gt;Eviction",'Rent Roll Input'!$D$7:$D$606,"IL"),"-")</f>
        <v/>
      </c>
    </row>
    <row r="95">
      <c r="A95" s="217" t="inlineStr">
        <is>
          <t>Rate spread (max − min)</t>
        </is>
      </c>
      <c r="B95" s="219">
        <f>IFERROR(F93-E93,"-")</f>
        <v/>
      </c>
    </row>
    <row r="96">
      <c r="A96" s="217" t="inlineStr">
        <is>
          <t>Rate CV (approx — range ÷ avg ÷ √12)</t>
        </is>
      </c>
      <c r="B96" s="218">
        <f>IFERROR((F93-E93)/D93/SQRT(12),"-")</f>
        <v/>
      </c>
    </row>
    <row r="97">
      <c r="A97" s="217" t="inlineStr">
        <is>
          <t>Avg sq ft (IL occupied)</t>
        </is>
      </c>
      <c r="B97" s="220">
        <f>G93</f>
        <v/>
      </c>
    </row>
    <row r="98">
      <c r="A98" s="217" t="inlineStr">
        <is>
          <t>Sq ft range</t>
        </is>
      </c>
      <c r="B98" s="220">
        <f>IFERROR(MINIFS('Rent Roll Input'!$C$7:$C$606,'Rent Roll Input'!$S$7:$S$606,'Rent Roll Recon'!$B$2,'Rent Roll Input'!$E$7:$E$606,"&lt;&gt;Vacant",'Rent Roll Input'!$E$7:$E$606,"&lt;&gt;Eviction",'Rent Roll Input'!$D$7:$D$606,"IL"),"-")</f>
        <v/>
      </c>
      <c r="C98" s="20" t="inlineStr">
        <is>
          <t>—</t>
        </is>
      </c>
      <c r="D98" s="220">
        <f>IFERROR(MAXIFS('Rent Roll Input'!$C$7:$C$606,'Rent Roll Input'!$S$7:$S$606,'Rent Roll Recon'!$B$2,'Rent Roll Input'!$E$7:$E$606,"&lt;&gt;Vacant",'Rent Roll Input'!$E$7:$E$606,"&lt;&gt;Eviction",'Rent Roll Input'!$D$7:$D$606,"IL"),"-")</f>
        <v/>
      </c>
    </row>
    <row r="99">
      <c r="A99" s="217" t="inlineStr">
        <is>
          <t>$/sq ft (IL avg rate ÷ avg sq ft)</t>
        </is>
      </c>
      <c r="B99" s="221">
        <f>H93</f>
        <v/>
      </c>
    </row>
    <row r="100">
      <c r="A100" s="204">
        <f>IF(B93=0,"No IL units in selected period",IF(B96&gt;0.25,"⚠ IL rate CV "&amp;TEXT(B96,"0.0%")&amp;" — wide rate dispersion. "&amp;"Likely legacy in-place rates well below current asking.","✓ IL rate dispersion within normal band."))</f>
        <v/>
      </c>
    </row>
    <row r="102">
      <c r="A102" s="216" t="inlineStr">
        <is>
          <t>L  ·  MC CARE STRUCTURE  (auto-detected pattern)</t>
        </is>
      </c>
    </row>
    <row r="103">
      <c r="A103" s="215" t="inlineStr">
        <is>
          <t>MC Care Pattern detected:</t>
        </is>
      </c>
      <c r="B103" s="215">
        <f>IF(SUM(B106:B109)=0,"Flat-rate (no care levels recorded)",IF(COUNTIF(B106:B109,"&gt;0")=1,"Flat-rate (single tier)",IF(COUNTIF(B106:B109,"&gt;0")&lt;=3,"Tiered acuity ("&amp;COUNTIF(B106:B109,"&gt;0")&amp;" levels)","Fee-for-service / variable")))</f>
        <v/>
      </c>
    </row>
    <row r="105">
      <c r="A105" s="214" t="inlineStr">
        <is>
          <t>Tier</t>
        </is>
      </c>
      <c r="B105" s="214" t="inlineStr">
        <is>
          <t>Count</t>
        </is>
      </c>
      <c r="C105" s="214" t="inlineStr">
        <is>
          <t>% of
MC</t>
        </is>
      </c>
      <c r="D105" s="214" t="inlineStr">
        <is>
          <t>Avg $/mo</t>
        </is>
      </c>
      <c r="E105" s="214" t="inlineStr">
        <is>
          <t>Total $/mo</t>
        </is>
      </c>
    </row>
    <row r="106">
      <c r="A106" s="217" t="inlineStr">
        <is>
          <t>Tier 1 / Basic</t>
        </is>
      </c>
      <c r="B106">
        <f>COUNTIFS('Rent Roll Input'!$S$7:$S$606,'Rent Roll Recon'!$B$2,'Rent Roll Input'!$E$7:$E$606,"&lt;&gt;Vacant",'Rent Roll Input'!$E$7:$E$606,"&lt;&gt;Eviction",'Rent Roll Input'!$D$7:$D$606,"MC",'Rent Roll Input'!$K$7:$K$606,"Basic")+COUNTIFS('Rent Roll Input'!$S$7:$S$606,'Rent Roll Recon'!$B$2,'Rent Roll Input'!$E$7:$E$606,"&lt;&gt;Vacant",'Rent Roll Input'!$E$7:$E$606,"&lt;&gt;Eviction",'Rent Roll Input'!$D$7:$D$606,"MC",'Rent Roll Input'!$K$7:$K$606,"Tier 1")+COUNTIFS('Rent Roll Input'!$S$7:$S$606,'Rent Roll Recon'!$B$2,'Rent Roll Input'!$E$7:$E$606,"&lt;&gt;Vacant",'Rent Roll Input'!$E$7:$E$606,"&lt;&gt;Eviction",'Rent Roll Input'!$D$7:$D$606,"MC",'Rent Roll Input'!$K$7:$K$606,"Level 1")+COUNTIFS('Rent Roll Input'!$S$7:$S$606,'Rent Roll Recon'!$B$2,'Rent Roll Input'!$E$7:$E$606,"&lt;&gt;Vacant",'Rent Roll Input'!$E$7:$E$606,"&lt;&gt;Eviction",'Rent Roll Input'!$D$7:$D$606,"MC",'Rent Roll Input'!$K$7:$K$606,"Lvl 1")</f>
        <v/>
      </c>
      <c r="C106" s="218">
        <f>IFERROR(B106/COUNTIFS('Rent Roll Input'!$S$7:$S$606,'Rent Roll Recon'!$B$2,'Rent Roll Input'!$E$7:$E$606,"&lt;&gt;Vacant",'Rent Roll Input'!$E$7:$E$606,"&lt;&gt;Eviction",'Rent Roll Input'!$D$7:$D$606,"MC"),"-")</f>
        <v/>
      </c>
      <c r="D106" s="219">
        <f>IFERROR((SUMIFS('Rent Roll Input'!$L$7:$L$606,'Rent Roll Input'!$S$7:$S$606,'Rent Roll Recon'!$B$2,'Rent Roll Input'!$E$7:$E$606,"&lt;&gt;Vacant",'Rent Roll Input'!$E$7:$E$606,"&lt;&gt;Eviction",'Rent Roll Input'!$D$7:$D$606,"MC",'Rent Roll Input'!$K$7:$K$606,"Basic")+SUMIFS('Rent Roll Input'!$L$7:$L$606,'Rent Roll Input'!$S$7:$S$606,'Rent Roll Recon'!$B$2,'Rent Roll Input'!$E$7:$E$606,"&lt;&gt;Vacant",'Rent Roll Input'!$E$7:$E$606,"&lt;&gt;Eviction",'Rent Roll Input'!$D$7:$D$606,"MC",'Rent Roll Input'!$K$7:$K$606,"Tier 1")+SUMIFS('Rent Roll Input'!$L$7:$L$606,'Rent Roll Input'!$S$7:$S$606,'Rent Roll Recon'!$B$2,'Rent Roll Input'!$E$7:$E$606,"&lt;&gt;Vacant",'Rent Roll Input'!$E$7:$E$606,"&lt;&gt;Eviction",'Rent Roll Input'!$D$7:$D$606,"MC",'Rent Roll Input'!$K$7:$K$606,"Level 1")+SUMIFS('Rent Roll Input'!$L$7:$L$606,'Rent Roll Input'!$S$7:$S$606,'Rent Roll Recon'!$B$2,'Rent Roll Input'!$E$7:$E$606,"&lt;&gt;Vacant",'Rent Roll Input'!$E$7:$E$606,"&lt;&gt;Eviction",'Rent Roll Input'!$D$7:$D$606,"MC",'Rent Roll Input'!$K$7:$K$606,"Lvl 1"))/B106,"-")</f>
        <v/>
      </c>
      <c r="E106" s="219">
        <f>SUMIFS('Rent Roll Input'!$L$7:$L$606,'Rent Roll Input'!$S$7:$S$606,'Rent Roll Recon'!$B$2,'Rent Roll Input'!$E$7:$E$606,"&lt;&gt;Vacant",'Rent Roll Input'!$E$7:$E$606,"&lt;&gt;Eviction",'Rent Roll Input'!$D$7:$D$606,"MC",'Rent Roll Input'!$K$7:$K$606,"Basic")+SUMIFS('Rent Roll Input'!$L$7:$L$606,'Rent Roll Input'!$S$7:$S$606,'Rent Roll Recon'!$B$2,'Rent Roll Input'!$E$7:$E$606,"&lt;&gt;Vacant",'Rent Roll Input'!$E$7:$E$606,"&lt;&gt;Eviction",'Rent Roll Input'!$D$7:$D$606,"MC",'Rent Roll Input'!$K$7:$K$606,"Tier 1")+SUMIFS('Rent Roll Input'!$L$7:$L$606,'Rent Roll Input'!$S$7:$S$606,'Rent Roll Recon'!$B$2,'Rent Roll Input'!$E$7:$E$606,"&lt;&gt;Vacant",'Rent Roll Input'!$E$7:$E$606,"&lt;&gt;Eviction",'Rent Roll Input'!$D$7:$D$606,"MC",'Rent Roll Input'!$K$7:$K$606,"Level 1")+SUMIFS('Rent Roll Input'!$L$7:$L$606,'Rent Roll Input'!$S$7:$S$606,'Rent Roll Recon'!$B$2,'Rent Roll Input'!$E$7:$E$606,"&lt;&gt;Vacant",'Rent Roll Input'!$E$7:$E$606,"&lt;&gt;Eviction",'Rent Roll Input'!$D$7:$D$606,"MC",'Rent Roll Input'!$K$7:$K$606,"Lvl 1")</f>
        <v/>
      </c>
    </row>
    <row r="107">
      <c r="A107" s="217" t="inlineStr">
        <is>
          <t>Tier 2 / Moderate</t>
        </is>
      </c>
      <c r="B107">
        <f>COUNTIFS('Rent Roll Input'!$S$7:$S$606,'Rent Roll Recon'!$B$2,'Rent Roll Input'!$E$7:$E$606,"&lt;&gt;Vacant",'Rent Roll Input'!$E$7:$E$606,"&lt;&gt;Eviction",'Rent Roll Input'!$D$7:$D$606,"MC",'Rent Roll Input'!$K$7:$K$606,"Moderate")+COUNTIFS('Rent Roll Input'!$S$7:$S$606,'Rent Roll Recon'!$B$2,'Rent Roll Input'!$E$7:$E$606,"&lt;&gt;Vacant",'Rent Roll Input'!$E$7:$E$606,"&lt;&gt;Eviction",'Rent Roll Input'!$D$7:$D$606,"MC",'Rent Roll Input'!$K$7:$K$606,"Tier 2")+COUNTIFS('Rent Roll Input'!$S$7:$S$606,'Rent Roll Recon'!$B$2,'Rent Roll Input'!$E$7:$E$606,"&lt;&gt;Vacant",'Rent Roll Input'!$E$7:$E$606,"&lt;&gt;Eviction",'Rent Roll Input'!$D$7:$D$606,"MC",'Rent Roll Input'!$K$7:$K$606,"Level 2")+COUNTIFS('Rent Roll Input'!$S$7:$S$606,'Rent Roll Recon'!$B$2,'Rent Roll Input'!$E$7:$E$606,"&lt;&gt;Vacant",'Rent Roll Input'!$E$7:$E$606,"&lt;&gt;Eviction",'Rent Roll Input'!$D$7:$D$606,"MC",'Rent Roll Input'!$K$7:$K$606,"Level 3")+COUNTIFS('Rent Roll Input'!$S$7:$S$606,'Rent Roll Recon'!$B$2,'Rent Roll Input'!$E$7:$E$606,"&lt;&gt;Vacant",'Rent Roll Input'!$E$7:$E$606,"&lt;&gt;Eviction",'Rent Roll Input'!$D$7:$D$606,"MC",'Rent Roll Input'!$K$7:$K$606,"Lvl 2")+COUNTIFS('Rent Roll Input'!$S$7:$S$606,'Rent Roll Recon'!$B$2,'Rent Roll Input'!$E$7:$E$606,"&lt;&gt;Vacant",'Rent Roll Input'!$E$7:$E$606,"&lt;&gt;Eviction",'Rent Roll Input'!$D$7:$D$606,"MC",'Rent Roll Input'!$K$7:$K$606,"Lvl 3")</f>
        <v/>
      </c>
      <c r="C107" s="218">
        <f>IFERROR(B107/COUNTIFS('Rent Roll Input'!$S$7:$S$606,'Rent Roll Recon'!$B$2,'Rent Roll Input'!$E$7:$E$606,"&lt;&gt;Vacant",'Rent Roll Input'!$E$7:$E$606,"&lt;&gt;Eviction",'Rent Roll Input'!$D$7:$D$606,"MC"),"-")</f>
        <v/>
      </c>
      <c r="D107" s="219">
        <f>IFERROR((SUMIFS('Rent Roll Input'!$L$7:$L$606,'Rent Roll Input'!$S$7:$S$606,'Rent Roll Recon'!$B$2,'Rent Roll Input'!$E$7:$E$606,"&lt;&gt;Vacant",'Rent Roll Input'!$E$7:$E$606,"&lt;&gt;Eviction",'Rent Roll Input'!$D$7:$D$606,"MC",'Rent Roll Input'!$K$7:$K$606,"Moderate")+SUMIFS('Rent Roll Input'!$L$7:$L$606,'Rent Roll Input'!$S$7:$S$606,'Rent Roll Recon'!$B$2,'Rent Roll Input'!$E$7:$E$606,"&lt;&gt;Vacant",'Rent Roll Input'!$E$7:$E$606,"&lt;&gt;Eviction",'Rent Roll Input'!$D$7:$D$606,"MC",'Rent Roll Input'!$K$7:$K$606,"Tier 2")+SUMIFS('Rent Roll Input'!$L$7:$L$606,'Rent Roll Input'!$S$7:$S$606,'Rent Roll Recon'!$B$2,'Rent Roll Input'!$E$7:$E$606,"&lt;&gt;Vacant",'Rent Roll Input'!$E$7:$E$606,"&lt;&gt;Eviction",'Rent Roll Input'!$D$7:$D$606,"MC",'Rent Roll Input'!$K$7:$K$606,"Level 2")+SUMIFS('Rent Roll Input'!$L$7:$L$606,'Rent Roll Input'!$S$7:$S$606,'Rent Roll Recon'!$B$2,'Rent Roll Input'!$E$7:$E$606,"&lt;&gt;Vacant",'Rent Roll Input'!$E$7:$E$606,"&lt;&gt;Eviction",'Rent Roll Input'!$D$7:$D$606,"MC",'Rent Roll Input'!$K$7:$K$606,"Level 3")+SUMIFS('Rent Roll Input'!$L$7:$L$606,'Rent Roll Input'!$S$7:$S$606,'Rent Roll Recon'!$B$2,'Rent Roll Input'!$E$7:$E$606,"&lt;&gt;Vacant",'Rent Roll Input'!$E$7:$E$606,"&lt;&gt;Eviction",'Rent Roll Input'!$D$7:$D$606,"MC",'Rent Roll Input'!$K$7:$K$606,"Lvl 2")+SUMIFS('Rent Roll Input'!$L$7:$L$606,'Rent Roll Input'!$S$7:$S$606,'Rent Roll Recon'!$B$2,'Rent Roll Input'!$E$7:$E$606,"&lt;&gt;Vacant",'Rent Roll Input'!$E$7:$E$606,"&lt;&gt;Eviction",'Rent Roll Input'!$D$7:$D$606,"MC",'Rent Roll Input'!$K$7:$K$606,"Lvl 3"))/B107,"-")</f>
        <v/>
      </c>
      <c r="E107" s="219">
        <f>SUMIFS('Rent Roll Input'!$L$7:$L$606,'Rent Roll Input'!$S$7:$S$606,'Rent Roll Recon'!$B$2,'Rent Roll Input'!$E$7:$E$606,"&lt;&gt;Vacant",'Rent Roll Input'!$E$7:$E$606,"&lt;&gt;Eviction",'Rent Roll Input'!$D$7:$D$606,"MC",'Rent Roll Input'!$K$7:$K$606,"Moderate")+SUMIFS('Rent Roll Input'!$L$7:$L$606,'Rent Roll Input'!$S$7:$S$606,'Rent Roll Recon'!$B$2,'Rent Roll Input'!$E$7:$E$606,"&lt;&gt;Vacant",'Rent Roll Input'!$E$7:$E$606,"&lt;&gt;Eviction",'Rent Roll Input'!$D$7:$D$606,"MC",'Rent Roll Input'!$K$7:$K$606,"Tier 2")+SUMIFS('Rent Roll Input'!$L$7:$L$606,'Rent Roll Input'!$S$7:$S$606,'Rent Roll Recon'!$B$2,'Rent Roll Input'!$E$7:$E$606,"&lt;&gt;Vacant",'Rent Roll Input'!$E$7:$E$606,"&lt;&gt;Eviction",'Rent Roll Input'!$D$7:$D$606,"MC",'Rent Roll Input'!$K$7:$K$606,"Level 2")+SUMIFS('Rent Roll Input'!$L$7:$L$606,'Rent Roll Input'!$S$7:$S$606,'Rent Roll Recon'!$B$2,'Rent Roll Input'!$E$7:$E$606,"&lt;&gt;Vacant",'Rent Roll Input'!$E$7:$E$606,"&lt;&gt;Eviction",'Rent Roll Input'!$D$7:$D$606,"MC",'Rent Roll Input'!$K$7:$K$606,"Level 3")+SUMIFS('Rent Roll Input'!$L$7:$L$606,'Rent Roll Input'!$S$7:$S$606,'Rent Roll Recon'!$B$2,'Rent Roll Input'!$E$7:$E$606,"&lt;&gt;Vacant",'Rent Roll Input'!$E$7:$E$606,"&lt;&gt;Eviction",'Rent Roll Input'!$D$7:$D$606,"MC",'Rent Roll Input'!$K$7:$K$606,"Lvl 2")+SUMIFS('Rent Roll Input'!$L$7:$L$606,'Rent Roll Input'!$S$7:$S$606,'Rent Roll Recon'!$B$2,'Rent Roll Input'!$E$7:$E$606,"&lt;&gt;Vacant",'Rent Roll Input'!$E$7:$E$606,"&lt;&gt;Eviction",'Rent Roll Input'!$D$7:$D$606,"MC",'Rent Roll Input'!$K$7:$K$606,"Lvl 3")</f>
        <v/>
      </c>
    </row>
    <row r="108">
      <c r="A108" s="217" t="inlineStr">
        <is>
          <t>Tier 3 / Advanced</t>
        </is>
      </c>
      <c r="B108">
        <f>COUNTIFS('Rent Roll Input'!$S$7:$S$606,'Rent Roll Recon'!$B$2,'Rent Roll Input'!$E$7:$E$606,"&lt;&gt;Vacant",'Rent Roll Input'!$E$7:$E$606,"&lt;&gt;Eviction",'Rent Roll Input'!$D$7:$D$606,"MC",'Rent Roll Input'!$K$7:$K$606,"Advanced")+COUNTIFS('Rent Roll Input'!$S$7:$S$606,'Rent Roll Recon'!$B$2,'Rent Roll Input'!$E$7:$E$606,"&lt;&gt;Vacant",'Rent Roll Input'!$E$7:$E$606,"&lt;&gt;Eviction",'Rent Roll Input'!$D$7:$D$606,"MC",'Rent Roll Input'!$K$7:$K$606,"Tier 3")+COUNTIFS('Rent Roll Input'!$S$7:$S$606,'Rent Roll Recon'!$B$2,'Rent Roll Input'!$E$7:$E$606,"&lt;&gt;Vacant",'Rent Roll Input'!$E$7:$E$606,"&lt;&gt;Eviction",'Rent Roll Input'!$D$7:$D$606,"MC",'Rent Roll Input'!$K$7:$K$606,"Level 4")+COUNTIFS('Rent Roll Input'!$S$7:$S$606,'Rent Roll Recon'!$B$2,'Rent Roll Input'!$E$7:$E$606,"&lt;&gt;Vacant",'Rent Roll Input'!$E$7:$E$606,"&lt;&gt;Eviction",'Rent Roll Input'!$D$7:$D$606,"MC",'Rent Roll Input'!$K$7:$K$606,"Level 5")+COUNTIFS('Rent Roll Input'!$S$7:$S$606,'Rent Roll Recon'!$B$2,'Rent Roll Input'!$E$7:$E$606,"&lt;&gt;Vacant",'Rent Roll Input'!$E$7:$E$606,"&lt;&gt;Eviction",'Rent Roll Input'!$D$7:$D$606,"MC",'Rent Roll Input'!$K$7:$K$606,"Level 6")+COUNTIFS('Rent Roll Input'!$S$7:$S$606,'Rent Roll Recon'!$B$2,'Rent Roll Input'!$E$7:$E$606,"&lt;&gt;Vacant",'Rent Roll Input'!$E$7:$E$606,"&lt;&gt;Eviction",'Rent Roll Input'!$D$7:$D$606,"MC",'Rent Roll Input'!$K$7:$K$606,"Level 7")+COUNTIFS('Rent Roll Input'!$S$7:$S$606,'Rent Roll Recon'!$B$2,'Rent Roll Input'!$E$7:$E$606,"&lt;&gt;Vacant",'Rent Roll Input'!$E$7:$E$606,"&lt;&gt;Eviction",'Rent Roll Input'!$D$7:$D$606,"MC",'Rent Roll Input'!$K$7:$K$606,"Lvl 4")+COUNTIFS('Rent Roll Input'!$S$7:$S$606,'Rent Roll Recon'!$B$2,'Rent Roll Input'!$E$7:$E$606,"&lt;&gt;Vacant",'Rent Roll Input'!$E$7:$E$606,"&lt;&gt;Eviction",'Rent Roll Input'!$D$7:$D$606,"MC",'Rent Roll Input'!$K$7:$K$606,"Lvl 5")</f>
        <v/>
      </c>
      <c r="C108" s="218">
        <f>IFERROR(B108/COUNTIFS('Rent Roll Input'!$S$7:$S$606,'Rent Roll Recon'!$B$2,'Rent Roll Input'!$E$7:$E$606,"&lt;&gt;Vacant",'Rent Roll Input'!$E$7:$E$606,"&lt;&gt;Eviction",'Rent Roll Input'!$D$7:$D$606,"MC"),"-")</f>
        <v/>
      </c>
      <c r="D108" s="219">
        <f>IFERROR((SUMIFS('Rent Roll Input'!$L$7:$L$606,'Rent Roll Input'!$S$7:$S$606,'Rent Roll Recon'!$B$2,'Rent Roll Input'!$E$7:$E$606,"&lt;&gt;Vacant",'Rent Roll Input'!$E$7:$E$606,"&lt;&gt;Eviction",'Rent Roll Input'!$D$7:$D$606,"MC",'Rent Roll Input'!$K$7:$K$606,"Advanced")+SUMIFS('Rent Roll Input'!$L$7:$L$606,'Rent Roll Input'!$S$7:$S$606,'Rent Roll Recon'!$B$2,'Rent Roll Input'!$E$7:$E$606,"&lt;&gt;Vacant",'Rent Roll Input'!$E$7:$E$606,"&lt;&gt;Eviction",'Rent Roll Input'!$D$7:$D$606,"MC",'Rent Roll Input'!$K$7:$K$606,"Tier 3")+SUMIFS('Rent Roll Input'!$L$7:$L$606,'Rent Roll Input'!$S$7:$S$606,'Rent Roll Recon'!$B$2,'Rent Roll Input'!$E$7:$E$606,"&lt;&gt;Vacant",'Rent Roll Input'!$E$7:$E$606,"&lt;&gt;Eviction",'Rent Roll Input'!$D$7:$D$606,"MC",'Rent Roll Input'!$K$7:$K$606,"Level 4")+SUMIFS('Rent Roll Input'!$L$7:$L$606,'Rent Roll Input'!$S$7:$S$606,'Rent Roll Recon'!$B$2,'Rent Roll Input'!$E$7:$E$606,"&lt;&gt;Vacant",'Rent Roll Input'!$E$7:$E$606,"&lt;&gt;Eviction",'Rent Roll Input'!$D$7:$D$606,"MC",'Rent Roll Input'!$K$7:$K$606,"Level 5")+SUMIFS('Rent Roll Input'!$L$7:$L$606,'Rent Roll Input'!$S$7:$S$606,'Rent Roll Recon'!$B$2,'Rent Roll Input'!$E$7:$E$606,"&lt;&gt;Vacant",'Rent Roll Input'!$E$7:$E$606,"&lt;&gt;Eviction",'Rent Roll Input'!$D$7:$D$606,"MC",'Rent Roll Input'!$K$7:$K$606,"Level 6")+SUMIFS('Rent Roll Input'!$L$7:$L$606,'Rent Roll Input'!$S$7:$S$606,'Rent Roll Recon'!$B$2,'Rent Roll Input'!$E$7:$E$606,"&lt;&gt;Vacant",'Rent Roll Input'!$E$7:$E$606,"&lt;&gt;Eviction",'Rent Roll Input'!$D$7:$D$606,"MC",'Rent Roll Input'!$K$7:$K$606,"Level 7")+SUMIFS('Rent Roll Input'!$L$7:$L$606,'Rent Roll Input'!$S$7:$S$606,'Rent Roll Recon'!$B$2,'Rent Roll Input'!$E$7:$E$606,"&lt;&gt;Vacant",'Rent Roll Input'!$E$7:$E$606,"&lt;&gt;Eviction",'Rent Roll Input'!$D$7:$D$606,"MC",'Rent Roll Input'!$K$7:$K$606,"Lvl 4")+SUMIFS('Rent Roll Input'!$L$7:$L$606,'Rent Roll Input'!$S$7:$S$606,'Rent Roll Recon'!$B$2,'Rent Roll Input'!$E$7:$E$606,"&lt;&gt;Vacant",'Rent Roll Input'!$E$7:$E$606,"&lt;&gt;Eviction",'Rent Roll Input'!$D$7:$D$606,"MC",'Rent Roll Input'!$K$7:$K$606,"Lvl 5"))/B108,"-")</f>
        <v/>
      </c>
      <c r="E108" s="219">
        <f>SUMIFS('Rent Roll Input'!$L$7:$L$606,'Rent Roll Input'!$S$7:$S$606,'Rent Roll Recon'!$B$2,'Rent Roll Input'!$E$7:$E$606,"&lt;&gt;Vacant",'Rent Roll Input'!$E$7:$E$606,"&lt;&gt;Eviction",'Rent Roll Input'!$D$7:$D$606,"MC",'Rent Roll Input'!$K$7:$K$606,"Advanced")+SUMIFS('Rent Roll Input'!$L$7:$L$606,'Rent Roll Input'!$S$7:$S$606,'Rent Roll Recon'!$B$2,'Rent Roll Input'!$E$7:$E$606,"&lt;&gt;Vacant",'Rent Roll Input'!$E$7:$E$606,"&lt;&gt;Eviction",'Rent Roll Input'!$D$7:$D$606,"MC",'Rent Roll Input'!$K$7:$K$606,"Tier 3")+SUMIFS('Rent Roll Input'!$L$7:$L$606,'Rent Roll Input'!$S$7:$S$606,'Rent Roll Recon'!$B$2,'Rent Roll Input'!$E$7:$E$606,"&lt;&gt;Vacant",'Rent Roll Input'!$E$7:$E$606,"&lt;&gt;Eviction",'Rent Roll Input'!$D$7:$D$606,"MC",'Rent Roll Input'!$K$7:$K$606,"Level 4")+SUMIFS('Rent Roll Input'!$L$7:$L$606,'Rent Roll Input'!$S$7:$S$606,'Rent Roll Recon'!$B$2,'Rent Roll Input'!$E$7:$E$606,"&lt;&gt;Vacant",'Rent Roll Input'!$E$7:$E$606,"&lt;&gt;Eviction",'Rent Roll Input'!$D$7:$D$606,"MC",'Rent Roll Input'!$K$7:$K$606,"Level 5")+SUMIFS('Rent Roll Input'!$L$7:$L$606,'Rent Roll Input'!$S$7:$S$606,'Rent Roll Recon'!$B$2,'Rent Roll Input'!$E$7:$E$606,"&lt;&gt;Vacant",'Rent Roll Input'!$E$7:$E$606,"&lt;&gt;Eviction",'Rent Roll Input'!$D$7:$D$606,"MC",'Rent Roll Input'!$K$7:$K$606,"Level 6")+SUMIFS('Rent Roll Input'!$L$7:$L$606,'Rent Roll Input'!$S$7:$S$606,'Rent Roll Recon'!$B$2,'Rent Roll Input'!$E$7:$E$606,"&lt;&gt;Vacant",'Rent Roll Input'!$E$7:$E$606,"&lt;&gt;Eviction",'Rent Roll Input'!$D$7:$D$606,"MC",'Rent Roll Input'!$K$7:$K$606,"Level 7")+SUMIFS('Rent Roll Input'!$L$7:$L$606,'Rent Roll Input'!$S$7:$S$606,'Rent Roll Recon'!$B$2,'Rent Roll Input'!$E$7:$E$606,"&lt;&gt;Vacant",'Rent Roll Input'!$E$7:$E$606,"&lt;&gt;Eviction",'Rent Roll Input'!$D$7:$D$606,"MC",'Rent Roll Input'!$K$7:$K$606,"Lvl 4")+SUMIFS('Rent Roll Input'!$L$7:$L$606,'Rent Roll Input'!$S$7:$S$606,'Rent Roll Recon'!$B$2,'Rent Roll Input'!$E$7:$E$606,"&lt;&gt;Vacant",'Rent Roll Input'!$E$7:$E$606,"&lt;&gt;Eviction",'Rent Roll Input'!$D$7:$D$606,"MC",'Rent Roll Input'!$K$7:$K$606,"Lvl 5")</f>
        <v/>
      </c>
    </row>
    <row r="109">
      <c r="A109" s="217" t="inlineStr">
        <is>
          <t>Other / unmapped</t>
        </is>
      </c>
      <c r="B109">
        <f>MAX(0,COUNTIFS('Rent Roll Input'!$S$7:$S$606,'Rent Roll Recon'!$B$2,'Rent Roll Input'!$E$7:$E$606,"&lt;&gt;Vacant",'Rent Roll Input'!$E$7:$E$606,"&lt;&gt;Eviction",'Rent Roll Input'!$D$7:$D$606,"MC",'Rent Roll Input'!$K$7:$K$606,"?*")-SUM(B106:B108))</f>
        <v/>
      </c>
      <c r="C109" s="218">
        <f>IFERROR(B109/COUNTIFS('Rent Roll Input'!$S$7:$S$606,'Rent Roll Recon'!$B$2,'Rent Roll Input'!$E$7:$E$606,"&lt;&gt;Vacant",'Rent Roll Input'!$E$7:$E$606,"&lt;&gt;Eviction",'Rent Roll Input'!$D$7:$D$606,"MC"),"-")</f>
        <v/>
      </c>
      <c r="D109" s="344" t="inlineStr">
        <is>
          <t>—</t>
        </is>
      </c>
      <c r="E109" s="219">
        <f>MAX(0,SUMIFS('Rent Roll Input'!$L$7:$L$606,'Rent Roll Input'!$S$7:$S$606,'Rent Roll Recon'!$B$2,'Rent Roll Input'!$E$7:$E$606,"&lt;&gt;Vacant",'Rent Roll Input'!$E$7:$E$606,"&lt;&gt;Eviction",'Rent Roll Input'!$D$7:$D$606,"MC")-SUM(E106:E108))</f>
        <v/>
      </c>
    </row>
    <row r="110">
      <c r="A110" s="215" t="inlineStr">
        <is>
          <t>Total MC occupied</t>
        </is>
      </c>
      <c r="B110" s="215">
        <f>COUNTIFS('Rent Roll Input'!$S$7:$S$606,'Rent Roll Recon'!$B$2,'Rent Roll Input'!$E$7:$E$606,"&lt;&gt;Vacant",'Rent Roll Input'!$E$7:$E$606,"&lt;&gt;Eviction",'Rent Roll Input'!$D$7:$D$606,"MC")</f>
        <v/>
      </c>
      <c r="C110" s="222" t="inlineStr">
        <is>
          <t>100.0%</t>
        </is>
      </c>
      <c r="D110" s="223">
        <f>IFERROR(E110/B110,"-")</f>
        <v/>
      </c>
      <c r="E110" s="223">
        <f>SUMIFS('Rent Roll Input'!$L$7:$L$606,'Rent Roll Input'!$S$7:$S$606,'Rent Roll Recon'!$B$2,'Rent Roll Input'!$E$7:$E$606,"&lt;&gt;Vacant",'Rent Roll Input'!$E$7:$E$606,"&lt;&gt;Eviction",'Rent Roll Input'!$D$7:$D$606,"MC")</f>
        <v/>
      </c>
    </row>
    <row r="112">
      <c r="A112" s="217" t="inlineStr">
        <is>
          <t>MC avg base rent / resident</t>
        </is>
      </c>
      <c r="B112" s="219">
        <f>IFERROR(AVERAGEIFS('Rent Roll Input'!$H$7:$H$606,'Rent Roll Input'!$S$7:$S$606,'Rent Roll Recon'!$B$2,'Rent Roll Input'!$E$7:$E$606,"&lt;&gt;Vacant",'Rent Roll Input'!$E$7:$E$606,"&lt;&gt;Eviction",'Rent Roll Input'!$D$7:$D$606,"MC"),"-")</f>
        <v/>
      </c>
    </row>
    <row r="113">
      <c r="A113" s="217" t="inlineStr">
        <is>
          <t>MC avg care charge / resident</t>
        </is>
      </c>
      <c r="B113" s="219">
        <f>IFERROR(D110,"-")</f>
        <v/>
      </c>
    </row>
    <row r="114">
      <c r="A114" s="217" t="inlineStr">
        <is>
          <t>Care charge ÷ base rent ratio</t>
        </is>
      </c>
      <c r="B114" s="218">
        <f>IFERROR(B113/B112,"-")</f>
        <v/>
      </c>
      <c r="C114" s="204">
        <f>IF(B114&gt;0.3,"⚠ Care charge &gt; 30% of base — acuity-heavy","✓ Within range")</f>
        <v/>
      </c>
    </row>
    <row r="115">
      <c r="A115" s="215" t="inlineStr">
        <is>
          <t>Total MC monthly revenue</t>
        </is>
      </c>
      <c r="B115" s="223">
        <f>IFERROR(SUMIFS('Rent Roll Input'!$H$7:$H$606,'Rent Roll Input'!$S$7:$S$606,'Rent Roll Recon'!$B$2,'Rent Roll Input'!$E$7:$E$606,"&lt;&gt;Vacant",'Rent Roll Input'!$E$7:$E$606,"&lt;&gt;Eviction",'Rent Roll Input'!$D$7:$D$606,"MC")+SUMIFS('Rent Roll Input'!$L$7:$L$606,'Rent Roll Input'!$S$7:$S$606,'Rent Roll Recon'!$B$2,'Rent Roll Input'!$E$7:$E$606,"&lt;&gt;Vacant",'Rent Roll Input'!$E$7:$E$606,"&lt;&gt;Eviction",'Rent Roll Input'!$D$7:$D$606,"MC")+SUMIFS('Rent Roll Input'!$I$7:$I$606,'Rent Roll Input'!$S$7:$S$606,'Rent Roll Recon'!$B$2,'Rent Roll Input'!$E$7:$E$606,"&lt;&gt;Vacant",'Rent Roll Input'!$E$7:$E$606,"&lt;&gt;Eviction",'Rent Roll Input'!$D$7:$D$606,"MC"),0)</f>
        <v/>
      </c>
    </row>
    <row r="117">
      <c r="A117" s="204">
        <f>IF(B110=0,"No MC units in selected period.",IF(LEFT(B103,9)="Flat-rate","Flat-rate MC detected. Tier analysis not applicable; "&amp;"see base rent + care charge totals only.",IF(LEFT(B103,7)="Tiered ","Tiered MC detected. Verify per-tier staffing model supports the implied acuity mix.","Fee-for-service MC detected. Charges vary per resident — "&amp;"review individual care plans for sustainability.")))</f>
        <v/>
      </c>
    </row>
    <row r="119" ht="18" customHeight="1" s="199">
      <c r="A119" s="224" t="inlineStr">
        <is>
          <t>M  ·  OPERATOR FEE SCHEDULE  &amp;  ANCILLARY RECONCILIATION</t>
        </is>
      </c>
    </row>
    <row r="121" ht="18" customHeight="1" s="199">
      <c r="A121" s="225" t="inlineStr">
        <is>
          <t>M1  —  Published schedule  (paste-in: published rates from broker)</t>
        </is>
      </c>
    </row>
    <row r="122">
      <c r="A122" s="226" t="inlineStr">
        <is>
          <t>Fee Name</t>
        </is>
      </c>
      <c r="B122" s="226" t="inlineStr">
        <is>
          <t>Published $</t>
        </is>
      </c>
      <c r="C122" s="226" t="inlineStr">
        <is>
          <t>Basis</t>
        </is>
      </c>
      <c r="D122" s="226" t="inlineStr">
        <is>
          <t>T12 Label</t>
        </is>
      </c>
      <c r="E122" s="226" t="inlineStr">
        <is>
          <t>RR Input Col</t>
        </is>
      </c>
    </row>
    <row r="123">
      <c r="A123" s="227" t="inlineStr">
        <is>
          <t>Community Fee</t>
        </is>
      </c>
      <c r="B123" s="228" t="n"/>
      <c r="C123" s="227" t="inlineStr">
        <is>
          <t>per unit</t>
        </is>
      </c>
      <c r="D123" s="227" t="inlineStr">
        <is>
          <t>Community / move-in fees</t>
        </is>
      </c>
      <c r="E123" s="238" t="inlineStr"/>
    </row>
    <row r="124">
      <c r="A124" s="227" t="inlineStr">
        <is>
          <t>Elective Transfer Fee</t>
        </is>
      </c>
      <c r="B124" s="228" t="n"/>
      <c r="C124" s="227" t="inlineStr">
        <is>
          <t>per move</t>
        </is>
      </c>
      <c r="D124" s="227" t="inlineStr">
        <is>
          <t>Transfer Fee Revenue</t>
        </is>
      </c>
      <c r="E124" s="238" t="inlineStr"/>
    </row>
    <row r="125">
      <c r="A125" s="227" t="inlineStr">
        <is>
          <t>Meal Delivery</t>
        </is>
      </c>
      <c r="B125" s="228" t="n"/>
      <c r="C125" s="227" t="inlineStr">
        <is>
          <t>per meal</t>
        </is>
      </c>
      <c r="D125" s="227" t="inlineStr">
        <is>
          <t>Meal Income</t>
        </is>
      </c>
      <c r="E125" s="238" t="inlineStr">
        <is>
          <t>AC</t>
        </is>
      </c>
    </row>
    <row r="126">
      <c r="A126" s="227" t="inlineStr">
        <is>
          <t>Motorized Scooter Fee</t>
        </is>
      </c>
      <c r="B126" s="228" t="n"/>
      <c r="C126" s="227" t="inlineStr">
        <is>
          <t>per month</t>
        </is>
      </c>
      <c r="D126" s="227" t="inlineStr">
        <is>
          <t>Scooter Fee Revenue</t>
        </is>
      </c>
      <c r="E126" s="238" t="inlineStr">
        <is>
          <t>AD</t>
        </is>
      </c>
    </row>
    <row r="127">
      <c r="A127" s="227" t="inlineStr">
        <is>
          <t>Second Person Fee</t>
        </is>
      </c>
      <c r="B127" s="228" t="n"/>
      <c r="C127" s="227" t="inlineStr">
        <is>
          <t>per month</t>
        </is>
      </c>
      <c r="D127" s="227" t="inlineStr">
        <is>
          <t>2nd Person Revenue</t>
        </is>
      </c>
      <c r="E127" s="238" t="inlineStr">
        <is>
          <t>V</t>
        </is>
      </c>
    </row>
    <row r="128">
      <c r="A128" s="227" t="inlineStr">
        <is>
          <t>Housekeeping</t>
        </is>
      </c>
      <c r="B128" s="228" t="n"/>
      <c r="C128" s="227" t="inlineStr">
        <is>
          <t>per visit</t>
        </is>
      </c>
      <c r="D128" s="227" t="inlineStr">
        <is>
          <t>Housekeeping Income</t>
        </is>
      </c>
      <c r="E128" s="238" t="inlineStr">
        <is>
          <t>AE</t>
        </is>
      </c>
    </row>
    <row r="129">
      <c r="A129" s="227" t="inlineStr">
        <is>
          <t>Laundry</t>
        </is>
      </c>
      <c r="B129" s="228" t="n"/>
      <c r="C129" s="227" t="inlineStr">
        <is>
          <t>per pickup</t>
        </is>
      </c>
      <c r="D129" s="227" t="inlineStr">
        <is>
          <t>Laundry Income</t>
        </is>
      </c>
      <c r="E129" s="238" t="inlineStr">
        <is>
          <t>AF</t>
        </is>
      </c>
    </row>
    <row r="130">
      <c r="A130" s="227" t="n"/>
      <c r="B130" s="228" t="n"/>
      <c r="C130" s="227" t="n"/>
      <c r="D130" s="227" t="n"/>
      <c r="E130" s="239" t="n"/>
    </row>
    <row r="131">
      <c r="A131" s="227" t="n"/>
      <c r="B131" s="228" t="n"/>
      <c r="C131" s="227" t="n"/>
      <c r="D131" s="227" t="n"/>
      <c r="E131" s="239" t="n"/>
    </row>
    <row r="133" ht="18" customHeight="1" s="199">
      <c r="A133" s="225" t="inlineStr">
        <is>
          <t>M2  —  RR-side capture  (auto, from Rent Roll Input)</t>
        </is>
      </c>
    </row>
    <row r="134">
      <c r="A134" s="226" t="inlineStr">
        <is>
          <t>Fee Name</t>
        </is>
      </c>
      <c r="B134" s="226" t="inlineStr">
        <is>
          <t>Eligible #</t>
        </is>
      </c>
      <c r="C134" s="226" t="inlineStr">
        <is>
          <t>Capturing #</t>
        </is>
      </c>
      <c r="D134" s="226" t="inlineStr">
        <is>
          <t>Capture %</t>
        </is>
      </c>
      <c r="E134" s="226" t="inlineStr">
        <is>
          <t>Note</t>
        </is>
      </c>
    </row>
    <row r="135">
      <c r="A135" s="229">
        <f>A123</f>
        <v/>
      </c>
      <c r="B135" s="231">
        <f>COUNTIFS('Rent Roll Input'!$E$7:$E$606,"Occupied",'Rent Roll Input'!$S$7:$S$606,$B$2)</f>
        <v/>
      </c>
      <c r="C135" s="231">
        <f>IF(TRIM(E123)="","—",COUNTIF(INDIRECT("'Rent Roll Input'!"&amp;E123&amp;"7:"&amp;E123&amp;"606"),"&gt;0"))</f>
        <v/>
      </c>
      <c r="D135" s="232">
        <f>IFERROR(C135/B135,"")</f>
        <v/>
      </c>
      <c r="E135" s="229">
        <f>IF(TRIM(E123)="","No per-fee RR column (event-based / not captured per-resident)","✓ Direct RR match (col "&amp;TRIM(E123)&amp;")")</f>
        <v/>
      </c>
    </row>
    <row r="136">
      <c r="A136" s="229">
        <f>A124</f>
        <v/>
      </c>
      <c r="B136" s="231">
        <f>COUNTIFS('Rent Roll Input'!$E$7:$E$606,"Occupied",'Rent Roll Input'!$S$7:$S$606,$B$2)</f>
        <v/>
      </c>
      <c r="C136" s="231">
        <f>IF(TRIM(E124)="","—",COUNTIF(INDIRECT("'Rent Roll Input'!"&amp;E124&amp;"7:"&amp;E124&amp;"606"),"&gt;0"))</f>
        <v/>
      </c>
      <c r="D136" s="232">
        <f>IFERROR(C136/B136,"")</f>
        <v/>
      </c>
      <c r="E136" s="229">
        <f>IF(TRIM(E124)="","No per-fee RR column (event-based / not captured per-resident)","✓ Direct RR match (col "&amp;TRIM(E124)&amp;")")</f>
        <v/>
      </c>
    </row>
    <row r="137">
      <c r="A137" s="229">
        <f>A125</f>
        <v/>
      </c>
      <c r="B137" s="231">
        <f>COUNTIFS('Rent Roll Input'!$E$7:$E$606,"Occupied",'Rent Roll Input'!$S$7:$S$606,$B$2)</f>
        <v/>
      </c>
      <c r="C137" s="231">
        <f>IF(TRIM(E125)="","—",COUNTIF(INDIRECT("'Rent Roll Input'!"&amp;E125&amp;"7:"&amp;E125&amp;"606"),"&gt;0"))</f>
        <v/>
      </c>
      <c r="D137" s="232">
        <f>IFERROR(C137/B137,"")</f>
        <v/>
      </c>
      <c r="E137" s="229">
        <f>IF(TRIM(E125)="","No per-fee RR column (event-based / not captured per-resident)","✓ Direct RR match (col "&amp;TRIM(E125)&amp;")")</f>
        <v/>
      </c>
    </row>
    <row r="138">
      <c r="A138" s="229">
        <f>A126</f>
        <v/>
      </c>
      <c r="B138" s="231">
        <f>COUNTIFS('Rent Roll Input'!$E$7:$E$606,"Occupied",'Rent Roll Input'!$S$7:$S$606,$B$2)</f>
        <v/>
      </c>
      <c r="C138" s="231">
        <f>IF(TRIM(E126)="","—",COUNTIF(INDIRECT("'Rent Roll Input'!"&amp;E126&amp;"7:"&amp;E126&amp;"606"),"&gt;0"))</f>
        <v/>
      </c>
      <c r="D138" s="232">
        <f>IFERROR(C138/B138,"")</f>
        <v/>
      </c>
      <c r="E138" s="229">
        <f>IF(TRIM(E126)="","No per-fee RR column (event-based / not captured per-resident)","✓ Direct RR match (col "&amp;TRIM(E126)&amp;")")</f>
        <v/>
      </c>
    </row>
    <row r="139">
      <c r="A139" s="229">
        <f>A127</f>
        <v/>
      </c>
      <c r="B139" s="231">
        <f>COUNTIFS('Rent Roll Input'!$E$7:$E$606,"Occupied",'Rent Roll Input'!$S$7:$S$606,$B$2)</f>
        <v/>
      </c>
      <c r="C139" s="231">
        <f>IF(TRIM(E127)="","—",COUNTIF(INDIRECT("'Rent Roll Input'!"&amp;E127&amp;"7:"&amp;E127&amp;"606"),"&gt;0"))</f>
        <v/>
      </c>
      <c r="D139" s="232">
        <f>IFERROR(C139/B139,"")</f>
        <v/>
      </c>
      <c r="E139" s="229">
        <f>IF(TRIM(E127)="","No per-fee RR column (event-based / not captured per-resident)","✓ Direct RR match (col "&amp;TRIM(E127)&amp;")")</f>
        <v/>
      </c>
    </row>
    <row r="140">
      <c r="A140" s="229">
        <f>A128</f>
        <v/>
      </c>
      <c r="B140" s="231">
        <f>COUNTIFS('Rent Roll Input'!$E$7:$E$606,"Occupied",'Rent Roll Input'!$S$7:$S$606,$B$2)</f>
        <v/>
      </c>
      <c r="C140" s="231">
        <f>IF(TRIM(E128)="","—",COUNTIF(INDIRECT("'Rent Roll Input'!"&amp;E128&amp;"7:"&amp;E128&amp;"606"),"&gt;0"))</f>
        <v/>
      </c>
      <c r="D140" s="232">
        <f>IFERROR(C140/B140,"")</f>
        <v/>
      </c>
      <c r="E140" s="229">
        <f>IF(TRIM(E128)="","No per-fee RR column (event-based / not captured per-resident)","✓ Direct RR match (col "&amp;TRIM(E128)&amp;")")</f>
        <v/>
      </c>
    </row>
    <row r="141">
      <c r="A141" s="229">
        <f>A129</f>
        <v/>
      </c>
      <c r="B141" s="231">
        <f>COUNTIFS('Rent Roll Input'!$E$7:$E$606,"Occupied",'Rent Roll Input'!$S$7:$S$606,$B$2)</f>
        <v/>
      </c>
      <c r="C141" s="231">
        <f>IF(TRIM(E129)="","—",COUNTIF(INDIRECT("'Rent Roll Input'!"&amp;E129&amp;"7:"&amp;E129&amp;"606"),"&gt;0"))</f>
        <v/>
      </c>
      <c r="D141" s="232">
        <f>IFERROR(C141/B141,"")</f>
        <v/>
      </c>
      <c r="E141" s="229">
        <f>IF(TRIM(E129)="","No per-fee RR column (event-based / not captured per-resident)","✓ Direct RR match (col "&amp;TRIM(E129)&amp;")")</f>
        <v/>
      </c>
    </row>
    <row r="142">
      <c r="A142" s="229">
        <f>A130</f>
        <v/>
      </c>
      <c r="B142" s="231">
        <f>COUNTIFS('Rent Roll Input'!$E$7:$E$606,"Occupied",'Rent Roll Input'!$S$7:$S$606,$B$2)</f>
        <v/>
      </c>
      <c r="C142" s="231">
        <f>IF(TRIM(E130)="","—",COUNTIF(INDIRECT("'Rent Roll Input'!"&amp;E130&amp;"7:"&amp;E130&amp;"606"),"&gt;0"))</f>
        <v/>
      </c>
      <c r="D142" s="232">
        <f>IFERROR(C142/B142,"")</f>
        <v/>
      </c>
      <c r="E142" s="229">
        <f>IF(TRIM(E130)="","No per-fee RR column (event-based / not captured per-resident)","✓ Direct RR match (col "&amp;TRIM(E130)&amp;")")</f>
        <v/>
      </c>
    </row>
    <row r="143">
      <c r="A143" s="229">
        <f>A131</f>
        <v/>
      </c>
      <c r="B143" s="231">
        <f>COUNTIFS('Rent Roll Input'!$E$7:$E$606,"Occupied",'Rent Roll Input'!$S$7:$S$606,$B$2)</f>
        <v/>
      </c>
      <c r="C143" s="231">
        <f>IF(TRIM(E131)="","—",COUNTIF(INDIRECT("'Rent Roll Input'!"&amp;E131&amp;"7:"&amp;E131&amp;"606"),"&gt;0"))</f>
        <v/>
      </c>
      <c r="D143" s="232">
        <f>IFERROR(C143/B143,"")</f>
        <v/>
      </c>
      <c r="E143" s="229">
        <f>IF(TRIM(E131)="","No per-fee RR column (event-based / not captured per-resident)","✓ Direct RR match (col "&amp;TRIM(E131)&amp;")")</f>
        <v/>
      </c>
    </row>
    <row r="145" ht="18" customHeight="1" s="199">
      <c r="A145" s="225" t="inlineStr">
        <is>
          <t>M3  —  T12 actuals  (12-month total + monthly avg, via VLOOKUP on M1 Label)</t>
        </is>
      </c>
    </row>
    <row r="146">
      <c r="A146" s="226" t="inlineStr">
        <is>
          <t>Fee Name</t>
        </is>
      </c>
      <c r="B146" s="226" t="inlineStr">
        <is>
          <t>T12 Annual $</t>
        </is>
      </c>
      <c r="C146" s="226" t="inlineStr">
        <is>
          <t>T12 Monthly $</t>
        </is>
      </c>
      <c r="D146" s="226" t="inlineStr">
        <is>
          <t>Mapped to Label</t>
        </is>
      </c>
      <c r="E146" s="226" t="inlineStr">
        <is>
          <t>Note</t>
        </is>
      </c>
    </row>
    <row r="147">
      <c r="A147" s="229">
        <f>A123</f>
        <v/>
      </c>
      <c r="B147" s="233">
        <f>IFERROR(VLOOKUP(D123, 'T12 Raw Data'!$B:$R, 17, 0), 0)</f>
        <v/>
      </c>
      <c r="C147" s="233">
        <f>IF(ISNUMBER(B147), B147/12, B147)</f>
        <v/>
      </c>
      <c r="D147" s="229">
        <f>D123</f>
        <v/>
      </c>
      <c r="E147" s="229">
        <f>IF(D123="","",IF(COUNTIF($D$123:$D$131, D123) &gt; 1, "⚠ Shared T12 Label — can't isolate per-fee", ""))</f>
        <v/>
      </c>
    </row>
    <row r="148">
      <c r="A148" s="229">
        <f>A124</f>
        <v/>
      </c>
      <c r="B148" s="233">
        <f>IF(COUNTIF($D$123:D123, D124) &gt; 0, "(shared — see row " &amp; MATCH(D124, $D$123:D123, 0) + 122 &amp; ")", IFERROR(VLOOKUP(D124, 'T12 Raw Data'!$B:$R, 17, 0), 0))</f>
        <v/>
      </c>
      <c r="C148" s="233">
        <f>IF(ISNUMBER(B148), B148/12, B148)</f>
        <v/>
      </c>
      <c r="D148" s="229">
        <f>D124</f>
        <v/>
      </c>
      <c r="E148" s="229">
        <f>IF(D124="","",IF(COUNTIF($D$123:$D$131, D124) &gt; 1, "⚠ Shared T12 Label — can't isolate per-fee", ""))</f>
        <v/>
      </c>
    </row>
    <row r="149">
      <c r="A149" s="229">
        <f>A125</f>
        <v/>
      </c>
      <c r="B149" s="233">
        <f>IF(COUNTIF($D$123:D124, D125) &gt; 0, "(shared — see row " &amp; MATCH(D125, $D$123:D124, 0) + 122 &amp; ")", IFERROR(VLOOKUP(D125, 'T12 Raw Data'!$B:$R, 17, 0), 0))</f>
        <v/>
      </c>
      <c r="C149" s="233">
        <f>IF(ISNUMBER(B149), B149/12, B149)</f>
        <v/>
      </c>
      <c r="D149" s="229">
        <f>D125</f>
        <v/>
      </c>
      <c r="E149" s="229">
        <f>IF(D125="","",IF(COUNTIF($D$123:$D$131, D125) &gt; 1, "⚠ Shared T12 Label — can't isolate per-fee", ""))</f>
        <v/>
      </c>
    </row>
    <row r="150">
      <c r="A150" s="229">
        <f>A126</f>
        <v/>
      </c>
      <c r="B150" s="233">
        <f>IF(COUNTIF($D$123:D125, D126) &gt; 0, "(shared — see row " &amp; MATCH(D126, $D$123:D125, 0) + 122 &amp; ")", IFERROR(VLOOKUP(D126, 'T12 Raw Data'!$B:$R, 17, 0), 0))</f>
        <v/>
      </c>
      <c r="C150" s="233">
        <f>IF(ISNUMBER(B150), B150/12, B150)</f>
        <v/>
      </c>
      <c r="D150" s="229">
        <f>D126</f>
        <v/>
      </c>
      <c r="E150" s="229">
        <f>IF(D126="","",IF(COUNTIF($D$123:$D$131, D126) &gt; 1, "⚠ Shared T12 Label — can't isolate per-fee", ""))</f>
        <v/>
      </c>
    </row>
    <row r="151">
      <c r="A151" s="229">
        <f>A127</f>
        <v/>
      </c>
      <c r="B151" s="233">
        <f>IF(COUNTIF($D$123:D126, D127) &gt; 0, "(shared — see row " &amp; MATCH(D127, $D$123:D126, 0) + 122 &amp; ")", IFERROR(VLOOKUP(D127, 'T12 Raw Data'!$B:$R, 17, 0), 0))</f>
        <v/>
      </c>
      <c r="C151" s="233">
        <f>IF(ISNUMBER(B151), B151/12, B151)</f>
        <v/>
      </c>
      <c r="D151" s="229">
        <f>D127</f>
        <v/>
      </c>
      <c r="E151" s="229">
        <f>IF(D127="","",IF(COUNTIF($D$123:$D$131, D127) &gt; 1, "⚠ Shared T12 Label — can't isolate per-fee", ""))</f>
        <v/>
      </c>
    </row>
    <row r="152">
      <c r="A152" s="229">
        <f>A128</f>
        <v/>
      </c>
      <c r="B152" s="233">
        <f>IF(COUNTIF($D$123:D127, D128) &gt; 0, "(shared — see row " &amp; MATCH(D128, $D$123:D127, 0) + 122 &amp; ")", IFERROR(VLOOKUP(D128, 'T12 Raw Data'!$B:$R, 17, 0), 0))</f>
        <v/>
      </c>
      <c r="C152" s="233">
        <f>IF(ISNUMBER(B152), B152/12, B152)</f>
        <v/>
      </c>
      <c r="D152" s="229">
        <f>D128</f>
        <v/>
      </c>
      <c r="E152" s="229">
        <f>IF(D128="","",IF(COUNTIF($D$123:$D$131, D128) &gt; 1, "⚠ Shared T12 Label — can't isolate per-fee", ""))</f>
        <v/>
      </c>
    </row>
    <row r="153">
      <c r="A153" s="229">
        <f>A129</f>
        <v/>
      </c>
      <c r="B153" s="233">
        <f>IF(COUNTIF($D$123:D128, D129) &gt; 0, "(shared — see row " &amp; MATCH(D129, $D$123:D128, 0) + 122 &amp; ")", IFERROR(VLOOKUP(D129, 'T12 Raw Data'!$B:$R, 17, 0), 0))</f>
        <v/>
      </c>
      <c r="C153" s="233">
        <f>IF(ISNUMBER(B153), B153/12, B153)</f>
        <v/>
      </c>
      <c r="D153" s="229">
        <f>D129</f>
        <v/>
      </c>
      <c r="E153" s="229">
        <f>IF(D129="","",IF(COUNTIF($D$123:$D$131, D129) &gt; 1, "⚠ Shared T12 Label — can't isolate per-fee", ""))</f>
        <v/>
      </c>
    </row>
    <row r="154">
      <c r="A154" s="229">
        <f>A130</f>
        <v/>
      </c>
      <c r="B154" s="233">
        <f>IF(COUNTIF($D$123:D129, D130) &gt; 0, "(shared — see row " &amp; MATCH(D130, $D$123:D129, 0) + 122 &amp; ")", IFERROR(VLOOKUP(D130, 'T12 Raw Data'!$B:$R, 17, 0), 0))</f>
        <v/>
      </c>
      <c r="C154" s="233">
        <f>IF(ISNUMBER(B154), B154/12, B154)</f>
        <v/>
      </c>
      <c r="D154" s="229">
        <f>D130</f>
        <v/>
      </c>
      <c r="E154" s="229">
        <f>IF(D130="","",IF(COUNTIF($D$123:$D$131, D130) &gt; 1, "⚠ Shared T12 Label — can't isolate per-fee", ""))</f>
        <v/>
      </c>
    </row>
    <row r="155">
      <c r="A155" s="229">
        <f>A131</f>
        <v/>
      </c>
      <c r="B155" s="233">
        <f>IF(COUNTIF($D$123:D130, D131) &gt; 0, "(shared — see row " &amp; MATCH(D131, $D$123:D130, 0) + 122 &amp; ")", IFERROR(VLOOKUP(D131, 'T12 Raw Data'!$B:$R, 17, 0), 0))</f>
        <v/>
      </c>
      <c r="C155" s="233">
        <f>IF(ISNUMBER(B155), B155/12, B155)</f>
        <v/>
      </c>
      <c r="D155" s="229">
        <f>D131</f>
        <v/>
      </c>
      <c r="E155" s="229">
        <f>IF(D131="","",IF(COUNTIF($D$123:$D$131, D131) &gt; 1, "⚠ Shared T12 Label — can't isolate per-fee", ""))</f>
        <v/>
      </c>
    </row>
    <row r="157" ht="18" customHeight="1" s="199">
      <c r="A157" s="225" t="inlineStr">
        <is>
          <t>M4  —  Implied per-resident rate  (T12 monthly ÷ RR # capturing  vs.  schedule)</t>
        </is>
      </c>
    </row>
    <row r="158">
      <c r="A158" s="226" t="inlineStr">
        <is>
          <t>Fee Name</t>
        </is>
      </c>
      <c r="B158" s="226" t="inlineStr">
        <is>
          <t>T12 $/mo</t>
        </is>
      </c>
      <c r="C158" s="226" t="inlineStr">
        <is>
          <t>RR # capturing</t>
        </is>
      </c>
      <c r="D158" s="226" t="inlineStr">
        <is>
          <t>Implied $/resident</t>
        </is>
      </c>
      <c r="E158" s="226" t="inlineStr">
        <is>
          <t>Schedule $</t>
        </is>
      </c>
      <c r="F158" s="226" t="inlineStr">
        <is>
          <t>Variance %</t>
        </is>
      </c>
      <c r="G158" s="226" t="inlineStr">
        <is>
          <t>Note</t>
        </is>
      </c>
    </row>
    <row r="159">
      <c r="A159" s="229">
        <f>A123</f>
        <v/>
      </c>
      <c r="B159" s="233">
        <f>C147</f>
        <v/>
      </c>
      <c r="C159" s="231">
        <f>IF(TRIM(E123)="","—",C135)</f>
        <v/>
      </c>
      <c r="D159" s="233">
        <f>IF(AND(TRIM(E123)&lt;&gt;"",ISNUMBER(B159),ISNUMBER(C159),C159&gt;0),B159/C159,"")</f>
        <v/>
      </c>
      <c r="E159" s="233">
        <f>B123</f>
        <v/>
      </c>
      <c r="F159" s="234">
        <f>IF(AND(ISNUMBER(D159),ISNUMBER(E159),E159&lt;&gt;0),(D159-E159)/E159,"")</f>
        <v/>
      </c>
      <c r="G159" s="229">
        <f>IF(TRIM(E123)="","Falls into M5 Misc. (event-based; reconcile via M3 ÷ annual turnover)",IF(NOT(ISNUMBER(F159)),"",IF(ABS(F159)&gt;0.05,"⚠ Implied rate differs from schedule by "&amp;TEXT(F159,"0.0%")&amp; " — legacy in-place residents or schedule out of date","✓ Implied rate within 5% of schedule")))</f>
        <v/>
      </c>
    </row>
    <row r="160">
      <c r="A160" s="229">
        <f>A124</f>
        <v/>
      </c>
      <c r="B160" s="233">
        <f>C148</f>
        <v/>
      </c>
      <c r="C160" s="231">
        <f>IF(TRIM(E124)="","—",C136)</f>
        <v/>
      </c>
      <c r="D160" s="233">
        <f>IF(AND(TRIM(E124)&lt;&gt;"",ISNUMBER(B160),ISNUMBER(C160),C160&gt;0),B160/C160,"")</f>
        <v/>
      </c>
      <c r="E160" s="233">
        <f>B124</f>
        <v/>
      </c>
      <c r="F160" s="234">
        <f>IF(AND(ISNUMBER(D160),ISNUMBER(E160),E160&lt;&gt;0),(D160-E160)/E160,"")</f>
        <v/>
      </c>
      <c r="G160" s="229">
        <f>IF(TRIM(E124)="","Falls into M5 Misc. (event-based; reconcile via M3 ÷ annual turnover)",IF(NOT(ISNUMBER(F160)),"",IF(ABS(F160)&gt;0.05,"⚠ Implied rate differs from schedule by "&amp;TEXT(F160,"0.0%")&amp; " — legacy in-place residents or schedule out of date","✓ Implied rate within 5% of schedule")))</f>
        <v/>
      </c>
    </row>
    <row r="161">
      <c r="A161" s="229">
        <f>A125</f>
        <v/>
      </c>
      <c r="B161" s="233">
        <f>C149</f>
        <v/>
      </c>
      <c r="C161" s="231">
        <f>IF(TRIM(E125)="","—",C137)</f>
        <v/>
      </c>
      <c r="D161" s="233">
        <f>IF(AND(TRIM(E125)&lt;&gt;"",ISNUMBER(B161),ISNUMBER(C161),C161&gt;0),B161/C161,"")</f>
        <v/>
      </c>
      <c r="E161" s="233">
        <f>B125</f>
        <v/>
      </c>
      <c r="F161" s="234">
        <f>IF(AND(ISNUMBER(D161),ISNUMBER(E161),E161&lt;&gt;0),(D161-E161)/E161,"")</f>
        <v/>
      </c>
      <c r="G161" s="229">
        <f>IF(TRIM(E125)="","Falls into M5 Misc. (event-based; reconcile via M3 ÷ annual turnover)",IF(NOT(ISNUMBER(F161)),"",IF(ABS(F161)&gt;0.05,"⚠ Implied rate differs from schedule by "&amp;TEXT(F161,"0.0%")&amp; " — legacy in-place residents or schedule out of date","✓ Implied rate within 5% of schedule")))</f>
        <v/>
      </c>
    </row>
    <row r="162">
      <c r="A162" s="229">
        <f>A126</f>
        <v/>
      </c>
      <c r="B162" s="233">
        <f>C150</f>
        <v/>
      </c>
      <c r="C162" s="231">
        <f>IF(TRIM(E126)="","—",C138)</f>
        <v/>
      </c>
      <c r="D162" s="233">
        <f>IF(AND(TRIM(E126)&lt;&gt;"",ISNUMBER(B162),ISNUMBER(C162),C162&gt;0),B162/C162,"")</f>
        <v/>
      </c>
      <c r="E162" s="233">
        <f>B126</f>
        <v/>
      </c>
      <c r="F162" s="234">
        <f>IF(AND(ISNUMBER(D162),ISNUMBER(E162),E162&lt;&gt;0),(D162-E162)/E162,"")</f>
        <v/>
      </c>
      <c r="G162" s="229">
        <f>IF(TRIM(E126)="","Falls into M5 Misc. (event-based; reconcile via M3 ÷ annual turnover)",IF(NOT(ISNUMBER(F162)),"",IF(ABS(F162)&gt;0.05,"⚠ Implied rate differs from schedule by "&amp;TEXT(F162,"0.0%")&amp; " — legacy in-place residents or schedule out of date","✓ Implied rate within 5% of schedule")))</f>
        <v/>
      </c>
    </row>
    <row r="163">
      <c r="A163" s="229">
        <f>A127</f>
        <v/>
      </c>
      <c r="B163" s="233">
        <f>C151</f>
        <v/>
      </c>
      <c r="C163" s="231">
        <f>IF(TRIM(E127)="","—",C139)</f>
        <v/>
      </c>
      <c r="D163" s="233">
        <f>IF(AND(TRIM(E127)&lt;&gt;"",ISNUMBER(B163),ISNUMBER(C163),C163&gt;0),B163/C163,"")</f>
        <v/>
      </c>
      <c r="E163" s="233">
        <f>B127</f>
        <v/>
      </c>
      <c r="F163" s="234">
        <f>IF(AND(ISNUMBER(D163),ISNUMBER(E163),E163&lt;&gt;0),(D163-E163)/E163,"")</f>
        <v/>
      </c>
      <c r="G163" s="229">
        <f>IF(TRIM(E127)="","Falls into M5 Misc. (event-based; reconcile via M3 ÷ annual turnover)",IF(NOT(ISNUMBER(F163)),"",IF(ABS(F163)&gt;0.05,"⚠ Implied rate differs from schedule by "&amp;TEXT(F163,"0.0%")&amp; " — legacy in-place residents or schedule out of date","✓ Implied rate within 5% of schedule")))</f>
        <v/>
      </c>
    </row>
    <row r="164">
      <c r="A164" s="229">
        <f>A128</f>
        <v/>
      </c>
      <c r="B164" s="233">
        <f>C152</f>
        <v/>
      </c>
      <c r="C164" s="231">
        <f>IF(TRIM(E128)="","—",C140)</f>
        <v/>
      </c>
      <c r="D164" s="233">
        <f>IF(AND(TRIM(E128)&lt;&gt;"",ISNUMBER(B164),ISNUMBER(C164),C164&gt;0),B164/C164,"")</f>
        <v/>
      </c>
      <c r="E164" s="233">
        <f>B128</f>
        <v/>
      </c>
      <c r="F164" s="234">
        <f>IF(AND(ISNUMBER(D164),ISNUMBER(E164),E164&lt;&gt;0),(D164-E164)/E164,"")</f>
        <v/>
      </c>
      <c r="G164" s="229">
        <f>IF(TRIM(E128)="","Falls into M5 Misc. (event-based; reconcile via M3 ÷ annual turnover)",IF(NOT(ISNUMBER(F164)),"",IF(ABS(F164)&gt;0.05,"⚠ Implied rate differs from schedule by "&amp;TEXT(F164,"0.0%")&amp; " — legacy in-place residents or schedule out of date","✓ Implied rate within 5% of schedule")))</f>
        <v/>
      </c>
    </row>
    <row r="165">
      <c r="A165" s="229">
        <f>A129</f>
        <v/>
      </c>
      <c r="B165" s="233">
        <f>C153</f>
        <v/>
      </c>
      <c r="C165" s="231">
        <f>IF(TRIM(E129)="","—",C141)</f>
        <v/>
      </c>
      <c r="D165" s="233">
        <f>IF(AND(TRIM(E129)&lt;&gt;"",ISNUMBER(B165),ISNUMBER(C165),C165&gt;0),B165/C165,"")</f>
        <v/>
      </c>
      <c r="E165" s="233">
        <f>B129</f>
        <v/>
      </c>
      <c r="F165" s="234">
        <f>IF(AND(ISNUMBER(D165),ISNUMBER(E165),E165&lt;&gt;0),(D165-E165)/E165,"")</f>
        <v/>
      </c>
      <c r="G165" s="229">
        <f>IF(TRIM(E129)="","Falls into M5 Misc. (event-based; reconcile via M3 ÷ annual turnover)",IF(NOT(ISNUMBER(F165)),"",IF(ABS(F165)&gt;0.05,"⚠ Implied rate differs from schedule by "&amp;TEXT(F165,"0.0%")&amp; " — legacy in-place residents or schedule out of date","✓ Implied rate within 5% of schedule")))</f>
        <v/>
      </c>
    </row>
    <row r="166">
      <c r="A166" s="229">
        <f>A130</f>
        <v/>
      </c>
      <c r="B166" s="233">
        <f>C154</f>
        <v/>
      </c>
      <c r="C166" s="231">
        <f>IF(TRIM(E130)="","—",C142)</f>
        <v/>
      </c>
      <c r="D166" s="233">
        <f>IF(AND(TRIM(E130)&lt;&gt;"",ISNUMBER(B166),ISNUMBER(C166),C166&gt;0),B166/C166,"")</f>
        <v/>
      </c>
      <c r="E166" s="233">
        <f>B130</f>
        <v/>
      </c>
      <c r="F166" s="234">
        <f>IF(AND(ISNUMBER(D166),ISNUMBER(E166),E166&lt;&gt;0),(D166-E166)/E166,"")</f>
        <v/>
      </c>
      <c r="G166" s="229">
        <f>IF(TRIM(E130)="","Falls into M5 Misc. (event-based; reconcile via M3 ÷ annual turnover)",IF(NOT(ISNUMBER(F166)),"",IF(ABS(F166)&gt;0.05,"⚠ Implied rate differs from schedule by "&amp;TEXT(F166,"0.0%")&amp; " — legacy in-place residents or schedule out of date","✓ Implied rate within 5% of schedule")))</f>
        <v/>
      </c>
    </row>
    <row r="167">
      <c r="A167" s="229">
        <f>A131</f>
        <v/>
      </c>
      <c r="B167" s="233">
        <f>C155</f>
        <v/>
      </c>
      <c r="C167" s="231">
        <f>IF(TRIM(E131)="","—",C143)</f>
        <v/>
      </c>
      <c r="D167" s="233">
        <f>IF(AND(TRIM(E131)&lt;&gt;"",ISNUMBER(B167),ISNUMBER(C167),C167&gt;0),B167/C167,"")</f>
        <v/>
      </c>
      <c r="E167" s="233">
        <f>B131</f>
        <v/>
      </c>
      <c r="F167" s="234">
        <f>IF(AND(ISNUMBER(D167),ISNUMBER(E167),E167&lt;&gt;0),(D167-E167)/E167,"")</f>
        <v/>
      </c>
      <c r="G167" s="229">
        <f>IF(TRIM(E131)="","Falls into M5 Misc. (event-based; reconcile via M3 ÷ annual turnover)",IF(NOT(ISNUMBER(F167)),"",IF(ABS(F167)&gt;0.05,"⚠ Implied rate differs from schedule by "&amp;TEXT(F167,"0.0%")&amp; " — legacy in-place residents or schedule out of date","✓ Implied rate within 5% of schedule")))</f>
        <v/>
      </c>
    </row>
    <row r="169" ht="18" customHeight="1" s="199">
      <c r="A169" s="225" t="inlineStr">
        <is>
          <t>M5  —  Misc. Income  (T12 'Other community revenue' minus per-fee attribution)</t>
        </is>
      </c>
    </row>
    <row r="170">
      <c r="A170" s="229" t="inlineStr">
        <is>
          <t>T12 'Other community revenue' — annual total</t>
        </is>
      </c>
      <c r="B170" s="235">
        <f>IFERROR(VLOOKUP("Other community revenue", 'T12 Raw Data'!$B:$R, 17, 0), 0)</f>
        <v/>
      </c>
    </row>
    <row r="171">
      <c r="A171" s="229" t="inlineStr">
        <is>
          <t>T12 'Other community revenue' — monthly avg</t>
        </is>
      </c>
      <c r="B171" s="235">
        <f>B170/12</f>
        <v/>
      </c>
    </row>
    <row r="172">
      <c r="A172" s="229" t="inlineStr">
        <is>
          <t>Less: M4 fees attributed to this bucket (annualized)</t>
        </is>
      </c>
      <c r="B172" s="235">
        <f>SUMPRODUCT(($D$123:$D$131="Other community revenue")*ISNUMBER($C$135:$C$143)*IFERROR($C$135:$C$143*$B$123:$B$131*12,0))</f>
        <v/>
      </c>
    </row>
    <row r="173">
      <c r="A173" s="229" t="inlineStr">
        <is>
          <t>Residual unattributed Misc. income (annual)</t>
        </is>
      </c>
      <c r="B173" s="235">
        <f>B170 - B172</f>
        <v/>
      </c>
    </row>
    <row r="174">
      <c r="A174" s="229" t="inlineStr">
        <is>
          <t>Residual as % of EGI (annual)</t>
        </is>
      </c>
      <c r="B174" s="236">
        <f>IFERROR(B173 / 'Monthly Trending'!$N$26, 0)</f>
        <v/>
      </c>
    </row>
    <row r="176">
      <c r="A176" s="237">
        <f>IF(B174 &gt; 0.15, "⚠ Misc. income is " &amp; TEXT(B174, "0.0%") &amp; " of EGI — ancillary mix concentrated in shared bucket. " &amp; "Expand RR Input per-fee columns (see UW-BACKLOG BL-0003) to break out.", IF(B173 = 0, "", "✓ Misc. income share within band (≤ " &amp; TEXT(0.15, "0%") &amp; " of EGI)."))</f>
        <v/>
      </c>
    </row>
    <row r="178">
      <c r="A178" s="225" t="inlineStr">
        <is>
          <t>M6  —  Negative residual check  (Misc. credits vs T12 Concessions &amp; specials)</t>
        </is>
      </c>
    </row>
    <row r="179">
      <c r="A179" s="229" t="inlineStr">
        <is>
          <t>Residual from M5 (annual)</t>
        </is>
      </c>
      <c r="B179" s="235">
        <f>B173</f>
        <v/>
      </c>
    </row>
    <row r="180">
      <c r="A180" s="229" t="inlineStr">
        <is>
          <t>T12 'Concessions &amp; specials' — annual</t>
        </is>
      </c>
      <c r="B180" s="235">
        <f>IFERROR(VLOOKUP("Concessions &amp; specials", 'T12 Raw Data'!$B:$R, 17, 0), 0)</f>
        <v/>
      </c>
    </row>
    <row r="181">
      <c r="A181" s="229" t="inlineStr">
        <is>
          <t>Residual / T12 Concessions (abs)</t>
        </is>
      </c>
      <c r="B181" s="236">
        <f>IFERROR(ABS(B179)/ABS(B180), 0)</f>
        <v/>
      </c>
    </row>
    <row r="183">
      <c r="A183" s="237">
        <f>IF(B179&gt;=0,"",IF(B180=0,"⚠ Negative residual = "&amp;TEXT(B179,"$#,##0")&amp;" in Other LOC bucket, but T12 has no Concessions &amp; specials line for reconciliation. Verify GL routing.",IF(ABS(B179)/ABS(B180)&gt;0.1,"⚠ Negative residual = "&amp;TEXT(B179,"$#,##0")&amp;" is "&amp;TEXT(ABS(B179)/ABS(B180),"0.0%")&amp;" of T12 Concessions ("&amp;TEXT(ABS(B180),"$#,##0")&amp;"). Likely misposted concessions — review GL routing for Other LOC credits.","✓ Negative residual = "&amp;TEXT(B179,"$#,##0")&amp;" within reconciliation tolerance (≤"&amp;TEXT(0.1,"0%")&amp;" of T12 Concessions "&amp;TEXT(ABS(B180),"$#,##0")&amp;").")))</f>
        <v/>
      </c>
    </row>
  </sheetData>
  <mergeCells count="29">
    <mergeCell ref="A183:I183"/>
    <mergeCell ref="A15:H15"/>
    <mergeCell ref="A133:I133"/>
    <mergeCell ref="A84:I84"/>
    <mergeCell ref="A27:I27"/>
    <mergeCell ref="A50:I50"/>
    <mergeCell ref="A145:I145"/>
    <mergeCell ref="A86:I86"/>
    <mergeCell ref="A57:I57"/>
    <mergeCell ref="A33:I33"/>
    <mergeCell ref="A32:I32"/>
    <mergeCell ref="A38:I38"/>
    <mergeCell ref="A178:G178"/>
    <mergeCell ref="A121:I121"/>
    <mergeCell ref="A102:I102"/>
    <mergeCell ref="A176:I176"/>
    <mergeCell ref="A77:I77"/>
    <mergeCell ref="A48:I48"/>
    <mergeCell ref="A157:I157"/>
    <mergeCell ref="A22:H22"/>
    <mergeCell ref="A100:H100"/>
    <mergeCell ref="A169:I169"/>
    <mergeCell ref="A1:I1"/>
    <mergeCell ref="C2:I2"/>
    <mergeCell ref="A117:H117"/>
    <mergeCell ref="A69:I69"/>
    <mergeCell ref="A6:I6"/>
    <mergeCell ref="B103:H103"/>
    <mergeCell ref="A119:I119"/>
  </mergeCells>
  <dataValidations count="2">
    <dataValidation sqref="B2" showDropDown="0" showInputMessage="0" showErrorMessage="0" allowBlank="1" type="list">
      <formula1>='RR_Calc'!$A$2:$A$13</formula1>
    </dataValidation>
    <dataValidation sqref="D123:D131" showDropDown="0" showInputMessage="0" showErrorMessage="0" allowBlank="1" errorTitle="Invalid T12 Label" error="Pick a Label from the Description_Map vocabulary." promptTitle="T12 Label" prompt="Pick the T12 Label this fee maps to." type="list">
      <formula1>=DescMap_Label</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Z75"/>
  <sheetViews>
    <sheetView zoomScaleNormal="100" workbookViewId="0">
      <pane xSplit="1" ySplit="3" topLeftCell="B4" activePane="bottomRight" state="frozen"/>
      <selection pane="topRight" activeCell="B1" sqref="B1"/>
      <selection pane="bottomLeft" activeCell="A29" sqref="A29"/>
      <selection pane="bottomRight" activeCell="D14" sqref="D14"/>
    </sheetView>
  </sheetViews>
  <sheetFormatPr baseColWidth="8" defaultColWidth="8.7109375" defaultRowHeight="15"/>
  <cols>
    <col width="28" customWidth="1" style="199" min="1" max="1"/>
    <col width="11" customWidth="1" style="199" min="2" max="13"/>
    <col width="13" customWidth="1" style="199" min="14" max="14"/>
  </cols>
  <sheetData>
    <row r="1" ht="25.5" customHeight="1" s="199">
      <c r="A1" s="189" t="inlineStr">
        <is>
          <t>Monthly Trending  —  T12 Actuals by Month</t>
        </is>
      </c>
      <c r="AZ1" t="inlineStr">
        <is>
          <t>Per-Label monthly summary by Group</t>
        </is>
      </c>
    </row>
    <row r="2" ht="6" customHeight="1" s="199">
      <c r="AZ2" t="inlineStr">
        <is>
          <t>aggregator</t>
        </is>
      </c>
    </row>
    <row r="3" ht="21.75" customHeight="1" s="199">
      <c r="A3" s="142" t="inlineStr">
        <is>
          <t>Category</t>
        </is>
      </c>
      <c r="B3" s="143" t="inlineStr">
        <is>
          <t>M01</t>
        </is>
      </c>
      <c r="C3" s="143" t="inlineStr">
        <is>
          <t>M02</t>
        </is>
      </c>
      <c r="D3" s="143" t="inlineStr">
        <is>
          <t>M03</t>
        </is>
      </c>
      <c r="E3" s="143" t="inlineStr">
        <is>
          <t>M04</t>
        </is>
      </c>
      <c r="F3" s="143" t="inlineStr">
        <is>
          <t>M05</t>
        </is>
      </c>
      <c r="G3" s="143" t="inlineStr">
        <is>
          <t>M06</t>
        </is>
      </c>
      <c r="H3" s="143" t="inlineStr">
        <is>
          <t>M07</t>
        </is>
      </c>
      <c r="I3" s="143" t="inlineStr">
        <is>
          <t>M08</t>
        </is>
      </c>
      <c r="J3" s="143" t="inlineStr">
        <is>
          <t>M09</t>
        </is>
      </c>
      <c r="K3" s="143" t="inlineStr">
        <is>
          <t>M10</t>
        </is>
      </c>
      <c r="L3" s="143" t="inlineStr">
        <is>
          <t>M11</t>
        </is>
      </c>
      <c r="M3" s="143" t="inlineStr">
        <is>
          <t>M12</t>
        </is>
      </c>
      <c r="N3" s="143" t="inlineStr">
        <is>
          <t>T12 Total</t>
        </is>
      </c>
      <c r="AZ3" t="inlineStr">
        <is>
          <t>visible</t>
        </is>
      </c>
    </row>
    <row r="4" ht="18" customHeight="1" s="199">
      <c r="A4" s="174" t="inlineStr">
        <is>
          <t>REVENUE</t>
        </is>
      </c>
      <c r="AZ4" t="inlineStr">
        <is>
          <t>v0.2.7</t>
        </is>
      </c>
    </row>
    <row r="5" ht="15.75" customHeight="1" s="199">
      <c r="A5" s="83" t="inlineStr">
        <is>
          <t>Base rent — IL</t>
        </is>
      </c>
      <c r="B5" s="144">
        <f>IFERROR(INDEX('T12 Raw Data'!F:F,MATCH("Base rent — IL",'T12 Raw Data'!B:B,0)),0)</f>
        <v/>
      </c>
      <c r="C5" s="144">
        <f>IFERROR(INDEX('T12 Raw Data'!G:G,MATCH("Base rent — IL",'T12 Raw Data'!B:B,0)),0)</f>
        <v/>
      </c>
      <c r="D5" s="144">
        <f>IFERROR(INDEX('T12 Raw Data'!H:H,MATCH("Base rent — IL",'T12 Raw Data'!B:B,0)),0)</f>
        <v/>
      </c>
      <c r="E5" s="144">
        <f>IFERROR(INDEX('T12 Raw Data'!I:I,MATCH("Base rent — IL",'T12 Raw Data'!B:B,0)),0)</f>
        <v/>
      </c>
      <c r="F5" s="144">
        <f>IFERROR(INDEX('T12 Raw Data'!J:J,MATCH("Base rent — IL",'T12 Raw Data'!B:B,0)),0)</f>
        <v/>
      </c>
      <c r="G5" s="144">
        <f>IFERROR(INDEX('T12 Raw Data'!K:K,MATCH("Base rent — IL",'T12 Raw Data'!B:B,0)),0)</f>
        <v/>
      </c>
      <c r="H5" s="144">
        <f>IFERROR(INDEX('T12 Raw Data'!L:L,MATCH("Base rent — IL",'T12 Raw Data'!B:B,0)),0)</f>
        <v/>
      </c>
      <c r="I5" s="144">
        <f>IFERROR(INDEX('T12 Raw Data'!M:M,MATCH("Base rent — IL",'T12 Raw Data'!B:B,0)),0)</f>
        <v/>
      </c>
      <c r="J5" s="144">
        <f>IFERROR(INDEX('T12 Raw Data'!N:N,MATCH("Base rent — IL",'T12 Raw Data'!B:B,0)),0)</f>
        <v/>
      </c>
      <c r="K5" s="144">
        <f>IFERROR(INDEX('T12 Raw Data'!O:O,MATCH("Base rent — IL",'T12 Raw Data'!B:B,0)),0)</f>
        <v/>
      </c>
      <c r="L5" s="144">
        <f>IFERROR(INDEX('T12 Raw Data'!P:P,MATCH("Base rent — IL",'T12 Raw Data'!B:B,0)),0)</f>
        <v/>
      </c>
      <c r="M5" s="144">
        <f>IFERROR(INDEX('T12 Raw Data'!Q:Q,MATCH("Base rent — IL",'T12 Raw Data'!B:B,0)),0)</f>
        <v/>
      </c>
      <c r="N5" s="145">
        <f>SUM(B5:M5)</f>
        <v/>
      </c>
    </row>
    <row r="6" ht="15.75" customHeight="1" s="199">
      <c r="A6" s="83" t="inlineStr">
        <is>
          <t>Base rent — AL</t>
        </is>
      </c>
      <c r="B6" s="144">
        <f>IFERROR(INDEX('T12 Raw Data'!F:F,MATCH("Base rent — AL",'T12 Raw Data'!B:B,0)),0)</f>
        <v/>
      </c>
      <c r="C6" s="144">
        <f>IFERROR(INDEX('T12 Raw Data'!G:G,MATCH("Base rent — AL",'T12 Raw Data'!B:B,0)),0)</f>
        <v/>
      </c>
      <c r="D6" s="144">
        <f>IFERROR(INDEX('T12 Raw Data'!H:H,MATCH("Base rent — AL",'T12 Raw Data'!B:B,0)),0)</f>
        <v/>
      </c>
      <c r="E6" s="144">
        <f>IFERROR(INDEX('T12 Raw Data'!I:I,MATCH("Base rent — AL",'T12 Raw Data'!B:B,0)),0)</f>
        <v/>
      </c>
      <c r="F6" s="144">
        <f>IFERROR(INDEX('T12 Raw Data'!J:J,MATCH("Base rent — AL",'T12 Raw Data'!B:B,0)),0)</f>
        <v/>
      </c>
      <c r="G6" s="144">
        <f>IFERROR(INDEX('T12 Raw Data'!K:K,MATCH("Base rent — AL",'T12 Raw Data'!B:B,0)),0)</f>
        <v/>
      </c>
      <c r="H6" s="144">
        <f>IFERROR(INDEX('T12 Raw Data'!L:L,MATCH("Base rent — AL",'T12 Raw Data'!B:B,0)),0)</f>
        <v/>
      </c>
      <c r="I6" s="144">
        <f>IFERROR(INDEX('T12 Raw Data'!M:M,MATCH("Base rent — AL",'T12 Raw Data'!B:B,0)),0)</f>
        <v/>
      </c>
      <c r="J6" s="144">
        <f>IFERROR(INDEX('T12 Raw Data'!N:N,MATCH("Base rent — AL",'T12 Raw Data'!B:B,0)),0)</f>
        <v/>
      </c>
      <c r="K6" s="144">
        <f>IFERROR(INDEX('T12 Raw Data'!O:O,MATCH("Base rent — AL",'T12 Raw Data'!B:B,0)),0)</f>
        <v/>
      </c>
      <c r="L6" s="144">
        <f>IFERROR(INDEX('T12 Raw Data'!P:P,MATCH("Base rent — AL",'T12 Raw Data'!B:B,0)),0)</f>
        <v/>
      </c>
      <c r="M6" s="144">
        <f>IFERROR(INDEX('T12 Raw Data'!Q:Q,MATCH("Base rent — AL",'T12 Raw Data'!B:B,0)),0)</f>
        <v/>
      </c>
      <c r="N6" s="145">
        <f>SUM(B6:M6)</f>
        <v/>
      </c>
    </row>
    <row r="7" ht="15.75" customHeight="1" s="199">
      <c r="A7" s="83" t="inlineStr">
        <is>
          <t>Base rent — MC</t>
        </is>
      </c>
      <c r="B7" s="144">
        <f>IFERROR(INDEX('T12 Raw Data'!F:F,MATCH("Base rent — MC",'T12 Raw Data'!B:B,0)),0)</f>
        <v/>
      </c>
      <c r="C7" s="144">
        <f>IFERROR(INDEX('T12 Raw Data'!G:G,MATCH("Base rent — MC",'T12 Raw Data'!B:B,0)),0)</f>
        <v/>
      </c>
      <c r="D7" s="144">
        <f>IFERROR(INDEX('T12 Raw Data'!H:H,MATCH("Base rent — MC",'T12 Raw Data'!B:B,0)),0)</f>
        <v/>
      </c>
      <c r="E7" s="144">
        <f>IFERROR(INDEX('T12 Raw Data'!I:I,MATCH("Base rent — MC",'T12 Raw Data'!B:B,0)),0)</f>
        <v/>
      </c>
      <c r="F7" s="144">
        <f>IFERROR(INDEX('T12 Raw Data'!J:J,MATCH("Base rent — MC",'T12 Raw Data'!B:B,0)),0)</f>
        <v/>
      </c>
      <c r="G7" s="144">
        <f>IFERROR(INDEX('T12 Raw Data'!K:K,MATCH("Base rent — MC",'T12 Raw Data'!B:B,0)),0)</f>
        <v/>
      </c>
      <c r="H7" s="144">
        <f>IFERROR(INDEX('T12 Raw Data'!L:L,MATCH("Base rent — MC",'T12 Raw Data'!B:B,0)),0)</f>
        <v/>
      </c>
      <c r="I7" s="144">
        <f>IFERROR(INDEX('T12 Raw Data'!M:M,MATCH("Base rent — MC",'T12 Raw Data'!B:B,0)),0)</f>
        <v/>
      </c>
      <c r="J7" s="144">
        <f>IFERROR(INDEX('T12 Raw Data'!N:N,MATCH("Base rent — MC",'T12 Raw Data'!B:B,0)),0)</f>
        <v/>
      </c>
      <c r="K7" s="144">
        <f>IFERROR(INDEX('T12 Raw Data'!O:O,MATCH("Base rent — MC",'T12 Raw Data'!B:B,0)),0)</f>
        <v/>
      </c>
      <c r="L7" s="144">
        <f>IFERROR(INDEX('T12 Raw Data'!P:P,MATCH("Base rent — MC",'T12 Raw Data'!B:B,0)),0)</f>
        <v/>
      </c>
      <c r="M7" s="144">
        <f>IFERROR(INDEX('T12 Raw Data'!Q:Q,MATCH("Base rent — MC",'T12 Raw Data'!B:B,0)),0)</f>
        <v/>
      </c>
      <c r="N7" s="145">
        <f>SUM(B7:M7)</f>
        <v/>
      </c>
    </row>
    <row r="8" ht="15.75" customHeight="1" s="199">
      <c r="A8" s="146" t="inlineStr">
        <is>
          <t>Total base rent</t>
        </is>
      </c>
      <c r="B8" s="147">
        <f>B5+B6+B7</f>
        <v/>
      </c>
      <c r="C8" s="147">
        <f>C5+C6+C7</f>
        <v/>
      </c>
      <c r="D8" s="147">
        <f>D5+D6+D7</f>
        <v/>
      </c>
      <c r="E8" s="147">
        <f>E5+E6+E7</f>
        <v/>
      </c>
      <c r="F8" s="147">
        <f>F5+F6+F7</f>
        <v/>
      </c>
      <c r="G8" s="147">
        <f>G5+G6+G7</f>
        <v/>
      </c>
      <c r="H8" s="147">
        <f>H5+H6+H7</f>
        <v/>
      </c>
      <c r="I8" s="147">
        <f>I5+I6+I7</f>
        <v/>
      </c>
      <c r="J8" s="147">
        <f>J5+J6+J7</f>
        <v/>
      </c>
      <c r="K8" s="147">
        <f>K5+K6+K7</f>
        <v/>
      </c>
      <c r="L8" s="147">
        <f>L5+L6+L7</f>
        <v/>
      </c>
      <c r="M8" s="147">
        <f>M5+M6+M7</f>
        <v/>
      </c>
      <c r="N8" s="147">
        <f>N5+N6+N7</f>
        <v/>
      </c>
    </row>
    <row r="9" ht="15.75" customHeight="1" s="199">
      <c r="A9" s="148" t="inlineStr">
        <is>
          <t>Gross Potential Rent  (if reported in T12)</t>
        </is>
      </c>
      <c r="B9" s="149">
        <f>IFERROR(INDEX('T12 Raw Data'!F:F,MATCH("Gross Rent Revenue",'T12 Raw Data'!B:B,0)),0)</f>
        <v/>
      </c>
      <c r="C9" s="149">
        <f>IFERROR(INDEX('T12 Raw Data'!G:G,MATCH("Gross Rent Revenue",'T12 Raw Data'!B:B,0)),0)</f>
        <v/>
      </c>
      <c r="D9" s="149">
        <f>IFERROR(INDEX('T12 Raw Data'!H:H,MATCH("Gross Rent Revenue",'T12 Raw Data'!B:B,0)),0)</f>
        <v/>
      </c>
      <c r="E9" s="149">
        <f>IFERROR(INDEX('T12 Raw Data'!I:I,MATCH("Gross Rent Revenue",'T12 Raw Data'!B:B,0)),0)</f>
        <v/>
      </c>
      <c r="F9" s="149">
        <f>IFERROR(INDEX('T12 Raw Data'!J:J,MATCH("Gross Rent Revenue",'T12 Raw Data'!B:B,0)),0)</f>
        <v/>
      </c>
      <c r="G9" s="149">
        <f>IFERROR(INDEX('T12 Raw Data'!K:K,MATCH("Gross Rent Revenue",'T12 Raw Data'!B:B,0)),0)</f>
        <v/>
      </c>
      <c r="H9" s="149">
        <f>IFERROR(INDEX('T12 Raw Data'!L:L,MATCH("Gross Rent Revenue",'T12 Raw Data'!B:B,0)),0)</f>
        <v/>
      </c>
      <c r="I9" s="149">
        <f>IFERROR(INDEX('T12 Raw Data'!M:M,MATCH("Gross Rent Revenue",'T12 Raw Data'!B:B,0)),0)</f>
        <v/>
      </c>
      <c r="J9" s="149">
        <f>IFERROR(INDEX('T12 Raw Data'!N:N,MATCH("Gross Rent Revenue",'T12 Raw Data'!B:B,0)),0)</f>
        <v/>
      </c>
      <c r="K9" s="149">
        <f>IFERROR(INDEX('T12 Raw Data'!O:O,MATCH("Gross Rent Revenue",'T12 Raw Data'!B:B,0)),0)</f>
        <v/>
      </c>
      <c r="L9" s="149">
        <f>IFERROR(INDEX('T12 Raw Data'!P:P,MATCH("Gross Rent Revenue",'T12 Raw Data'!B:B,0)),0)</f>
        <v/>
      </c>
      <c r="M9" s="149">
        <f>IFERROR(INDEX('T12 Raw Data'!Q:Q,MATCH("Gross Rent Revenue",'T12 Raw Data'!B:B,0)),0)</f>
        <v/>
      </c>
      <c r="N9" s="150">
        <f>SUM(B9:M9)</f>
        <v/>
      </c>
    </row>
    <row r="10" ht="15.75" customHeight="1" s="199">
      <c r="A10" s="148" t="inlineStr">
        <is>
          <t>Physical vacancy  (if reported in T12)</t>
        </is>
      </c>
      <c r="B10" s="149">
        <f>IFERROR(INDEX('T12 Raw Data'!F:F,MATCH("Physical Vacancy",'T12 Raw Data'!B:B,0)),0)</f>
        <v/>
      </c>
      <c r="C10" s="149">
        <f>IFERROR(INDEX('T12 Raw Data'!G:G,MATCH("Physical Vacancy",'T12 Raw Data'!B:B,0)),0)</f>
        <v/>
      </c>
      <c r="D10" s="149">
        <f>IFERROR(INDEX('T12 Raw Data'!H:H,MATCH("Physical Vacancy",'T12 Raw Data'!B:B,0)),0)</f>
        <v/>
      </c>
      <c r="E10" s="149">
        <f>IFERROR(INDEX('T12 Raw Data'!I:I,MATCH("Physical Vacancy",'T12 Raw Data'!B:B,0)),0)</f>
        <v/>
      </c>
      <c r="F10" s="149">
        <f>IFERROR(INDEX('T12 Raw Data'!J:J,MATCH("Physical Vacancy",'T12 Raw Data'!B:B,0)),0)</f>
        <v/>
      </c>
      <c r="G10" s="149">
        <f>IFERROR(INDEX('T12 Raw Data'!K:K,MATCH("Physical Vacancy",'T12 Raw Data'!B:B,0)),0)</f>
        <v/>
      </c>
      <c r="H10" s="149">
        <f>IFERROR(INDEX('T12 Raw Data'!L:L,MATCH("Physical Vacancy",'T12 Raw Data'!B:B,0)),0)</f>
        <v/>
      </c>
      <c r="I10" s="149">
        <f>IFERROR(INDEX('T12 Raw Data'!M:M,MATCH("Physical Vacancy",'T12 Raw Data'!B:B,0)),0)</f>
        <v/>
      </c>
      <c r="J10" s="149">
        <f>IFERROR(INDEX('T12 Raw Data'!N:N,MATCH("Physical Vacancy",'T12 Raw Data'!B:B,0)),0)</f>
        <v/>
      </c>
      <c r="K10" s="149">
        <f>IFERROR(INDEX('T12 Raw Data'!O:O,MATCH("Physical Vacancy",'T12 Raw Data'!B:B,0)),0)</f>
        <v/>
      </c>
      <c r="L10" s="149">
        <f>IFERROR(INDEX('T12 Raw Data'!P:P,MATCH("Physical Vacancy",'T12 Raw Data'!B:B,0)),0)</f>
        <v/>
      </c>
      <c r="M10" s="149">
        <f>IFERROR(INDEX('T12 Raw Data'!Q:Q,MATCH("Physical Vacancy",'T12 Raw Data'!B:B,0)),0)</f>
        <v/>
      </c>
      <c r="N10" s="150">
        <f>SUM(B10:M10)</f>
        <v/>
      </c>
    </row>
    <row r="11" ht="15.75" customHeight="1" s="199">
      <c r="A11" s="148" t="inlineStr">
        <is>
          <t>Loss to lease  (if reported in T12)</t>
        </is>
      </c>
      <c r="B11" s="149">
        <f>IFERROR(INDEX('T12 Raw Data'!F:F,MATCH("Loss to Lease",'T12 Raw Data'!B:B,0)),0)</f>
        <v/>
      </c>
      <c r="C11" s="149">
        <f>IFERROR(INDEX('T12 Raw Data'!G:G,MATCH("Loss to Lease",'T12 Raw Data'!B:B,0)),0)</f>
        <v/>
      </c>
      <c r="D11" s="149">
        <f>IFERROR(INDEX('T12 Raw Data'!H:H,MATCH("Loss to Lease",'T12 Raw Data'!B:B,0)),0)</f>
        <v/>
      </c>
      <c r="E11" s="149">
        <f>IFERROR(INDEX('T12 Raw Data'!I:I,MATCH("Loss to Lease",'T12 Raw Data'!B:B,0)),0)</f>
        <v/>
      </c>
      <c r="F11" s="149">
        <f>IFERROR(INDEX('T12 Raw Data'!J:J,MATCH("Loss to Lease",'T12 Raw Data'!B:B,0)),0)</f>
        <v/>
      </c>
      <c r="G11" s="149">
        <f>IFERROR(INDEX('T12 Raw Data'!K:K,MATCH("Loss to Lease",'T12 Raw Data'!B:B,0)),0)</f>
        <v/>
      </c>
      <c r="H11" s="149">
        <f>IFERROR(INDEX('T12 Raw Data'!L:L,MATCH("Loss to Lease",'T12 Raw Data'!B:B,0)),0)</f>
        <v/>
      </c>
      <c r="I11" s="149">
        <f>IFERROR(INDEX('T12 Raw Data'!M:M,MATCH("Loss to Lease",'T12 Raw Data'!B:B,0)),0)</f>
        <v/>
      </c>
      <c r="J11" s="149">
        <f>IFERROR(INDEX('T12 Raw Data'!N:N,MATCH("Loss to Lease",'T12 Raw Data'!B:B,0)),0)</f>
        <v/>
      </c>
      <c r="K11" s="149">
        <f>IFERROR(INDEX('T12 Raw Data'!O:O,MATCH("Loss to Lease",'T12 Raw Data'!B:B,0)),0)</f>
        <v/>
      </c>
      <c r="L11" s="149">
        <f>IFERROR(INDEX('T12 Raw Data'!P:P,MATCH("Loss to Lease",'T12 Raw Data'!B:B,0)),0)</f>
        <v/>
      </c>
      <c r="M11" s="149">
        <f>IFERROR(INDEX('T12 Raw Data'!Q:Q,MATCH("Loss to Lease",'T12 Raw Data'!B:B,0)),0)</f>
        <v/>
      </c>
      <c r="N11" s="150">
        <f>SUM(B11:M11)</f>
        <v/>
      </c>
    </row>
    <row r="12" ht="15.75" customHeight="1" s="199">
      <c r="A12" s="83" t="inlineStr">
        <is>
          <t>LOC revenue — IL</t>
        </is>
      </c>
      <c r="B12" s="144">
        <f>IFERROR(INDEX('T12 Raw Data'!F:F,MATCH("LOC revenue — IL",'T12 Raw Data'!B:B,0)),0)</f>
        <v/>
      </c>
      <c r="C12" s="144">
        <f>IFERROR(INDEX('T12 Raw Data'!G:G,MATCH("LOC revenue — IL",'T12 Raw Data'!B:B,0)),0)</f>
        <v/>
      </c>
      <c r="D12" s="144">
        <f>IFERROR(INDEX('T12 Raw Data'!H:H,MATCH("LOC revenue — IL",'T12 Raw Data'!B:B,0)),0)</f>
        <v/>
      </c>
      <c r="E12" s="144">
        <f>IFERROR(INDEX('T12 Raw Data'!I:I,MATCH("LOC revenue — IL",'T12 Raw Data'!B:B,0)),0)</f>
        <v/>
      </c>
      <c r="F12" s="144">
        <f>IFERROR(INDEX('T12 Raw Data'!J:J,MATCH("LOC revenue — IL",'T12 Raw Data'!B:B,0)),0)</f>
        <v/>
      </c>
      <c r="G12" s="144">
        <f>IFERROR(INDEX('T12 Raw Data'!K:K,MATCH("LOC revenue — IL",'T12 Raw Data'!B:B,0)),0)</f>
        <v/>
      </c>
      <c r="H12" s="144">
        <f>IFERROR(INDEX('T12 Raw Data'!L:L,MATCH("LOC revenue — IL",'T12 Raw Data'!B:B,0)),0)</f>
        <v/>
      </c>
      <c r="I12" s="144">
        <f>IFERROR(INDEX('T12 Raw Data'!M:M,MATCH("LOC revenue — IL",'T12 Raw Data'!B:B,0)),0)</f>
        <v/>
      </c>
      <c r="J12" s="144">
        <f>IFERROR(INDEX('T12 Raw Data'!N:N,MATCH("LOC revenue — IL",'T12 Raw Data'!B:B,0)),0)</f>
        <v/>
      </c>
      <c r="K12" s="144">
        <f>IFERROR(INDEX('T12 Raw Data'!O:O,MATCH("LOC revenue — IL",'T12 Raw Data'!B:B,0)),0)</f>
        <v/>
      </c>
      <c r="L12" s="144">
        <f>IFERROR(INDEX('T12 Raw Data'!P:P,MATCH("LOC revenue — IL",'T12 Raw Data'!B:B,0)),0)</f>
        <v/>
      </c>
      <c r="M12" s="144">
        <f>IFERROR(INDEX('T12 Raw Data'!Q:Q,MATCH("LOC revenue — IL",'T12 Raw Data'!B:B,0)),0)</f>
        <v/>
      </c>
      <c r="N12" s="145">
        <f>SUM(B12:M12)</f>
        <v/>
      </c>
    </row>
    <row r="13" ht="15.75" customHeight="1" s="199">
      <c r="A13" s="83" t="inlineStr">
        <is>
          <t>LOC revenue — AL</t>
        </is>
      </c>
      <c r="B13" s="144">
        <f>IFERROR(INDEX('T12 Raw Data'!F:F,MATCH("LOC revenue — AL",'T12 Raw Data'!B:B,0)),0)</f>
        <v/>
      </c>
      <c r="C13" s="144">
        <f>IFERROR(INDEX('T12 Raw Data'!G:G,MATCH("LOC revenue — AL",'T12 Raw Data'!B:B,0)),0)</f>
        <v/>
      </c>
      <c r="D13" s="144">
        <f>IFERROR(INDEX('T12 Raw Data'!H:H,MATCH("LOC revenue — AL",'T12 Raw Data'!B:B,0)),0)</f>
        <v/>
      </c>
      <c r="E13" s="144">
        <f>IFERROR(INDEX('T12 Raw Data'!I:I,MATCH("LOC revenue — AL",'T12 Raw Data'!B:B,0)),0)</f>
        <v/>
      </c>
      <c r="F13" s="144">
        <f>IFERROR(INDEX('T12 Raw Data'!J:J,MATCH("LOC revenue — AL",'T12 Raw Data'!B:B,0)),0)</f>
        <v/>
      </c>
      <c r="G13" s="144">
        <f>IFERROR(INDEX('T12 Raw Data'!K:K,MATCH("LOC revenue — AL",'T12 Raw Data'!B:B,0)),0)</f>
        <v/>
      </c>
      <c r="H13" s="144">
        <f>IFERROR(INDEX('T12 Raw Data'!L:L,MATCH("LOC revenue — AL",'T12 Raw Data'!B:B,0)),0)</f>
        <v/>
      </c>
      <c r="I13" s="144">
        <f>IFERROR(INDEX('T12 Raw Data'!M:M,MATCH("LOC revenue — AL",'T12 Raw Data'!B:B,0)),0)</f>
        <v/>
      </c>
      <c r="J13" s="144">
        <f>IFERROR(INDEX('T12 Raw Data'!N:N,MATCH("LOC revenue — AL",'T12 Raw Data'!B:B,0)),0)</f>
        <v/>
      </c>
      <c r="K13" s="144">
        <f>IFERROR(INDEX('T12 Raw Data'!O:O,MATCH("LOC revenue — AL",'T12 Raw Data'!B:B,0)),0)</f>
        <v/>
      </c>
      <c r="L13" s="144">
        <f>IFERROR(INDEX('T12 Raw Data'!P:P,MATCH("LOC revenue — AL",'T12 Raw Data'!B:B,0)),0)</f>
        <v/>
      </c>
      <c r="M13" s="144">
        <f>IFERROR(INDEX('T12 Raw Data'!Q:Q,MATCH("LOC revenue — AL",'T12 Raw Data'!B:B,0)),0)</f>
        <v/>
      </c>
      <c r="N13" s="145">
        <f>SUM(B13:M13)</f>
        <v/>
      </c>
    </row>
    <row r="14" ht="15.75" customHeight="1" s="199">
      <c r="A14" s="83" t="inlineStr">
        <is>
          <t>LOC revenue — MC</t>
        </is>
      </c>
      <c r="B14" s="144">
        <f>IFERROR(INDEX('T12 Raw Data'!F:F,MATCH("LOC revenue — MC",'T12 Raw Data'!B:B,0)),0)</f>
        <v/>
      </c>
      <c r="C14" s="144">
        <f>IFERROR(INDEX('T12 Raw Data'!G:G,MATCH("LOC revenue — MC",'T12 Raw Data'!B:B,0)),0)</f>
        <v/>
      </c>
      <c r="D14" s="144">
        <f>IFERROR(INDEX('T12 Raw Data'!H:H,MATCH("LOC revenue — MC",'T12 Raw Data'!B:B,0)),0)</f>
        <v/>
      </c>
      <c r="E14" s="144">
        <f>IFERROR(INDEX('T12 Raw Data'!I:I,MATCH("LOC revenue — MC",'T12 Raw Data'!B:B,0)),0)</f>
        <v/>
      </c>
      <c r="F14" s="144">
        <f>IFERROR(INDEX('T12 Raw Data'!J:J,MATCH("LOC revenue — MC",'T12 Raw Data'!B:B,0)),0)</f>
        <v/>
      </c>
      <c r="G14" s="144">
        <f>IFERROR(INDEX('T12 Raw Data'!K:K,MATCH("LOC revenue — MC",'T12 Raw Data'!B:B,0)),0)</f>
        <v/>
      </c>
      <c r="H14" s="144">
        <f>IFERROR(INDEX('T12 Raw Data'!L:L,MATCH("LOC revenue — MC",'T12 Raw Data'!B:B,0)),0)</f>
        <v/>
      </c>
      <c r="I14" s="144">
        <f>IFERROR(INDEX('T12 Raw Data'!M:M,MATCH("LOC revenue — MC",'T12 Raw Data'!B:B,0)),0)</f>
        <v/>
      </c>
      <c r="J14" s="144">
        <f>IFERROR(INDEX('T12 Raw Data'!N:N,MATCH("LOC revenue — MC",'T12 Raw Data'!B:B,0)),0)</f>
        <v/>
      </c>
      <c r="K14" s="144">
        <f>IFERROR(INDEX('T12 Raw Data'!O:O,MATCH("LOC revenue — MC",'T12 Raw Data'!B:B,0)),0)</f>
        <v/>
      </c>
      <c r="L14" s="144">
        <f>IFERROR(INDEX('T12 Raw Data'!P:P,MATCH("LOC revenue — MC",'T12 Raw Data'!B:B,0)),0)</f>
        <v/>
      </c>
      <c r="M14" s="144">
        <f>IFERROR(INDEX('T12 Raw Data'!Q:Q,MATCH("LOC revenue — MC",'T12 Raw Data'!B:B,0)),0)</f>
        <v/>
      </c>
      <c r="N14" s="145">
        <f>SUM(B14:M14)</f>
        <v/>
      </c>
    </row>
    <row r="15" ht="15.75" customHeight="1" s="199">
      <c r="A15" s="146" t="inlineStr">
        <is>
          <t>Total LOC revenue</t>
        </is>
      </c>
      <c r="B15" s="147">
        <f>B12+B13+B14</f>
        <v/>
      </c>
      <c r="C15" s="147">
        <f>C12+C13+C14</f>
        <v/>
      </c>
      <c r="D15" s="147">
        <f>D12+D13+D14</f>
        <v/>
      </c>
      <c r="E15" s="147">
        <f>E12+E13+E14</f>
        <v/>
      </c>
      <c r="F15" s="147">
        <f>F12+F13+F14</f>
        <v/>
      </c>
      <c r="G15" s="147">
        <f>G12+G13+G14</f>
        <v/>
      </c>
      <c r="H15" s="147">
        <f>H12+H13+H14</f>
        <v/>
      </c>
      <c r="I15" s="147">
        <f>I12+I13+I14</f>
        <v/>
      </c>
      <c r="J15" s="147">
        <f>J12+J13+J14</f>
        <v/>
      </c>
      <c r="K15" s="147">
        <f>K12+K13+K14</f>
        <v/>
      </c>
      <c r="L15" s="147">
        <f>L12+L13+L14</f>
        <v/>
      </c>
      <c r="M15" s="147">
        <f>M12+M13+M14</f>
        <v/>
      </c>
      <c r="N15" s="147">
        <f>N12+N13+N14</f>
        <v/>
      </c>
    </row>
    <row r="16" ht="15.75" customHeight="1" s="199">
      <c r="A16" s="83" t="inlineStr">
        <is>
          <t>Community / move-in fees</t>
        </is>
      </c>
      <c r="B16" s="144">
        <f>IFERROR(INDEX('T12 Raw Data'!F:F,MATCH("Community / move-in fees",'T12 Raw Data'!B:B,0)),0)</f>
        <v/>
      </c>
      <c r="C16" s="144">
        <f>IFERROR(INDEX('T12 Raw Data'!G:G,MATCH("Community / move-in fees",'T12 Raw Data'!B:B,0)),0)</f>
        <v/>
      </c>
      <c r="D16" s="144">
        <f>IFERROR(INDEX('T12 Raw Data'!H:H,MATCH("Community / move-in fees",'T12 Raw Data'!B:B,0)),0)</f>
        <v/>
      </c>
      <c r="E16" s="144">
        <f>IFERROR(INDEX('T12 Raw Data'!I:I,MATCH("Community / move-in fees",'T12 Raw Data'!B:B,0)),0)</f>
        <v/>
      </c>
      <c r="F16" s="144">
        <f>IFERROR(INDEX('T12 Raw Data'!J:J,MATCH("Community / move-in fees",'T12 Raw Data'!B:B,0)),0)</f>
        <v/>
      </c>
      <c r="G16" s="144">
        <f>IFERROR(INDEX('T12 Raw Data'!K:K,MATCH("Community / move-in fees",'T12 Raw Data'!B:B,0)),0)</f>
        <v/>
      </c>
      <c r="H16" s="144">
        <f>IFERROR(INDEX('T12 Raw Data'!L:L,MATCH("Community / move-in fees",'T12 Raw Data'!B:B,0)),0)</f>
        <v/>
      </c>
      <c r="I16" s="144">
        <f>IFERROR(INDEX('T12 Raw Data'!M:M,MATCH("Community / move-in fees",'T12 Raw Data'!B:B,0)),0)</f>
        <v/>
      </c>
      <c r="J16" s="144">
        <f>IFERROR(INDEX('T12 Raw Data'!N:N,MATCH("Community / move-in fees",'T12 Raw Data'!B:B,0)),0)</f>
        <v/>
      </c>
      <c r="K16" s="144">
        <f>IFERROR(INDEX('T12 Raw Data'!O:O,MATCH("Community / move-in fees",'T12 Raw Data'!B:B,0)),0)</f>
        <v/>
      </c>
      <c r="L16" s="144">
        <f>IFERROR(INDEX('T12 Raw Data'!P:P,MATCH("Community / move-in fees",'T12 Raw Data'!B:B,0)),0)</f>
        <v/>
      </c>
      <c r="M16" s="144">
        <f>IFERROR(INDEX('T12 Raw Data'!Q:Q,MATCH("Community / move-in fees",'T12 Raw Data'!B:B,0)),0)</f>
        <v/>
      </c>
      <c r="N16" s="145">
        <f>SUM(B16:M16)</f>
        <v/>
      </c>
    </row>
    <row r="17" ht="15.75" customHeight="1" s="199">
      <c r="A17" s="83" t="inlineStr">
        <is>
          <t>Concessions &amp; specials</t>
        </is>
      </c>
      <c r="B17" s="144">
        <f>IFERROR(INDEX('T12 Raw Data'!F:F,MATCH("Concessions &amp; specials",'T12 Raw Data'!B:B,0)),0)</f>
        <v/>
      </c>
      <c r="C17" s="144">
        <f>IFERROR(INDEX('T12 Raw Data'!G:G,MATCH("Concessions &amp; specials",'T12 Raw Data'!B:B,0)),0)</f>
        <v/>
      </c>
      <c r="D17" s="144">
        <f>IFERROR(INDEX('T12 Raw Data'!H:H,MATCH("Concessions &amp; specials",'T12 Raw Data'!B:B,0)),0)</f>
        <v/>
      </c>
      <c r="E17" s="144">
        <f>IFERROR(INDEX('T12 Raw Data'!I:I,MATCH("Concessions &amp; specials",'T12 Raw Data'!B:B,0)),0)</f>
        <v/>
      </c>
      <c r="F17" s="144">
        <f>IFERROR(INDEX('T12 Raw Data'!J:J,MATCH("Concessions &amp; specials",'T12 Raw Data'!B:B,0)),0)</f>
        <v/>
      </c>
      <c r="G17" s="144">
        <f>IFERROR(INDEX('T12 Raw Data'!K:K,MATCH("Concessions &amp; specials",'T12 Raw Data'!B:B,0)),0)</f>
        <v/>
      </c>
      <c r="H17" s="144">
        <f>IFERROR(INDEX('T12 Raw Data'!L:L,MATCH("Concessions &amp; specials",'T12 Raw Data'!B:B,0)),0)</f>
        <v/>
      </c>
      <c r="I17" s="144">
        <f>IFERROR(INDEX('T12 Raw Data'!M:M,MATCH("Concessions &amp; specials",'T12 Raw Data'!B:B,0)),0)</f>
        <v/>
      </c>
      <c r="J17" s="144">
        <f>IFERROR(INDEX('T12 Raw Data'!N:N,MATCH("Concessions &amp; specials",'T12 Raw Data'!B:B,0)),0)</f>
        <v/>
      </c>
      <c r="K17" s="144">
        <f>IFERROR(INDEX('T12 Raw Data'!O:O,MATCH("Concessions &amp; specials",'T12 Raw Data'!B:B,0)),0)</f>
        <v/>
      </c>
      <c r="L17" s="144">
        <f>IFERROR(INDEX('T12 Raw Data'!P:P,MATCH("Concessions &amp; specials",'T12 Raw Data'!B:B,0)),0)</f>
        <v/>
      </c>
      <c r="M17" s="144">
        <f>IFERROR(INDEX('T12 Raw Data'!Q:Q,MATCH("Concessions &amp; specials",'T12 Raw Data'!B:B,0)),0)</f>
        <v/>
      </c>
      <c r="N17" s="145">
        <f>SUM(B17:M17)</f>
        <v/>
      </c>
    </row>
    <row r="18" ht="15.75" customHeight="1" s="199">
      <c r="A18" s="83" t="inlineStr">
        <is>
          <t>Respite care</t>
        </is>
      </c>
      <c r="B18" s="144">
        <f>IFERROR(INDEX('T12 Raw Data'!F:F,MATCH("Respite care",'T12 Raw Data'!B:B,0)),0)</f>
        <v/>
      </c>
      <c r="C18" s="144">
        <f>IFERROR(INDEX('T12 Raw Data'!G:G,MATCH("Respite care",'T12 Raw Data'!B:B,0)),0)</f>
        <v/>
      </c>
      <c r="D18" s="144">
        <f>IFERROR(INDEX('T12 Raw Data'!H:H,MATCH("Respite care",'T12 Raw Data'!B:B,0)),0)</f>
        <v/>
      </c>
      <c r="E18" s="144">
        <f>IFERROR(INDEX('T12 Raw Data'!I:I,MATCH("Respite care",'T12 Raw Data'!B:B,0)),0)</f>
        <v/>
      </c>
      <c r="F18" s="144">
        <f>IFERROR(INDEX('T12 Raw Data'!J:J,MATCH("Respite care",'T12 Raw Data'!B:B,0)),0)</f>
        <v/>
      </c>
      <c r="G18" s="144">
        <f>IFERROR(INDEX('T12 Raw Data'!K:K,MATCH("Respite care",'T12 Raw Data'!B:B,0)),0)</f>
        <v/>
      </c>
      <c r="H18" s="144">
        <f>IFERROR(INDEX('T12 Raw Data'!L:L,MATCH("Respite care",'T12 Raw Data'!B:B,0)),0)</f>
        <v/>
      </c>
      <c r="I18" s="144">
        <f>IFERROR(INDEX('T12 Raw Data'!M:M,MATCH("Respite care",'T12 Raw Data'!B:B,0)),0)</f>
        <v/>
      </c>
      <c r="J18" s="144">
        <f>IFERROR(INDEX('T12 Raw Data'!N:N,MATCH("Respite care",'T12 Raw Data'!B:B,0)),0)</f>
        <v/>
      </c>
      <c r="K18" s="144">
        <f>IFERROR(INDEX('T12 Raw Data'!O:O,MATCH("Respite care",'T12 Raw Data'!B:B,0)),0)</f>
        <v/>
      </c>
      <c r="L18" s="144">
        <f>IFERROR(INDEX('T12 Raw Data'!P:P,MATCH("Respite care",'T12 Raw Data'!B:B,0)),0)</f>
        <v/>
      </c>
      <c r="M18" s="144">
        <f>IFERROR(INDEX('T12 Raw Data'!Q:Q,MATCH("Respite care",'T12 Raw Data'!B:B,0)),0)</f>
        <v/>
      </c>
      <c r="N18" s="145">
        <f>SUM(B18:M18)</f>
        <v/>
      </c>
    </row>
    <row r="19" ht="15.75" customHeight="1" s="199">
      <c r="A19" s="83" t="inlineStr">
        <is>
          <t>2nd Person Revenue</t>
        </is>
      </c>
      <c r="B19" s="144">
        <f>IFERROR(INDEX('T12 Raw Data'!F:F,MATCH("2nd Person Revenue",'T12 Raw Data'!B:B,0)),0)</f>
        <v/>
      </c>
      <c r="C19" s="144">
        <f>IFERROR(INDEX('T12 Raw Data'!G:G,MATCH("2nd Person Revenue",'T12 Raw Data'!B:B,0)),0)</f>
        <v/>
      </c>
      <c r="D19" s="144">
        <f>IFERROR(INDEX('T12 Raw Data'!H:H,MATCH("2nd Person Revenue",'T12 Raw Data'!B:B,0)),0)</f>
        <v/>
      </c>
      <c r="E19" s="144">
        <f>IFERROR(INDEX('T12 Raw Data'!I:I,MATCH("2nd Person Revenue",'T12 Raw Data'!B:B,0)),0)</f>
        <v/>
      </c>
      <c r="F19" s="144">
        <f>IFERROR(INDEX('T12 Raw Data'!J:J,MATCH("2nd Person Revenue",'T12 Raw Data'!B:B,0)),0)</f>
        <v/>
      </c>
      <c r="G19" s="144">
        <f>IFERROR(INDEX('T12 Raw Data'!K:K,MATCH("2nd Person Revenue",'T12 Raw Data'!B:B,0)),0)</f>
        <v/>
      </c>
      <c r="H19" s="144">
        <f>IFERROR(INDEX('T12 Raw Data'!L:L,MATCH("2nd Person Revenue",'T12 Raw Data'!B:B,0)),0)</f>
        <v/>
      </c>
      <c r="I19" s="144">
        <f>IFERROR(INDEX('T12 Raw Data'!M:M,MATCH("2nd Person Revenue",'T12 Raw Data'!B:B,0)),0)</f>
        <v/>
      </c>
      <c r="J19" s="144">
        <f>IFERROR(INDEX('T12 Raw Data'!N:N,MATCH("2nd Person Revenue",'T12 Raw Data'!B:B,0)),0)</f>
        <v/>
      </c>
      <c r="K19" s="144">
        <f>IFERROR(INDEX('T12 Raw Data'!O:O,MATCH("2nd Person Revenue",'T12 Raw Data'!B:B,0)),0)</f>
        <v/>
      </c>
      <c r="L19" s="144">
        <f>IFERROR(INDEX('T12 Raw Data'!P:P,MATCH("2nd Person Revenue",'T12 Raw Data'!B:B,0)),0)</f>
        <v/>
      </c>
      <c r="M19" s="144">
        <f>IFERROR(INDEX('T12 Raw Data'!Q:Q,MATCH("2nd Person Revenue",'T12 Raw Data'!B:B,0)),0)</f>
        <v/>
      </c>
      <c r="N19" s="145">
        <f>SUM(B19:M19)</f>
        <v/>
      </c>
    </row>
    <row r="20" ht="15.75" customHeight="1" s="199">
      <c r="A20" s="83" t="inlineStr">
        <is>
          <t>Meal Income</t>
        </is>
      </c>
      <c r="B20" s="144">
        <f>IFERROR(INDEX('T12 Raw Data'!F:F,MATCH("Meal Income",'T12 Raw Data'!B:B,0)),0)</f>
        <v/>
      </c>
      <c r="C20" s="144">
        <f>IFERROR(INDEX('T12 Raw Data'!G:G,MATCH("Meal Income",'T12 Raw Data'!B:B,0)),0)</f>
        <v/>
      </c>
      <c r="D20" s="144">
        <f>IFERROR(INDEX('T12 Raw Data'!H:H,MATCH("Meal Income",'T12 Raw Data'!B:B,0)),0)</f>
        <v/>
      </c>
      <c r="E20" s="144">
        <f>IFERROR(INDEX('T12 Raw Data'!I:I,MATCH("Meal Income",'T12 Raw Data'!B:B,0)),0)</f>
        <v/>
      </c>
      <c r="F20" s="144">
        <f>IFERROR(INDEX('T12 Raw Data'!J:J,MATCH("Meal Income",'T12 Raw Data'!B:B,0)),0)</f>
        <v/>
      </c>
      <c r="G20" s="144">
        <f>IFERROR(INDEX('T12 Raw Data'!K:K,MATCH("Meal Income",'T12 Raw Data'!B:B,0)),0)</f>
        <v/>
      </c>
      <c r="H20" s="144">
        <f>IFERROR(INDEX('T12 Raw Data'!L:L,MATCH("Meal Income",'T12 Raw Data'!B:B,0)),0)</f>
        <v/>
      </c>
      <c r="I20" s="144">
        <f>IFERROR(INDEX('T12 Raw Data'!M:M,MATCH("Meal Income",'T12 Raw Data'!B:B,0)),0)</f>
        <v/>
      </c>
      <c r="J20" s="144">
        <f>IFERROR(INDEX('T12 Raw Data'!N:N,MATCH("Meal Income",'T12 Raw Data'!B:B,0)),0)</f>
        <v/>
      </c>
      <c r="K20" s="144">
        <f>IFERROR(INDEX('T12 Raw Data'!O:O,MATCH("Meal Income",'T12 Raw Data'!B:B,0)),0)</f>
        <v/>
      </c>
      <c r="L20" s="144">
        <f>IFERROR(INDEX('T12 Raw Data'!P:P,MATCH("Meal Income",'T12 Raw Data'!B:B,0)),0)</f>
        <v/>
      </c>
      <c r="M20" s="144">
        <f>IFERROR(INDEX('T12 Raw Data'!Q:Q,MATCH("Meal Income",'T12 Raw Data'!B:B,0)),0)</f>
        <v/>
      </c>
      <c r="N20" s="145">
        <f>SUM(B20:M20)</f>
        <v/>
      </c>
    </row>
    <row r="21" ht="18" customHeight="1" s="199">
      <c r="A21" s="83" t="inlineStr">
        <is>
          <t>Housekeeping Income</t>
        </is>
      </c>
      <c r="B21" s="144">
        <f>IFERROR(INDEX('T12 Raw Data'!F:F,MATCH("Housekeeping Income",'T12 Raw Data'!B:B,0)),0)</f>
        <v/>
      </c>
      <c r="C21" s="144">
        <f>IFERROR(INDEX('T12 Raw Data'!G:G,MATCH("Housekeeping Income",'T12 Raw Data'!B:B,0)),0)</f>
        <v/>
      </c>
      <c r="D21" s="144">
        <f>IFERROR(INDEX('T12 Raw Data'!H:H,MATCH("Housekeeping Income",'T12 Raw Data'!B:B,0)),0)</f>
        <v/>
      </c>
      <c r="E21" s="144">
        <f>IFERROR(INDEX('T12 Raw Data'!I:I,MATCH("Housekeeping Income",'T12 Raw Data'!B:B,0)),0)</f>
        <v/>
      </c>
      <c r="F21" s="144">
        <f>IFERROR(INDEX('T12 Raw Data'!J:J,MATCH("Housekeeping Income",'T12 Raw Data'!B:B,0)),0)</f>
        <v/>
      </c>
      <c r="G21" s="144">
        <f>IFERROR(INDEX('T12 Raw Data'!K:K,MATCH("Housekeeping Income",'T12 Raw Data'!B:B,0)),0)</f>
        <v/>
      </c>
      <c r="H21" s="144">
        <f>IFERROR(INDEX('T12 Raw Data'!L:L,MATCH("Housekeeping Income",'T12 Raw Data'!B:B,0)),0)</f>
        <v/>
      </c>
      <c r="I21" s="144">
        <f>IFERROR(INDEX('T12 Raw Data'!M:M,MATCH("Housekeeping Income",'T12 Raw Data'!B:B,0)),0)</f>
        <v/>
      </c>
      <c r="J21" s="144">
        <f>IFERROR(INDEX('T12 Raw Data'!N:N,MATCH("Housekeeping Income",'T12 Raw Data'!B:B,0)),0)</f>
        <v/>
      </c>
      <c r="K21" s="144">
        <f>IFERROR(INDEX('T12 Raw Data'!O:O,MATCH("Housekeeping Income",'T12 Raw Data'!B:B,0)),0)</f>
        <v/>
      </c>
      <c r="L21" s="144">
        <f>IFERROR(INDEX('T12 Raw Data'!P:P,MATCH("Housekeeping Income",'T12 Raw Data'!B:B,0)),0)</f>
        <v/>
      </c>
      <c r="M21" s="144">
        <f>IFERROR(INDEX('T12 Raw Data'!Q:Q,MATCH("Housekeeping Income",'T12 Raw Data'!B:B,0)),0)</f>
        <v/>
      </c>
      <c r="N21" s="145">
        <f>SUM(B21:M21)</f>
        <v/>
      </c>
    </row>
    <row r="22" ht="15.75" customHeight="1" s="199">
      <c r="A22" s="83" t="inlineStr">
        <is>
          <t>Laundry Income</t>
        </is>
      </c>
      <c r="B22" s="144">
        <f>IFERROR(INDEX('T12 Raw Data'!F:F,MATCH("Laundry Income",'T12 Raw Data'!B:B,0)),0)</f>
        <v/>
      </c>
      <c r="C22" s="144">
        <f>IFERROR(INDEX('T12 Raw Data'!G:G,MATCH("Laundry Income",'T12 Raw Data'!B:B,0)),0)</f>
        <v/>
      </c>
      <c r="D22" s="144">
        <f>IFERROR(INDEX('T12 Raw Data'!H:H,MATCH("Laundry Income",'T12 Raw Data'!B:B,0)),0)</f>
        <v/>
      </c>
      <c r="E22" s="144">
        <f>IFERROR(INDEX('T12 Raw Data'!I:I,MATCH("Laundry Income",'T12 Raw Data'!B:B,0)),0)</f>
        <v/>
      </c>
      <c r="F22" s="144">
        <f>IFERROR(INDEX('T12 Raw Data'!J:J,MATCH("Laundry Income",'T12 Raw Data'!B:B,0)),0)</f>
        <v/>
      </c>
      <c r="G22" s="144">
        <f>IFERROR(INDEX('T12 Raw Data'!K:K,MATCH("Laundry Income",'T12 Raw Data'!B:B,0)),0)</f>
        <v/>
      </c>
      <c r="H22" s="144">
        <f>IFERROR(INDEX('T12 Raw Data'!L:L,MATCH("Laundry Income",'T12 Raw Data'!B:B,0)),0)</f>
        <v/>
      </c>
      <c r="I22" s="144">
        <f>IFERROR(INDEX('T12 Raw Data'!M:M,MATCH("Laundry Income",'T12 Raw Data'!B:B,0)),0)</f>
        <v/>
      </c>
      <c r="J22" s="144">
        <f>IFERROR(INDEX('T12 Raw Data'!N:N,MATCH("Laundry Income",'T12 Raw Data'!B:B,0)),0)</f>
        <v/>
      </c>
      <c r="K22" s="144">
        <f>IFERROR(INDEX('T12 Raw Data'!O:O,MATCH("Laundry Income",'T12 Raw Data'!B:B,0)),0)</f>
        <v/>
      </c>
      <c r="L22" s="144">
        <f>IFERROR(INDEX('T12 Raw Data'!P:P,MATCH("Laundry Income",'T12 Raw Data'!B:B,0)),0)</f>
        <v/>
      </c>
      <c r="M22" s="144">
        <f>IFERROR(INDEX('T12 Raw Data'!Q:Q,MATCH("Laundry Income",'T12 Raw Data'!B:B,0)),0)</f>
        <v/>
      </c>
      <c r="N22" s="145">
        <f>SUM(B22:M22)</f>
        <v/>
      </c>
    </row>
    <row r="23" ht="15.75" customHeight="1" s="199">
      <c r="A23" s="83" t="inlineStr">
        <is>
          <t>Scooter Fee Revenue</t>
        </is>
      </c>
      <c r="B23" s="144">
        <f>IFERROR(INDEX('T12 Raw Data'!F:F,MATCH("Scooter Fee Revenue",'T12 Raw Data'!B:B,0)),0)</f>
        <v/>
      </c>
      <c r="C23" s="144">
        <f>IFERROR(INDEX('T12 Raw Data'!G:G,MATCH("Scooter Fee Revenue",'T12 Raw Data'!B:B,0)),0)</f>
        <v/>
      </c>
      <c r="D23" s="144">
        <f>IFERROR(INDEX('T12 Raw Data'!H:H,MATCH("Scooter Fee Revenue",'T12 Raw Data'!B:B,0)),0)</f>
        <v/>
      </c>
      <c r="E23" s="144">
        <f>IFERROR(INDEX('T12 Raw Data'!I:I,MATCH("Scooter Fee Revenue",'T12 Raw Data'!B:B,0)),0)</f>
        <v/>
      </c>
      <c r="F23" s="144">
        <f>IFERROR(INDEX('T12 Raw Data'!J:J,MATCH("Scooter Fee Revenue",'T12 Raw Data'!B:B,0)),0)</f>
        <v/>
      </c>
      <c r="G23" s="144">
        <f>IFERROR(INDEX('T12 Raw Data'!K:K,MATCH("Scooter Fee Revenue",'T12 Raw Data'!B:B,0)),0)</f>
        <v/>
      </c>
      <c r="H23" s="144">
        <f>IFERROR(INDEX('T12 Raw Data'!L:L,MATCH("Scooter Fee Revenue",'T12 Raw Data'!B:B,0)),0)</f>
        <v/>
      </c>
      <c r="I23" s="144">
        <f>IFERROR(INDEX('T12 Raw Data'!M:M,MATCH("Scooter Fee Revenue",'T12 Raw Data'!B:B,0)),0)</f>
        <v/>
      </c>
      <c r="J23" s="144">
        <f>IFERROR(INDEX('T12 Raw Data'!N:N,MATCH("Scooter Fee Revenue",'T12 Raw Data'!B:B,0)),0)</f>
        <v/>
      </c>
      <c r="K23" s="144">
        <f>IFERROR(INDEX('T12 Raw Data'!O:O,MATCH("Scooter Fee Revenue",'T12 Raw Data'!B:B,0)),0)</f>
        <v/>
      </c>
      <c r="L23" s="144">
        <f>IFERROR(INDEX('T12 Raw Data'!P:P,MATCH("Scooter Fee Revenue",'T12 Raw Data'!B:B,0)),0)</f>
        <v/>
      </c>
      <c r="M23" s="144">
        <f>IFERROR(INDEX('T12 Raw Data'!Q:Q,MATCH("Scooter Fee Revenue",'T12 Raw Data'!B:B,0)),0)</f>
        <v/>
      </c>
      <c r="N23" s="145">
        <f>SUM(B23:M23)</f>
        <v/>
      </c>
    </row>
    <row r="24" ht="15.75" customHeight="1" s="199">
      <c r="A24" s="83" t="inlineStr">
        <is>
          <t>Transfer Fee Revenue</t>
        </is>
      </c>
      <c r="B24" s="144">
        <f>IFERROR(INDEX('T12 Raw Data'!F:F,MATCH("Transfer Fee Revenue",'T12 Raw Data'!B:B,0)),0)</f>
        <v/>
      </c>
      <c r="C24" s="144">
        <f>IFERROR(INDEX('T12 Raw Data'!G:G,MATCH("Transfer Fee Revenue",'T12 Raw Data'!B:B,0)),0)</f>
        <v/>
      </c>
      <c r="D24" s="144">
        <f>IFERROR(INDEX('T12 Raw Data'!H:H,MATCH("Transfer Fee Revenue",'T12 Raw Data'!B:B,0)),0)</f>
        <v/>
      </c>
      <c r="E24" s="144">
        <f>IFERROR(INDEX('T12 Raw Data'!I:I,MATCH("Transfer Fee Revenue",'T12 Raw Data'!B:B,0)),0)</f>
        <v/>
      </c>
      <c r="F24" s="144">
        <f>IFERROR(INDEX('T12 Raw Data'!J:J,MATCH("Transfer Fee Revenue",'T12 Raw Data'!B:B,0)),0)</f>
        <v/>
      </c>
      <c r="G24" s="144">
        <f>IFERROR(INDEX('T12 Raw Data'!K:K,MATCH("Transfer Fee Revenue",'T12 Raw Data'!B:B,0)),0)</f>
        <v/>
      </c>
      <c r="H24" s="144">
        <f>IFERROR(INDEX('T12 Raw Data'!L:L,MATCH("Transfer Fee Revenue",'T12 Raw Data'!B:B,0)),0)</f>
        <v/>
      </c>
      <c r="I24" s="144">
        <f>IFERROR(INDEX('T12 Raw Data'!M:M,MATCH("Transfer Fee Revenue",'T12 Raw Data'!B:B,0)),0)</f>
        <v/>
      </c>
      <c r="J24" s="144">
        <f>IFERROR(INDEX('T12 Raw Data'!N:N,MATCH("Transfer Fee Revenue",'T12 Raw Data'!B:B,0)),0)</f>
        <v/>
      </c>
      <c r="K24" s="144">
        <f>IFERROR(INDEX('T12 Raw Data'!O:O,MATCH("Transfer Fee Revenue",'T12 Raw Data'!B:B,0)),0)</f>
        <v/>
      </c>
      <c r="L24" s="144">
        <f>IFERROR(INDEX('T12 Raw Data'!P:P,MATCH("Transfer Fee Revenue",'T12 Raw Data'!B:B,0)),0)</f>
        <v/>
      </c>
      <c r="M24" s="144">
        <f>IFERROR(INDEX('T12 Raw Data'!Q:Q,MATCH("Transfer Fee Revenue",'T12 Raw Data'!B:B,0)),0)</f>
        <v/>
      </c>
      <c r="N24" s="145">
        <f>SUM(B24:M24)</f>
        <v/>
      </c>
    </row>
    <row r="25" ht="15.75" customHeight="1" s="199">
      <c r="A25" s="83" t="inlineStr">
        <is>
          <t>Other community revenue</t>
        </is>
      </c>
      <c r="B25" s="144">
        <f>IFERROR(INDEX('T12 Raw Data'!F:F,MATCH("Other community revenue",'T12 Raw Data'!B:B,0)),0)</f>
        <v/>
      </c>
      <c r="C25" s="144">
        <f>IFERROR(INDEX('T12 Raw Data'!G:G,MATCH("Other community revenue",'T12 Raw Data'!B:B,0)),0)</f>
        <v/>
      </c>
      <c r="D25" s="144">
        <f>IFERROR(INDEX('T12 Raw Data'!H:H,MATCH("Other community revenue",'T12 Raw Data'!B:B,0)),0)</f>
        <v/>
      </c>
      <c r="E25" s="144">
        <f>IFERROR(INDEX('T12 Raw Data'!I:I,MATCH("Other community revenue",'T12 Raw Data'!B:B,0)),0)</f>
        <v/>
      </c>
      <c r="F25" s="144">
        <f>IFERROR(INDEX('T12 Raw Data'!J:J,MATCH("Other community revenue",'T12 Raw Data'!B:B,0)),0)</f>
        <v/>
      </c>
      <c r="G25" s="144">
        <f>IFERROR(INDEX('T12 Raw Data'!K:K,MATCH("Other community revenue",'T12 Raw Data'!B:B,0)),0)</f>
        <v/>
      </c>
      <c r="H25" s="144">
        <f>IFERROR(INDEX('T12 Raw Data'!L:L,MATCH("Other community revenue",'T12 Raw Data'!B:B,0)),0)</f>
        <v/>
      </c>
      <c r="I25" s="144">
        <f>IFERROR(INDEX('T12 Raw Data'!M:M,MATCH("Other community revenue",'T12 Raw Data'!B:B,0)),0)</f>
        <v/>
      </c>
      <c r="J25" s="144">
        <f>IFERROR(INDEX('T12 Raw Data'!N:N,MATCH("Other community revenue",'T12 Raw Data'!B:B,0)),0)</f>
        <v/>
      </c>
      <c r="K25" s="144">
        <f>IFERROR(INDEX('T12 Raw Data'!O:O,MATCH("Other community revenue",'T12 Raw Data'!B:B,0)),0)</f>
        <v/>
      </c>
      <c r="L25" s="144">
        <f>IFERROR(INDEX('T12 Raw Data'!P:P,MATCH("Other community revenue",'T12 Raw Data'!B:B,0)),0)</f>
        <v/>
      </c>
      <c r="M25" s="144">
        <f>IFERROR(INDEX('T12 Raw Data'!Q:Q,MATCH("Other community revenue",'T12 Raw Data'!B:B,0)),0)</f>
        <v/>
      </c>
      <c r="N25" s="145">
        <f>SUM(B25:M25)</f>
        <v/>
      </c>
    </row>
    <row r="26" ht="15.75" customHeight="1" s="199">
      <c r="A26" s="151" t="inlineStr">
        <is>
          <t>EFFECTIVE GROSS INCOME</t>
        </is>
      </c>
      <c r="B26" s="30">
        <f>B8+B10+B11+B15+B16+B17+B18+B19+B20+B21+B22+B23+B24+B25</f>
        <v/>
      </c>
      <c r="C26" s="30">
        <f>C8+C10+C11+C15+C16+C17+C18+C19+C20+C21+C22+C23+C24+C25</f>
        <v/>
      </c>
      <c r="D26" s="30">
        <f>D8+D10+D11+D15+D16+D17+D18+D19+D20+D21+D22+D23+D24+D25</f>
        <v/>
      </c>
      <c r="E26" s="30">
        <f>E8+E10+E11+E15+E16+E17+E18+E19+E20+E21+E22+E23+E24+E25</f>
        <v/>
      </c>
      <c r="F26" s="30">
        <f>F8+F10+F11+F15+F16+F17+F18+F19+F20+F21+F22+F23+F24+F25</f>
        <v/>
      </c>
      <c r="G26" s="30">
        <f>G8+G10+G11+G15+G16+G17+G18+G19+G20+G21+G22+G23+G24+G25</f>
        <v/>
      </c>
      <c r="H26" s="30">
        <f>H8+H10+H11+H15+H16+H17+H18+H19+H20+H21+H22+H23+H24+H25</f>
        <v/>
      </c>
      <c r="I26" s="30">
        <f>I8+I10+I11+I15+I16+I17+I18+I19+I20+I21+I22+I23+I24+I25</f>
        <v/>
      </c>
      <c r="J26" s="30">
        <f>J8+J10+J11+J15+J16+J17+J18+J19+J20+J21+J22+J23+J24+J25</f>
        <v/>
      </c>
      <c r="K26" s="30">
        <f>K8+K10+K11+K15+K16+K17+K18+K19+K20+K21+K22+K23+K24+K25</f>
        <v/>
      </c>
      <c r="L26" s="30">
        <f>L8+L10+L11+L15+L16+L17+L18+L19+L20+L21+L22+L23+L24+L25</f>
        <v/>
      </c>
      <c r="M26" s="30">
        <f>M8+M10+M11+M15+M16+M17+M18+M19+M20+M21+M22+M23+M24+M25</f>
        <v/>
      </c>
      <c r="N26" s="30">
        <f>N8+N10+N11+N15+N16+N17+N18+N19+N20+N21+N22+N23+N24+N25</f>
        <v/>
      </c>
    </row>
    <row r="27" ht="15.75" customHeight="1" s="199">
      <c r="A27" s="174" t="inlineStr">
        <is>
          <t>LABOR</t>
        </is>
      </c>
    </row>
    <row r="28" ht="15.75" customHeight="1" s="199">
      <c r="A28" s="83" t="inlineStr">
        <is>
          <t>Care staff labor</t>
        </is>
      </c>
      <c r="B28" s="144">
        <f>IFERROR(INDEX('T12 Raw Data'!F:F,MATCH("Care staff labor",'T12 Raw Data'!B:B,0)),0)</f>
        <v/>
      </c>
      <c r="C28" s="144">
        <f>IFERROR(INDEX('T12 Raw Data'!G:G,MATCH("Care staff labor",'T12 Raw Data'!B:B,0)),0)</f>
        <v/>
      </c>
      <c r="D28" s="144">
        <f>IFERROR(INDEX('T12 Raw Data'!H:H,MATCH("Care staff labor",'T12 Raw Data'!B:B,0)),0)</f>
        <v/>
      </c>
      <c r="E28" s="144">
        <f>IFERROR(INDEX('T12 Raw Data'!I:I,MATCH("Care staff labor",'T12 Raw Data'!B:B,0)),0)</f>
        <v/>
      </c>
      <c r="F28" s="144">
        <f>IFERROR(INDEX('T12 Raw Data'!J:J,MATCH("Care staff labor",'T12 Raw Data'!B:B,0)),0)</f>
        <v/>
      </c>
      <c r="G28" s="144">
        <f>IFERROR(INDEX('T12 Raw Data'!K:K,MATCH("Care staff labor",'T12 Raw Data'!B:B,0)),0)</f>
        <v/>
      </c>
      <c r="H28" s="144">
        <f>IFERROR(INDEX('T12 Raw Data'!L:L,MATCH("Care staff labor",'T12 Raw Data'!B:B,0)),0)</f>
        <v/>
      </c>
      <c r="I28" s="144">
        <f>IFERROR(INDEX('T12 Raw Data'!M:M,MATCH("Care staff labor",'T12 Raw Data'!B:B,0)),0)</f>
        <v/>
      </c>
      <c r="J28" s="144">
        <f>IFERROR(INDEX('T12 Raw Data'!N:N,MATCH("Care staff labor",'T12 Raw Data'!B:B,0)),0)</f>
        <v/>
      </c>
      <c r="K28" s="144">
        <f>IFERROR(INDEX('T12 Raw Data'!O:O,MATCH("Care staff labor",'T12 Raw Data'!B:B,0)),0)</f>
        <v/>
      </c>
      <c r="L28" s="144">
        <f>IFERROR(INDEX('T12 Raw Data'!P:P,MATCH("Care staff labor",'T12 Raw Data'!B:B,0)),0)</f>
        <v/>
      </c>
      <c r="M28" s="144">
        <f>IFERROR(INDEX('T12 Raw Data'!Q:Q,MATCH("Care staff labor",'T12 Raw Data'!B:B,0)),0)</f>
        <v/>
      </c>
      <c r="N28" s="145">
        <f>SUM(B28:M28)</f>
        <v/>
      </c>
    </row>
    <row r="29" ht="15.75" customHeight="1" s="199">
      <c r="A29" s="83" t="inlineStr">
        <is>
          <t>Wellness / care coord.</t>
        </is>
      </c>
      <c r="B29" s="144">
        <f>IFERROR(INDEX('T12 Raw Data'!F:F,MATCH("Wellness / care coordinators",'T12 Raw Data'!B:B,0)),0)</f>
        <v/>
      </c>
      <c r="C29" s="144">
        <f>IFERROR(INDEX('T12 Raw Data'!G:G,MATCH("Wellness / care coordinators",'T12 Raw Data'!B:B,0)),0)</f>
        <v/>
      </c>
      <c r="D29" s="144">
        <f>IFERROR(INDEX('T12 Raw Data'!H:H,MATCH("Wellness / care coordinators",'T12 Raw Data'!B:B,0)),0)</f>
        <v/>
      </c>
      <c r="E29" s="144">
        <f>IFERROR(INDEX('T12 Raw Data'!I:I,MATCH("Wellness / care coordinators",'T12 Raw Data'!B:B,0)),0)</f>
        <v/>
      </c>
      <c r="F29" s="144">
        <f>IFERROR(INDEX('T12 Raw Data'!J:J,MATCH("Wellness / care coordinators",'T12 Raw Data'!B:B,0)),0)</f>
        <v/>
      </c>
      <c r="G29" s="144">
        <f>IFERROR(INDEX('T12 Raw Data'!K:K,MATCH("Wellness / care coordinators",'T12 Raw Data'!B:B,0)),0)</f>
        <v/>
      </c>
      <c r="H29" s="144">
        <f>IFERROR(INDEX('T12 Raw Data'!L:L,MATCH("Wellness / care coordinators",'T12 Raw Data'!B:B,0)),0)</f>
        <v/>
      </c>
      <c r="I29" s="144">
        <f>IFERROR(INDEX('T12 Raw Data'!M:M,MATCH("Wellness / care coordinators",'T12 Raw Data'!B:B,0)),0)</f>
        <v/>
      </c>
      <c r="J29" s="144">
        <f>IFERROR(INDEX('T12 Raw Data'!N:N,MATCH("Wellness / care coordinators",'T12 Raw Data'!B:B,0)),0)</f>
        <v/>
      </c>
      <c r="K29" s="144">
        <f>IFERROR(INDEX('T12 Raw Data'!O:O,MATCH("Wellness / care coordinators",'T12 Raw Data'!B:B,0)),0)</f>
        <v/>
      </c>
      <c r="L29" s="144">
        <f>IFERROR(INDEX('T12 Raw Data'!P:P,MATCH("Wellness / care coordinators",'T12 Raw Data'!B:B,0)),0)</f>
        <v/>
      </c>
      <c r="M29" s="144">
        <f>IFERROR(INDEX('T12 Raw Data'!Q:Q,MATCH("Wellness / care coordinators",'T12 Raw Data'!B:B,0)),0)</f>
        <v/>
      </c>
      <c r="N29" s="145">
        <f>SUM(B29:M29)</f>
        <v/>
      </c>
    </row>
    <row r="30" ht="15.75" customHeight="1" s="199">
      <c r="A30" s="83" t="inlineStr">
        <is>
          <t>Contract / agency labor</t>
        </is>
      </c>
      <c r="B30" s="144">
        <f>IFERROR(INDEX('T12 Raw Data'!F:F,MATCH("Contract / agency labor",'T12 Raw Data'!B:B,0)),0)</f>
        <v/>
      </c>
      <c r="C30" s="144">
        <f>IFERROR(INDEX('T12 Raw Data'!G:G,MATCH("Contract / agency labor",'T12 Raw Data'!B:B,0)),0)</f>
        <v/>
      </c>
      <c r="D30" s="144">
        <f>IFERROR(INDEX('T12 Raw Data'!H:H,MATCH("Contract / agency labor",'T12 Raw Data'!B:B,0)),0)</f>
        <v/>
      </c>
      <c r="E30" s="144">
        <f>IFERROR(INDEX('T12 Raw Data'!I:I,MATCH("Contract / agency labor",'T12 Raw Data'!B:B,0)),0)</f>
        <v/>
      </c>
      <c r="F30" s="144">
        <f>IFERROR(INDEX('T12 Raw Data'!J:J,MATCH("Contract / agency labor",'T12 Raw Data'!B:B,0)),0)</f>
        <v/>
      </c>
      <c r="G30" s="144">
        <f>IFERROR(INDEX('T12 Raw Data'!K:K,MATCH("Contract / agency labor",'T12 Raw Data'!B:B,0)),0)</f>
        <v/>
      </c>
      <c r="H30" s="144">
        <f>IFERROR(INDEX('T12 Raw Data'!L:L,MATCH("Contract / agency labor",'T12 Raw Data'!B:B,0)),0)</f>
        <v/>
      </c>
      <c r="I30" s="144">
        <f>IFERROR(INDEX('T12 Raw Data'!M:M,MATCH("Contract / agency labor",'T12 Raw Data'!B:B,0)),0)</f>
        <v/>
      </c>
      <c r="J30" s="144">
        <f>IFERROR(INDEX('T12 Raw Data'!N:N,MATCH("Contract / agency labor",'T12 Raw Data'!B:B,0)),0)</f>
        <v/>
      </c>
      <c r="K30" s="144">
        <f>IFERROR(INDEX('T12 Raw Data'!O:O,MATCH("Contract / agency labor",'T12 Raw Data'!B:B,0)),0)</f>
        <v/>
      </c>
      <c r="L30" s="144">
        <f>IFERROR(INDEX('T12 Raw Data'!P:P,MATCH("Contract / agency labor",'T12 Raw Data'!B:B,0)),0)</f>
        <v/>
      </c>
      <c r="M30" s="144">
        <f>IFERROR(INDEX('T12 Raw Data'!Q:Q,MATCH("Contract / agency labor",'T12 Raw Data'!B:B,0)),0)</f>
        <v/>
      </c>
      <c r="N30" s="145">
        <f>SUM(B30:M30)</f>
        <v/>
      </c>
    </row>
    <row r="31" ht="15.75" customHeight="1" s="199">
      <c r="A31" s="83" t="inlineStr">
        <is>
          <t>Activities labor</t>
        </is>
      </c>
      <c r="B31" s="144">
        <f>IFERROR(INDEX('T12 Raw Data'!F:F,MATCH("Activities labor",'T12 Raw Data'!B:B,0)),0)</f>
        <v/>
      </c>
      <c r="C31" s="144">
        <f>IFERROR(INDEX('T12 Raw Data'!G:G,MATCH("Activities labor",'T12 Raw Data'!B:B,0)),0)</f>
        <v/>
      </c>
      <c r="D31" s="144">
        <f>IFERROR(INDEX('T12 Raw Data'!H:H,MATCH("Activities labor",'T12 Raw Data'!B:B,0)),0)</f>
        <v/>
      </c>
      <c r="E31" s="144">
        <f>IFERROR(INDEX('T12 Raw Data'!I:I,MATCH("Activities labor",'T12 Raw Data'!B:B,0)),0)</f>
        <v/>
      </c>
      <c r="F31" s="144">
        <f>IFERROR(INDEX('T12 Raw Data'!J:J,MATCH("Activities labor",'T12 Raw Data'!B:B,0)),0)</f>
        <v/>
      </c>
      <c r="G31" s="144">
        <f>IFERROR(INDEX('T12 Raw Data'!K:K,MATCH("Activities labor",'T12 Raw Data'!B:B,0)),0)</f>
        <v/>
      </c>
      <c r="H31" s="144">
        <f>IFERROR(INDEX('T12 Raw Data'!L:L,MATCH("Activities labor",'T12 Raw Data'!B:B,0)),0)</f>
        <v/>
      </c>
      <c r="I31" s="144">
        <f>IFERROR(INDEX('T12 Raw Data'!M:M,MATCH("Activities labor",'T12 Raw Data'!B:B,0)),0)</f>
        <v/>
      </c>
      <c r="J31" s="144">
        <f>IFERROR(INDEX('T12 Raw Data'!N:N,MATCH("Activities labor",'T12 Raw Data'!B:B,0)),0)</f>
        <v/>
      </c>
      <c r="K31" s="144">
        <f>IFERROR(INDEX('T12 Raw Data'!O:O,MATCH("Activities labor",'T12 Raw Data'!B:B,0)),0)</f>
        <v/>
      </c>
      <c r="L31" s="144">
        <f>IFERROR(INDEX('T12 Raw Data'!P:P,MATCH("Activities labor",'T12 Raw Data'!B:B,0)),0)</f>
        <v/>
      </c>
      <c r="M31" s="144">
        <f>IFERROR(INDEX('T12 Raw Data'!Q:Q,MATCH("Activities labor",'T12 Raw Data'!B:B,0)),0)</f>
        <v/>
      </c>
      <c r="N31" s="145">
        <f>SUM(B31:M31)</f>
        <v/>
      </c>
    </row>
    <row r="32" ht="15.75" customHeight="1" s="199">
      <c r="A32" s="83" t="inlineStr">
        <is>
          <t>Dining / food svc labor</t>
        </is>
      </c>
      <c r="B32" s="144">
        <f>IFERROR(INDEX('T12 Raw Data'!F:F,MATCH("Dining / food service labor",'T12 Raw Data'!B:B,0)),0)</f>
        <v/>
      </c>
      <c r="C32" s="144">
        <f>IFERROR(INDEX('T12 Raw Data'!G:G,MATCH("Dining / food service labor",'T12 Raw Data'!B:B,0)),0)</f>
        <v/>
      </c>
      <c r="D32" s="144">
        <f>IFERROR(INDEX('T12 Raw Data'!H:H,MATCH("Dining / food service labor",'T12 Raw Data'!B:B,0)),0)</f>
        <v/>
      </c>
      <c r="E32" s="144">
        <f>IFERROR(INDEX('T12 Raw Data'!I:I,MATCH("Dining / food service labor",'T12 Raw Data'!B:B,0)),0)</f>
        <v/>
      </c>
      <c r="F32" s="144">
        <f>IFERROR(INDEX('T12 Raw Data'!J:J,MATCH("Dining / food service labor",'T12 Raw Data'!B:B,0)),0)</f>
        <v/>
      </c>
      <c r="G32" s="144">
        <f>IFERROR(INDEX('T12 Raw Data'!K:K,MATCH("Dining / food service labor",'T12 Raw Data'!B:B,0)),0)</f>
        <v/>
      </c>
      <c r="H32" s="144">
        <f>IFERROR(INDEX('T12 Raw Data'!L:L,MATCH("Dining / food service labor",'T12 Raw Data'!B:B,0)),0)</f>
        <v/>
      </c>
      <c r="I32" s="144">
        <f>IFERROR(INDEX('T12 Raw Data'!M:M,MATCH("Dining / food service labor",'T12 Raw Data'!B:B,0)),0)</f>
        <v/>
      </c>
      <c r="J32" s="144">
        <f>IFERROR(INDEX('T12 Raw Data'!N:N,MATCH("Dining / food service labor",'T12 Raw Data'!B:B,0)),0)</f>
        <v/>
      </c>
      <c r="K32" s="144">
        <f>IFERROR(INDEX('T12 Raw Data'!O:O,MATCH("Dining / food service labor",'T12 Raw Data'!B:B,0)),0)</f>
        <v/>
      </c>
      <c r="L32" s="144">
        <f>IFERROR(INDEX('T12 Raw Data'!P:P,MATCH("Dining / food service labor",'T12 Raw Data'!B:B,0)),0)</f>
        <v/>
      </c>
      <c r="M32" s="144">
        <f>IFERROR(INDEX('T12 Raw Data'!Q:Q,MATCH("Dining / food service labor",'T12 Raw Data'!B:B,0)),0)</f>
        <v/>
      </c>
      <c r="N32" s="145">
        <f>SUM(B32:M32)</f>
        <v/>
      </c>
    </row>
    <row r="33" ht="15.75" customHeight="1" s="199">
      <c r="A33" s="83" t="inlineStr">
        <is>
          <t>Maint. &amp; HK labor</t>
        </is>
      </c>
      <c r="B33" s="144">
        <f>IFERROR(INDEX('T12 Raw Data'!F:F,MATCH("Maint. &amp; housekeeping labor",'T12 Raw Data'!B:B,0)),0)</f>
        <v/>
      </c>
      <c r="C33" s="144">
        <f>IFERROR(INDEX('T12 Raw Data'!G:G,MATCH("Maint. &amp; housekeeping labor",'T12 Raw Data'!B:B,0)),0)</f>
        <v/>
      </c>
      <c r="D33" s="144">
        <f>IFERROR(INDEX('T12 Raw Data'!H:H,MATCH("Maint. &amp; housekeeping labor",'T12 Raw Data'!B:B,0)),0)</f>
        <v/>
      </c>
      <c r="E33" s="144">
        <f>IFERROR(INDEX('T12 Raw Data'!I:I,MATCH("Maint. &amp; housekeeping labor",'T12 Raw Data'!B:B,0)),0)</f>
        <v/>
      </c>
      <c r="F33" s="144">
        <f>IFERROR(INDEX('T12 Raw Data'!J:J,MATCH("Maint. &amp; housekeeping labor",'T12 Raw Data'!B:B,0)),0)</f>
        <v/>
      </c>
      <c r="G33" s="144">
        <f>IFERROR(INDEX('T12 Raw Data'!K:K,MATCH("Maint. &amp; housekeeping labor",'T12 Raw Data'!B:B,0)),0)</f>
        <v/>
      </c>
      <c r="H33" s="144">
        <f>IFERROR(INDEX('T12 Raw Data'!L:L,MATCH("Maint. &amp; housekeeping labor",'T12 Raw Data'!B:B,0)),0)</f>
        <v/>
      </c>
      <c r="I33" s="144">
        <f>IFERROR(INDEX('T12 Raw Data'!M:M,MATCH("Maint. &amp; housekeeping labor",'T12 Raw Data'!B:B,0)),0)</f>
        <v/>
      </c>
      <c r="J33" s="144">
        <f>IFERROR(INDEX('T12 Raw Data'!N:N,MATCH("Maint. &amp; housekeeping labor",'T12 Raw Data'!B:B,0)),0)</f>
        <v/>
      </c>
      <c r="K33" s="144">
        <f>IFERROR(INDEX('T12 Raw Data'!O:O,MATCH("Maint. &amp; housekeeping labor",'T12 Raw Data'!B:B,0)),0)</f>
        <v/>
      </c>
      <c r="L33" s="144">
        <f>IFERROR(INDEX('T12 Raw Data'!P:P,MATCH("Maint. &amp; housekeeping labor",'T12 Raw Data'!B:B,0)),0)</f>
        <v/>
      </c>
      <c r="M33" s="144">
        <f>IFERROR(INDEX('T12 Raw Data'!Q:Q,MATCH("Maint. &amp; housekeeping labor",'T12 Raw Data'!B:B,0)),0)</f>
        <v/>
      </c>
      <c r="N33" s="145">
        <f>SUM(B33:M33)</f>
        <v/>
      </c>
    </row>
    <row r="34" ht="15.75" customHeight="1" s="199">
      <c r="A34" s="83" t="inlineStr">
        <is>
          <t>Administrative labor</t>
        </is>
      </c>
      <c r="B34" s="144">
        <f>IFERROR(INDEX('T12 Raw Data'!F:F,MATCH("Administrative labor",'T12 Raw Data'!B:B,0)),0)</f>
        <v/>
      </c>
      <c r="C34" s="144">
        <f>IFERROR(INDEX('T12 Raw Data'!G:G,MATCH("Administrative labor",'T12 Raw Data'!B:B,0)),0)</f>
        <v/>
      </c>
      <c r="D34" s="144">
        <f>IFERROR(INDEX('T12 Raw Data'!H:H,MATCH("Administrative labor",'T12 Raw Data'!B:B,0)),0)</f>
        <v/>
      </c>
      <c r="E34" s="144">
        <f>IFERROR(INDEX('T12 Raw Data'!I:I,MATCH("Administrative labor",'T12 Raw Data'!B:B,0)),0)</f>
        <v/>
      </c>
      <c r="F34" s="144">
        <f>IFERROR(INDEX('T12 Raw Data'!J:J,MATCH("Administrative labor",'T12 Raw Data'!B:B,0)),0)</f>
        <v/>
      </c>
      <c r="G34" s="144">
        <f>IFERROR(INDEX('T12 Raw Data'!K:K,MATCH("Administrative labor",'T12 Raw Data'!B:B,0)),0)</f>
        <v/>
      </c>
      <c r="H34" s="144">
        <f>IFERROR(INDEX('T12 Raw Data'!L:L,MATCH("Administrative labor",'T12 Raw Data'!B:B,0)),0)</f>
        <v/>
      </c>
      <c r="I34" s="144">
        <f>IFERROR(INDEX('T12 Raw Data'!M:M,MATCH("Administrative labor",'T12 Raw Data'!B:B,0)),0)</f>
        <v/>
      </c>
      <c r="J34" s="144">
        <f>IFERROR(INDEX('T12 Raw Data'!N:N,MATCH("Administrative labor",'T12 Raw Data'!B:B,0)),0)</f>
        <v/>
      </c>
      <c r="K34" s="144">
        <f>IFERROR(INDEX('T12 Raw Data'!O:O,MATCH("Administrative labor",'T12 Raw Data'!B:B,0)),0)</f>
        <v/>
      </c>
      <c r="L34" s="144">
        <f>IFERROR(INDEX('T12 Raw Data'!P:P,MATCH("Administrative labor",'T12 Raw Data'!B:B,0)),0)</f>
        <v/>
      </c>
      <c r="M34" s="144">
        <f>IFERROR(INDEX('T12 Raw Data'!Q:Q,MATCH("Administrative labor",'T12 Raw Data'!B:B,0)),0)</f>
        <v/>
      </c>
      <c r="N34" s="145">
        <f>SUM(B34:M34)</f>
        <v/>
      </c>
    </row>
    <row r="35" ht="15.75" customHeight="1" s="199">
      <c r="A35" s="83" t="inlineStr">
        <is>
          <t>Bonus wages</t>
        </is>
      </c>
      <c r="B35" s="144">
        <f>IFERROR(INDEX('T12 Raw Data'!F:F,MATCH("Bonus wages",'T12 Raw Data'!B:B,0)),0)</f>
        <v/>
      </c>
      <c r="C35" s="144">
        <f>IFERROR(INDEX('T12 Raw Data'!G:G,MATCH("Bonus wages",'T12 Raw Data'!B:B,0)),0)</f>
        <v/>
      </c>
      <c r="D35" s="144">
        <f>IFERROR(INDEX('T12 Raw Data'!H:H,MATCH("Bonus wages",'T12 Raw Data'!B:B,0)),0)</f>
        <v/>
      </c>
      <c r="E35" s="144">
        <f>IFERROR(INDEX('T12 Raw Data'!I:I,MATCH("Bonus wages",'T12 Raw Data'!B:B,0)),0)</f>
        <v/>
      </c>
      <c r="F35" s="144">
        <f>IFERROR(INDEX('T12 Raw Data'!J:J,MATCH("Bonus wages",'T12 Raw Data'!B:B,0)),0)</f>
        <v/>
      </c>
      <c r="G35" s="144">
        <f>IFERROR(INDEX('T12 Raw Data'!K:K,MATCH("Bonus wages",'T12 Raw Data'!B:B,0)),0)</f>
        <v/>
      </c>
      <c r="H35" s="144">
        <f>IFERROR(INDEX('T12 Raw Data'!L:L,MATCH("Bonus wages",'T12 Raw Data'!B:B,0)),0)</f>
        <v/>
      </c>
      <c r="I35" s="144">
        <f>IFERROR(INDEX('T12 Raw Data'!M:M,MATCH("Bonus wages",'T12 Raw Data'!B:B,0)),0)</f>
        <v/>
      </c>
      <c r="J35" s="144">
        <f>IFERROR(INDEX('T12 Raw Data'!N:N,MATCH("Bonus wages",'T12 Raw Data'!B:B,0)),0)</f>
        <v/>
      </c>
      <c r="K35" s="144">
        <f>IFERROR(INDEX('T12 Raw Data'!O:O,MATCH("Bonus wages",'T12 Raw Data'!B:B,0)),0)</f>
        <v/>
      </c>
      <c r="L35" s="144">
        <f>IFERROR(INDEX('T12 Raw Data'!P:P,MATCH("Bonus wages",'T12 Raw Data'!B:B,0)),0)</f>
        <v/>
      </c>
      <c r="M35" s="144">
        <f>IFERROR(INDEX('T12 Raw Data'!Q:Q,MATCH("Bonus wages",'T12 Raw Data'!B:B,0)),0)</f>
        <v/>
      </c>
      <c r="N35" s="145">
        <f>SUM(B35:M35)</f>
        <v/>
      </c>
    </row>
    <row r="36" ht="15.75" customHeight="1" s="199">
      <c r="A36" s="146" t="inlineStr">
        <is>
          <t>Total direct labor</t>
        </is>
      </c>
      <c r="B36" s="147">
        <f>B28+B29+B30+B31+B32+B33+B34+B35</f>
        <v/>
      </c>
      <c r="C36" s="147">
        <f>C28+C29+C30+C31+C32+C33+C34+C35</f>
        <v/>
      </c>
      <c r="D36" s="147">
        <f>D28+D29+D30+D31+D32+D33+D34+D35</f>
        <v/>
      </c>
      <c r="E36" s="147">
        <f>E28+E29+E30+E31+E32+E33+E34+E35</f>
        <v/>
      </c>
      <c r="F36" s="147">
        <f>F28+F29+F30+F31+F32+F33+F34+F35</f>
        <v/>
      </c>
      <c r="G36" s="147">
        <f>G28+G29+G30+G31+G32+G33+G34+G35</f>
        <v/>
      </c>
      <c r="H36" s="147">
        <f>H28+H29+H30+H31+H32+H33+H34+H35</f>
        <v/>
      </c>
      <c r="I36" s="147">
        <f>I28+I29+I30+I31+I32+I33+I34+I35</f>
        <v/>
      </c>
      <c r="J36" s="147">
        <f>J28+J29+J30+J31+J32+J33+J34+J35</f>
        <v/>
      </c>
      <c r="K36" s="147">
        <f>K28+K29+K30+K31+K32+K33+K34+K35</f>
        <v/>
      </c>
      <c r="L36" s="147">
        <f>L28+L29+L30+L31+L32+L33+L34+L35</f>
        <v/>
      </c>
      <c r="M36" s="147">
        <f>M28+M29+M30+M31+M32+M33+M34+M35</f>
        <v/>
      </c>
      <c r="N36" s="147">
        <f>N28+N29+N30+N31+N32+N33+N34+N35</f>
        <v/>
      </c>
    </row>
    <row r="37" ht="15.75" customHeight="1" s="199">
      <c r="A37" s="83" t="inlineStr">
        <is>
          <t>Overtime wages</t>
        </is>
      </c>
      <c r="B37" s="144">
        <f>IFERROR(INDEX('T12 Raw Data'!F:F,MATCH("Overtime wages",'T12 Raw Data'!B:B,0)),0)</f>
        <v/>
      </c>
      <c r="C37" s="144">
        <f>IFERROR(INDEX('T12 Raw Data'!G:G,MATCH("Overtime wages",'T12 Raw Data'!B:B,0)),0)</f>
        <v/>
      </c>
      <c r="D37" s="144">
        <f>IFERROR(INDEX('T12 Raw Data'!H:H,MATCH("Overtime wages",'T12 Raw Data'!B:B,0)),0)</f>
        <v/>
      </c>
      <c r="E37" s="144">
        <f>IFERROR(INDEX('T12 Raw Data'!I:I,MATCH("Overtime wages",'T12 Raw Data'!B:B,0)),0)</f>
        <v/>
      </c>
      <c r="F37" s="144">
        <f>IFERROR(INDEX('T12 Raw Data'!J:J,MATCH("Overtime wages",'T12 Raw Data'!B:B,0)),0)</f>
        <v/>
      </c>
      <c r="G37" s="144">
        <f>IFERROR(INDEX('T12 Raw Data'!K:K,MATCH("Overtime wages",'T12 Raw Data'!B:B,0)),0)</f>
        <v/>
      </c>
      <c r="H37" s="144">
        <f>IFERROR(INDEX('T12 Raw Data'!L:L,MATCH("Overtime wages",'T12 Raw Data'!B:B,0)),0)</f>
        <v/>
      </c>
      <c r="I37" s="144">
        <f>IFERROR(INDEX('T12 Raw Data'!M:M,MATCH("Overtime wages",'T12 Raw Data'!B:B,0)),0)</f>
        <v/>
      </c>
      <c r="J37" s="144">
        <f>IFERROR(INDEX('T12 Raw Data'!N:N,MATCH("Overtime wages",'T12 Raw Data'!B:B,0)),0)</f>
        <v/>
      </c>
      <c r="K37" s="144">
        <f>IFERROR(INDEX('T12 Raw Data'!O:O,MATCH("Overtime wages",'T12 Raw Data'!B:B,0)),0)</f>
        <v/>
      </c>
      <c r="L37" s="144">
        <f>IFERROR(INDEX('T12 Raw Data'!P:P,MATCH("Overtime wages",'T12 Raw Data'!B:B,0)),0)</f>
        <v/>
      </c>
      <c r="M37" s="144">
        <f>IFERROR(INDEX('T12 Raw Data'!Q:Q,MATCH("Overtime wages",'T12 Raw Data'!B:B,0)),0)</f>
        <v/>
      </c>
      <c r="N37" s="145">
        <f>SUM(B37:M37)</f>
        <v/>
      </c>
    </row>
    <row r="38" ht="15.75" customHeight="1" s="199">
      <c r="A38" s="83" t="inlineStr">
        <is>
          <t>PTO wages</t>
        </is>
      </c>
      <c r="B38" s="144">
        <f>IFERROR(INDEX('T12 Raw Data'!F:F,MATCH("PTO wages",'T12 Raw Data'!B:B,0)),0)</f>
        <v/>
      </c>
      <c r="C38" s="144">
        <f>IFERROR(INDEX('T12 Raw Data'!G:G,MATCH("PTO wages",'T12 Raw Data'!B:B,0)),0)</f>
        <v/>
      </c>
      <c r="D38" s="144">
        <f>IFERROR(INDEX('T12 Raw Data'!H:H,MATCH("PTO wages",'T12 Raw Data'!B:B,0)),0)</f>
        <v/>
      </c>
      <c r="E38" s="144">
        <f>IFERROR(INDEX('T12 Raw Data'!I:I,MATCH("PTO wages",'T12 Raw Data'!B:B,0)),0)</f>
        <v/>
      </c>
      <c r="F38" s="144">
        <f>IFERROR(INDEX('T12 Raw Data'!J:J,MATCH("PTO wages",'T12 Raw Data'!B:B,0)),0)</f>
        <v/>
      </c>
      <c r="G38" s="144">
        <f>IFERROR(INDEX('T12 Raw Data'!K:K,MATCH("PTO wages",'T12 Raw Data'!B:B,0)),0)</f>
        <v/>
      </c>
      <c r="H38" s="144">
        <f>IFERROR(INDEX('T12 Raw Data'!L:L,MATCH("PTO wages",'T12 Raw Data'!B:B,0)),0)</f>
        <v/>
      </c>
      <c r="I38" s="144">
        <f>IFERROR(INDEX('T12 Raw Data'!M:M,MATCH("PTO wages",'T12 Raw Data'!B:B,0)),0)</f>
        <v/>
      </c>
      <c r="J38" s="144">
        <f>IFERROR(INDEX('T12 Raw Data'!N:N,MATCH("PTO wages",'T12 Raw Data'!B:B,0)),0)</f>
        <v/>
      </c>
      <c r="K38" s="144">
        <f>IFERROR(INDEX('T12 Raw Data'!O:O,MATCH("PTO wages",'T12 Raw Data'!B:B,0)),0)</f>
        <v/>
      </c>
      <c r="L38" s="144">
        <f>IFERROR(INDEX('T12 Raw Data'!P:P,MATCH("PTO wages",'T12 Raw Data'!B:B,0)),0)</f>
        <v/>
      </c>
      <c r="M38" s="144">
        <f>IFERROR(INDEX('T12 Raw Data'!Q:Q,MATCH("PTO wages",'T12 Raw Data'!B:B,0)),0)</f>
        <v/>
      </c>
      <c r="N38" s="145">
        <f>SUM(B38:M38)</f>
        <v/>
      </c>
    </row>
    <row r="39" ht="18" customHeight="1" s="199">
      <c r="A39" s="83" t="inlineStr">
        <is>
          <t>Payroll taxes</t>
        </is>
      </c>
      <c r="B39" s="144">
        <f>IFERROR(INDEX('T12 Raw Data'!F:F,MATCH("Payroll taxes",'T12 Raw Data'!B:B,0)),0)</f>
        <v/>
      </c>
      <c r="C39" s="144">
        <f>IFERROR(INDEX('T12 Raw Data'!G:G,MATCH("Payroll taxes",'T12 Raw Data'!B:B,0)),0)</f>
        <v/>
      </c>
      <c r="D39" s="144">
        <f>IFERROR(INDEX('T12 Raw Data'!H:H,MATCH("Payroll taxes",'T12 Raw Data'!B:B,0)),0)</f>
        <v/>
      </c>
      <c r="E39" s="144">
        <f>IFERROR(INDEX('T12 Raw Data'!I:I,MATCH("Payroll taxes",'T12 Raw Data'!B:B,0)),0)</f>
        <v/>
      </c>
      <c r="F39" s="144">
        <f>IFERROR(INDEX('T12 Raw Data'!J:J,MATCH("Payroll taxes",'T12 Raw Data'!B:B,0)),0)</f>
        <v/>
      </c>
      <c r="G39" s="144">
        <f>IFERROR(INDEX('T12 Raw Data'!K:K,MATCH("Payroll taxes",'T12 Raw Data'!B:B,0)),0)</f>
        <v/>
      </c>
      <c r="H39" s="144">
        <f>IFERROR(INDEX('T12 Raw Data'!L:L,MATCH("Payroll taxes",'T12 Raw Data'!B:B,0)),0)</f>
        <v/>
      </c>
      <c r="I39" s="144">
        <f>IFERROR(INDEX('T12 Raw Data'!M:M,MATCH("Payroll taxes",'T12 Raw Data'!B:B,0)),0)</f>
        <v/>
      </c>
      <c r="J39" s="144">
        <f>IFERROR(INDEX('T12 Raw Data'!N:N,MATCH("Payroll taxes",'T12 Raw Data'!B:B,0)),0)</f>
        <v/>
      </c>
      <c r="K39" s="144">
        <f>IFERROR(INDEX('T12 Raw Data'!O:O,MATCH("Payroll taxes",'T12 Raw Data'!B:B,0)),0)</f>
        <v/>
      </c>
      <c r="L39" s="144">
        <f>IFERROR(INDEX('T12 Raw Data'!P:P,MATCH("Payroll taxes",'T12 Raw Data'!B:B,0)),0)</f>
        <v/>
      </c>
      <c r="M39" s="144">
        <f>IFERROR(INDEX('T12 Raw Data'!Q:Q,MATCH("Payroll taxes",'T12 Raw Data'!B:B,0)),0)</f>
        <v/>
      </c>
      <c r="N39" s="145">
        <f>SUM(B39:M39)</f>
        <v/>
      </c>
    </row>
    <row r="40" ht="15.75" customHeight="1" s="199">
      <c r="A40" s="83" t="inlineStr">
        <is>
          <t>Employee benefits</t>
        </is>
      </c>
      <c r="B40" s="144">
        <f>IFERROR(INDEX('T12 Raw Data'!F:F,MATCH("Employee benefits",'T12 Raw Data'!B:B,0)),0)</f>
        <v/>
      </c>
      <c r="C40" s="144">
        <f>IFERROR(INDEX('T12 Raw Data'!G:G,MATCH("Employee benefits",'T12 Raw Data'!B:B,0)),0)</f>
        <v/>
      </c>
      <c r="D40" s="144">
        <f>IFERROR(INDEX('T12 Raw Data'!H:H,MATCH("Employee benefits",'T12 Raw Data'!B:B,0)),0)</f>
        <v/>
      </c>
      <c r="E40" s="144">
        <f>IFERROR(INDEX('T12 Raw Data'!I:I,MATCH("Employee benefits",'T12 Raw Data'!B:B,0)),0)</f>
        <v/>
      </c>
      <c r="F40" s="144">
        <f>IFERROR(INDEX('T12 Raw Data'!J:J,MATCH("Employee benefits",'T12 Raw Data'!B:B,0)),0)</f>
        <v/>
      </c>
      <c r="G40" s="144">
        <f>IFERROR(INDEX('T12 Raw Data'!K:K,MATCH("Employee benefits",'T12 Raw Data'!B:B,0)),0)</f>
        <v/>
      </c>
      <c r="H40" s="144">
        <f>IFERROR(INDEX('T12 Raw Data'!L:L,MATCH("Employee benefits",'T12 Raw Data'!B:B,0)),0)</f>
        <v/>
      </c>
      <c r="I40" s="144">
        <f>IFERROR(INDEX('T12 Raw Data'!M:M,MATCH("Employee benefits",'T12 Raw Data'!B:B,0)),0)</f>
        <v/>
      </c>
      <c r="J40" s="144">
        <f>IFERROR(INDEX('T12 Raw Data'!N:N,MATCH("Employee benefits",'T12 Raw Data'!B:B,0)),0)</f>
        <v/>
      </c>
      <c r="K40" s="144">
        <f>IFERROR(INDEX('T12 Raw Data'!O:O,MATCH("Employee benefits",'T12 Raw Data'!B:B,0)),0)</f>
        <v/>
      </c>
      <c r="L40" s="144">
        <f>IFERROR(INDEX('T12 Raw Data'!P:P,MATCH("Employee benefits",'T12 Raw Data'!B:B,0)),0)</f>
        <v/>
      </c>
      <c r="M40" s="144">
        <f>IFERROR(INDEX('T12 Raw Data'!Q:Q,MATCH("Employee benefits",'T12 Raw Data'!B:B,0)),0)</f>
        <v/>
      </c>
      <c r="N40" s="145">
        <f>SUM(B40:M40)</f>
        <v/>
      </c>
    </row>
    <row r="41" ht="15.75" customHeight="1" s="199">
      <c r="A41" s="83" t="inlineStr">
        <is>
          <t>Workers' comp insurance</t>
        </is>
      </c>
      <c r="B41" s="144">
        <f>IFERROR(INDEX('T12 Raw Data'!F:F,MATCH("Workers' comp insurance",'T12 Raw Data'!B:B,0)),0)</f>
        <v/>
      </c>
      <c r="C41" s="144">
        <f>IFERROR(INDEX('T12 Raw Data'!G:G,MATCH("Workers' comp insurance",'T12 Raw Data'!B:B,0)),0)</f>
        <v/>
      </c>
      <c r="D41" s="144">
        <f>IFERROR(INDEX('T12 Raw Data'!H:H,MATCH("Workers' comp insurance",'T12 Raw Data'!B:B,0)),0)</f>
        <v/>
      </c>
      <c r="E41" s="144">
        <f>IFERROR(INDEX('T12 Raw Data'!I:I,MATCH("Workers' comp insurance",'T12 Raw Data'!B:B,0)),0)</f>
        <v/>
      </c>
      <c r="F41" s="144">
        <f>IFERROR(INDEX('T12 Raw Data'!J:J,MATCH("Workers' comp insurance",'T12 Raw Data'!B:B,0)),0)</f>
        <v/>
      </c>
      <c r="G41" s="144">
        <f>IFERROR(INDEX('T12 Raw Data'!K:K,MATCH("Workers' comp insurance",'T12 Raw Data'!B:B,0)),0)</f>
        <v/>
      </c>
      <c r="H41" s="144">
        <f>IFERROR(INDEX('T12 Raw Data'!L:L,MATCH("Workers' comp insurance",'T12 Raw Data'!B:B,0)),0)</f>
        <v/>
      </c>
      <c r="I41" s="144">
        <f>IFERROR(INDEX('T12 Raw Data'!M:M,MATCH("Workers' comp insurance",'T12 Raw Data'!B:B,0)),0)</f>
        <v/>
      </c>
      <c r="J41" s="144">
        <f>IFERROR(INDEX('T12 Raw Data'!N:N,MATCH("Workers' comp insurance",'T12 Raw Data'!B:B,0)),0)</f>
        <v/>
      </c>
      <c r="K41" s="144">
        <f>IFERROR(INDEX('T12 Raw Data'!O:O,MATCH("Workers' comp insurance",'T12 Raw Data'!B:B,0)),0)</f>
        <v/>
      </c>
      <c r="L41" s="144">
        <f>IFERROR(INDEX('T12 Raw Data'!P:P,MATCH("Workers' comp insurance",'T12 Raw Data'!B:B,0)),0)</f>
        <v/>
      </c>
      <c r="M41" s="144">
        <f>IFERROR(INDEX('T12 Raw Data'!Q:Q,MATCH("Workers' comp insurance",'T12 Raw Data'!B:B,0)),0)</f>
        <v/>
      </c>
      <c r="N41" s="145">
        <f>SUM(B41:M41)</f>
        <v/>
      </c>
    </row>
    <row r="42" ht="15.75" customHeight="1" s="199">
      <c r="A42" s="83" t="inlineStr">
        <is>
          <t>Employee 401(k)</t>
        </is>
      </c>
      <c r="B42" s="144">
        <f>IFERROR(INDEX('T12 Raw Data'!F:F,MATCH("Employee 401(k)",'T12 Raw Data'!B:B,0)),0)</f>
        <v/>
      </c>
      <c r="C42" s="144">
        <f>IFERROR(INDEX('T12 Raw Data'!G:G,MATCH("Employee 401(k)",'T12 Raw Data'!B:B,0)),0)</f>
        <v/>
      </c>
      <c r="D42" s="144">
        <f>IFERROR(INDEX('T12 Raw Data'!H:H,MATCH("Employee 401(k)",'T12 Raw Data'!B:B,0)),0)</f>
        <v/>
      </c>
      <c r="E42" s="144">
        <f>IFERROR(INDEX('T12 Raw Data'!I:I,MATCH("Employee 401(k)",'T12 Raw Data'!B:B,0)),0)</f>
        <v/>
      </c>
      <c r="F42" s="144">
        <f>IFERROR(INDEX('T12 Raw Data'!J:J,MATCH("Employee 401(k)",'T12 Raw Data'!B:B,0)),0)</f>
        <v/>
      </c>
      <c r="G42" s="144">
        <f>IFERROR(INDEX('T12 Raw Data'!K:K,MATCH("Employee 401(k)",'T12 Raw Data'!B:B,0)),0)</f>
        <v/>
      </c>
      <c r="H42" s="144">
        <f>IFERROR(INDEX('T12 Raw Data'!L:L,MATCH("Employee 401(k)",'T12 Raw Data'!B:B,0)),0)</f>
        <v/>
      </c>
      <c r="I42" s="144">
        <f>IFERROR(INDEX('T12 Raw Data'!M:M,MATCH("Employee 401(k)",'T12 Raw Data'!B:B,0)),0)</f>
        <v/>
      </c>
      <c r="J42" s="144">
        <f>IFERROR(INDEX('T12 Raw Data'!N:N,MATCH("Employee 401(k)",'T12 Raw Data'!B:B,0)),0)</f>
        <v/>
      </c>
      <c r="K42" s="144">
        <f>IFERROR(INDEX('T12 Raw Data'!O:O,MATCH("Employee 401(k)",'T12 Raw Data'!B:B,0)),0)</f>
        <v/>
      </c>
      <c r="L42" s="144">
        <f>IFERROR(INDEX('T12 Raw Data'!P:P,MATCH("Employee 401(k)",'T12 Raw Data'!B:B,0)),0)</f>
        <v/>
      </c>
      <c r="M42" s="144">
        <f>IFERROR(INDEX('T12 Raw Data'!Q:Q,MATCH("Employee 401(k)",'T12 Raw Data'!B:B,0)),0)</f>
        <v/>
      </c>
      <c r="N42" s="145">
        <f>SUM(B42:M42)</f>
        <v/>
      </c>
    </row>
    <row r="43" ht="15.75" customHeight="1" s="199">
      <c r="A43" s="146" t="inlineStr">
        <is>
          <t>Total payroll burden</t>
        </is>
      </c>
      <c r="B43" s="147">
        <f>B37+B38+B39+B40+B41+B42</f>
        <v/>
      </c>
      <c r="C43" s="147">
        <f>C37+C38+C39+C40+C41+C42</f>
        <v/>
      </c>
      <c r="D43" s="147">
        <f>D37+D38+D39+D40+D41+D42</f>
        <v/>
      </c>
      <c r="E43" s="147">
        <f>E37+E38+E39+E40+E41+E42</f>
        <v/>
      </c>
      <c r="F43" s="147">
        <f>F37+F38+F39+F40+F41+F42</f>
        <v/>
      </c>
      <c r="G43" s="147">
        <f>G37+G38+G39+G40+G41+G42</f>
        <v/>
      </c>
      <c r="H43" s="147">
        <f>H37+H38+H39+H40+H41+H42</f>
        <v/>
      </c>
      <c r="I43" s="147">
        <f>I37+I38+I39+I40+I41+I42</f>
        <v/>
      </c>
      <c r="J43" s="147">
        <f>J37+J38+J39+J40+J41+J42</f>
        <v/>
      </c>
      <c r="K43" s="147">
        <f>K37+K38+K39+K40+K41+K42</f>
        <v/>
      </c>
      <c r="L43" s="147">
        <f>L37+L38+L39+L40+L41+L42</f>
        <v/>
      </c>
      <c r="M43" s="147">
        <f>M37+M38+M39+M40+M41+M42</f>
        <v/>
      </c>
      <c r="N43" s="147">
        <f>N37+N38+N39+N40+N41+N42</f>
        <v/>
      </c>
    </row>
    <row r="44" ht="15.75" customHeight="1" s="199">
      <c r="A44" s="151" t="inlineStr">
        <is>
          <t>TOTAL LABOR &amp; BURDEN</t>
        </is>
      </c>
      <c r="B44" s="30">
        <f>B36+B43</f>
        <v/>
      </c>
      <c r="C44" s="30">
        <f>C36+C43</f>
        <v/>
      </c>
      <c r="D44" s="30">
        <f>D36+D43</f>
        <v/>
      </c>
      <c r="E44" s="30">
        <f>E36+E43</f>
        <v/>
      </c>
      <c r="F44" s="30">
        <f>F36+F43</f>
        <v/>
      </c>
      <c r="G44" s="30">
        <f>G36+G43</f>
        <v/>
      </c>
      <c r="H44" s="30">
        <f>H36+H43</f>
        <v/>
      </c>
      <c r="I44" s="30">
        <f>I36+I43</f>
        <v/>
      </c>
      <c r="J44" s="30">
        <f>J36+J43</f>
        <v/>
      </c>
      <c r="K44" s="30">
        <f>K36+K43</f>
        <v/>
      </c>
      <c r="L44" s="30">
        <f>L36+L43</f>
        <v/>
      </c>
      <c r="M44" s="30">
        <f>M36+M43</f>
        <v/>
      </c>
      <c r="N44" s="30">
        <f>N36+N43</f>
        <v/>
      </c>
    </row>
    <row r="45" ht="15.75" customHeight="1" s="199">
      <c r="A45" s="174" t="inlineStr">
        <is>
          <t>NON-LABOR</t>
        </is>
      </c>
    </row>
    <row r="46" ht="15.75" customHeight="1" s="199">
      <c r="A46" s="83" t="inlineStr">
        <is>
          <t>Food cost</t>
        </is>
      </c>
      <c r="B46" s="144">
        <f>IFERROR(INDEX('T12 Raw Data'!F:F,MATCH("Food cost",'T12 Raw Data'!B:B,0)),0)</f>
        <v/>
      </c>
      <c r="C46" s="144">
        <f>IFERROR(INDEX('T12 Raw Data'!G:G,MATCH("Food cost",'T12 Raw Data'!B:B,0)),0)</f>
        <v/>
      </c>
      <c r="D46" s="144">
        <f>IFERROR(INDEX('T12 Raw Data'!H:H,MATCH("Food cost",'T12 Raw Data'!B:B,0)),0)</f>
        <v/>
      </c>
      <c r="E46" s="144">
        <f>IFERROR(INDEX('T12 Raw Data'!I:I,MATCH("Food cost",'T12 Raw Data'!B:B,0)),0)</f>
        <v/>
      </c>
      <c r="F46" s="144">
        <f>IFERROR(INDEX('T12 Raw Data'!J:J,MATCH("Food cost",'T12 Raw Data'!B:B,0)),0)</f>
        <v/>
      </c>
      <c r="G46" s="144">
        <f>IFERROR(INDEX('T12 Raw Data'!K:K,MATCH("Food cost",'T12 Raw Data'!B:B,0)),0)</f>
        <v/>
      </c>
      <c r="H46" s="144">
        <f>IFERROR(INDEX('T12 Raw Data'!L:L,MATCH("Food cost",'T12 Raw Data'!B:B,0)),0)</f>
        <v/>
      </c>
      <c r="I46" s="144">
        <f>IFERROR(INDEX('T12 Raw Data'!M:M,MATCH("Food cost",'T12 Raw Data'!B:B,0)),0)</f>
        <v/>
      </c>
      <c r="J46" s="144">
        <f>IFERROR(INDEX('T12 Raw Data'!N:N,MATCH("Food cost",'T12 Raw Data'!B:B,0)),0)</f>
        <v/>
      </c>
      <c r="K46" s="144">
        <f>IFERROR(INDEX('T12 Raw Data'!O:O,MATCH("Food cost",'T12 Raw Data'!B:B,0)),0)</f>
        <v/>
      </c>
      <c r="L46" s="144">
        <f>IFERROR(INDEX('T12 Raw Data'!P:P,MATCH("Food cost",'T12 Raw Data'!B:B,0)),0)</f>
        <v/>
      </c>
      <c r="M46" s="144">
        <f>IFERROR(INDEX('T12 Raw Data'!Q:Q,MATCH("Food cost",'T12 Raw Data'!B:B,0)),0)</f>
        <v/>
      </c>
      <c r="N46" s="145">
        <f>SUM(B46:M46)</f>
        <v/>
      </c>
    </row>
    <row r="47" ht="15.75" customHeight="1" s="199">
      <c r="A47" s="83" t="inlineStr">
        <is>
          <t>Dining &amp; kitchen supplies</t>
        </is>
      </c>
      <c r="B47" s="144">
        <f>IFERROR(INDEX('T12 Raw Data'!F:F,MATCH("Dining &amp; kitchen supplies",'T12 Raw Data'!B:B,0)),0)</f>
        <v/>
      </c>
      <c r="C47" s="144">
        <f>IFERROR(INDEX('T12 Raw Data'!G:G,MATCH("Dining &amp; kitchen supplies",'T12 Raw Data'!B:B,0)),0)</f>
        <v/>
      </c>
      <c r="D47" s="144">
        <f>IFERROR(INDEX('T12 Raw Data'!H:H,MATCH("Dining &amp; kitchen supplies",'T12 Raw Data'!B:B,0)),0)</f>
        <v/>
      </c>
      <c r="E47" s="144">
        <f>IFERROR(INDEX('T12 Raw Data'!I:I,MATCH("Dining &amp; kitchen supplies",'T12 Raw Data'!B:B,0)),0)</f>
        <v/>
      </c>
      <c r="F47" s="144">
        <f>IFERROR(INDEX('T12 Raw Data'!J:J,MATCH("Dining &amp; kitchen supplies",'T12 Raw Data'!B:B,0)),0)</f>
        <v/>
      </c>
      <c r="G47" s="144">
        <f>IFERROR(INDEX('T12 Raw Data'!K:K,MATCH("Dining &amp; kitchen supplies",'T12 Raw Data'!B:B,0)),0)</f>
        <v/>
      </c>
      <c r="H47" s="144">
        <f>IFERROR(INDEX('T12 Raw Data'!L:L,MATCH("Dining &amp; kitchen supplies",'T12 Raw Data'!B:B,0)),0)</f>
        <v/>
      </c>
      <c r="I47" s="144">
        <f>IFERROR(INDEX('T12 Raw Data'!M:M,MATCH("Dining &amp; kitchen supplies",'T12 Raw Data'!B:B,0)),0)</f>
        <v/>
      </c>
      <c r="J47" s="144">
        <f>IFERROR(INDEX('T12 Raw Data'!N:N,MATCH("Dining &amp; kitchen supplies",'T12 Raw Data'!B:B,0)),0)</f>
        <v/>
      </c>
      <c r="K47" s="144">
        <f>IFERROR(INDEX('T12 Raw Data'!O:O,MATCH("Dining &amp; kitchen supplies",'T12 Raw Data'!B:B,0)),0)</f>
        <v/>
      </c>
      <c r="L47" s="144">
        <f>IFERROR(INDEX('T12 Raw Data'!P:P,MATCH("Dining &amp; kitchen supplies",'T12 Raw Data'!B:B,0)),0)</f>
        <v/>
      </c>
      <c r="M47" s="144">
        <f>IFERROR(INDEX('T12 Raw Data'!Q:Q,MATCH("Dining &amp; kitchen supplies",'T12 Raw Data'!B:B,0)),0)</f>
        <v/>
      </c>
      <c r="N47" s="145">
        <f>SUM(B47:M47)</f>
        <v/>
      </c>
    </row>
    <row r="48" ht="15.75" customHeight="1" s="199">
      <c r="A48" s="83" t="inlineStr">
        <is>
          <t>Nursing &amp; care supplies</t>
        </is>
      </c>
      <c r="B48" s="144">
        <f>IFERROR(INDEX('T12 Raw Data'!F:F,MATCH("Nursing &amp; care supplies",'T12 Raw Data'!B:B,0)),0)</f>
        <v/>
      </c>
      <c r="C48" s="144">
        <f>IFERROR(INDEX('T12 Raw Data'!G:G,MATCH("Nursing &amp; care supplies",'T12 Raw Data'!B:B,0)),0)</f>
        <v/>
      </c>
      <c r="D48" s="144">
        <f>IFERROR(INDEX('T12 Raw Data'!H:H,MATCH("Nursing &amp; care supplies",'T12 Raw Data'!B:B,0)),0)</f>
        <v/>
      </c>
      <c r="E48" s="144">
        <f>IFERROR(INDEX('T12 Raw Data'!I:I,MATCH("Nursing &amp; care supplies",'T12 Raw Data'!B:B,0)),0)</f>
        <v/>
      </c>
      <c r="F48" s="144">
        <f>IFERROR(INDEX('T12 Raw Data'!J:J,MATCH("Nursing &amp; care supplies",'T12 Raw Data'!B:B,0)),0)</f>
        <v/>
      </c>
      <c r="G48" s="144">
        <f>IFERROR(INDEX('T12 Raw Data'!K:K,MATCH("Nursing &amp; care supplies",'T12 Raw Data'!B:B,0)),0)</f>
        <v/>
      </c>
      <c r="H48" s="144">
        <f>IFERROR(INDEX('T12 Raw Data'!L:L,MATCH("Nursing &amp; care supplies",'T12 Raw Data'!B:B,0)),0)</f>
        <v/>
      </c>
      <c r="I48" s="144">
        <f>IFERROR(INDEX('T12 Raw Data'!M:M,MATCH("Nursing &amp; care supplies",'T12 Raw Data'!B:B,0)),0)</f>
        <v/>
      </c>
      <c r="J48" s="144">
        <f>IFERROR(INDEX('T12 Raw Data'!N:N,MATCH("Nursing &amp; care supplies",'T12 Raw Data'!B:B,0)),0)</f>
        <v/>
      </c>
      <c r="K48" s="144">
        <f>IFERROR(INDEX('T12 Raw Data'!O:O,MATCH("Nursing &amp; care supplies",'T12 Raw Data'!B:B,0)),0)</f>
        <v/>
      </c>
      <c r="L48" s="144">
        <f>IFERROR(INDEX('T12 Raw Data'!P:P,MATCH("Nursing &amp; care supplies",'T12 Raw Data'!B:B,0)),0)</f>
        <v/>
      </c>
      <c r="M48" s="144">
        <f>IFERROR(INDEX('T12 Raw Data'!Q:Q,MATCH("Nursing &amp; care supplies",'T12 Raw Data'!B:B,0)),0)</f>
        <v/>
      </c>
      <c r="N48" s="145">
        <f>SUM(B48:M48)</f>
        <v/>
      </c>
    </row>
    <row r="49" ht="15.75" customHeight="1" s="199">
      <c r="A49" s="83" t="inlineStr">
        <is>
          <t>Recreation supplies</t>
        </is>
      </c>
      <c r="B49" s="144">
        <f>IFERROR(INDEX('T12 Raw Data'!F:F,MATCH("Recreation &amp; activity suppl.",'T12 Raw Data'!B:B,0)),0)</f>
        <v/>
      </c>
      <c r="C49" s="144">
        <f>IFERROR(INDEX('T12 Raw Data'!G:G,MATCH("Recreation &amp; activity suppl.",'T12 Raw Data'!B:B,0)),0)</f>
        <v/>
      </c>
      <c r="D49" s="144">
        <f>IFERROR(INDEX('T12 Raw Data'!H:H,MATCH("Recreation &amp; activity suppl.",'T12 Raw Data'!B:B,0)),0)</f>
        <v/>
      </c>
      <c r="E49" s="144">
        <f>IFERROR(INDEX('T12 Raw Data'!I:I,MATCH("Recreation &amp; activity suppl.",'T12 Raw Data'!B:B,0)),0)</f>
        <v/>
      </c>
      <c r="F49" s="144">
        <f>IFERROR(INDEX('T12 Raw Data'!J:J,MATCH("Recreation &amp; activity suppl.",'T12 Raw Data'!B:B,0)),0)</f>
        <v/>
      </c>
      <c r="G49" s="144">
        <f>IFERROR(INDEX('T12 Raw Data'!K:K,MATCH("Recreation &amp; activity suppl.",'T12 Raw Data'!B:B,0)),0)</f>
        <v/>
      </c>
      <c r="H49" s="144">
        <f>IFERROR(INDEX('T12 Raw Data'!L:L,MATCH("Recreation &amp; activity suppl.",'T12 Raw Data'!B:B,0)),0)</f>
        <v/>
      </c>
      <c r="I49" s="144">
        <f>IFERROR(INDEX('T12 Raw Data'!M:M,MATCH("Recreation &amp; activity suppl.",'T12 Raw Data'!B:B,0)),0)</f>
        <v/>
      </c>
      <c r="J49" s="144">
        <f>IFERROR(INDEX('T12 Raw Data'!N:N,MATCH("Recreation &amp; activity suppl.",'T12 Raw Data'!B:B,0)),0)</f>
        <v/>
      </c>
      <c r="K49" s="144">
        <f>IFERROR(INDEX('T12 Raw Data'!O:O,MATCH("Recreation &amp; activity suppl.",'T12 Raw Data'!B:B,0)),0)</f>
        <v/>
      </c>
      <c r="L49" s="144">
        <f>IFERROR(INDEX('T12 Raw Data'!P:P,MATCH("Recreation &amp; activity suppl.",'T12 Raw Data'!B:B,0)),0)</f>
        <v/>
      </c>
      <c r="M49" s="144">
        <f>IFERROR(INDEX('T12 Raw Data'!Q:Q,MATCH("Recreation &amp; activity suppl.",'T12 Raw Data'!B:B,0)),0)</f>
        <v/>
      </c>
      <c r="N49" s="145">
        <f>SUM(B49:M49)</f>
        <v/>
      </c>
    </row>
    <row r="50" ht="15.75" customHeight="1" s="199">
      <c r="A50" s="83" t="inlineStr">
        <is>
          <t>R&amp;M fixed</t>
        </is>
      </c>
      <c r="B50" s="144">
        <f>IFERROR(INDEX('T12 Raw Data'!F:F,MATCH("R&amp;M fixed",'T12 Raw Data'!B:B,0)),0)</f>
        <v/>
      </c>
      <c r="C50" s="144">
        <f>IFERROR(INDEX('T12 Raw Data'!G:G,MATCH("R&amp;M fixed",'T12 Raw Data'!B:B,0)),0)</f>
        <v/>
      </c>
      <c r="D50" s="144">
        <f>IFERROR(INDEX('T12 Raw Data'!H:H,MATCH("R&amp;M fixed",'T12 Raw Data'!B:B,0)),0)</f>
        <v/>
      </c>
      <c r="E50" s="144">
        <f>IFERROR(INDEX('T12 Raw Data'!I:I,MATCH("R&amp;M fixed",'T12 Raw Data'!B:B,0)),0)</f>
        <v/>
      </c>
      <c r="F50" s="144">
        <f>IFERROR(INDEX('T12 Raw Data'!J:J,MATCH("R&amp;M fixed",'T12 Raw Data'!B:B,0)),0)</f>
        <v/>
      </c>
      <c r="G50" s="144">
        <f>IFERROR(INDEX('T12 Raw Data'!K:K,MATCH("R&amp;M fixed",'T12 Raw Data'!B:B,0)),0)</f>
        <v/>
      </c>
      <c r="H50" s="144">
        <f>IFERROR(INDEX('T12 Raw Data'!L:L,MATCH("R&amp;M fixed",'T12 Raw Data'!B:B,0)),0)</f>
        <v/>
      </c>
      <c r="I50" s="144">
        <f>IFERROR(INDEX('T12 Raw Data'!M:M,MATCH("R&amp;M fixed",'T12 Raw Data'!B:B,0)),0)</f>
        <v/>
      </c>
      <c r="J50" s="144">
        <f>IFERROR(INDEX('T12 Raw Data'!N:N,MATCH("R&amp;M fixed",'T12 Raw Data'!B:B,0)),0)</f>
        <v/>
      </c>
      <c r="K50" s="144">
        <f>IFERROR(INDEX('T12 Raw Data'!O:O,MATCH("R&amp;M fixed",'T12 Raw Data'!B:B,0)),0)</f>
        <v/>
      </c>
      <c r="L50" s="144">
        <f>IFERROR(INDEX('T12 Raw Data'!P:P,MATCH("R&amp;M fixed",'T12 Raw Data'!B:B,0)),0)</f>
        <v/>
      </c>
      <c r="M50" s="144">
        <f>IFERROR(INDEX('T12 Raw Data'!Q:Q,MATCH("R&amp;M fixed",'T12 Raw Data'!B:B,0)),0)</f>
        <v/>
      </c>
      <c r="N50" s="145">
        <f>SUM(B50:M50)</f>
        <v/>
      </c>
    </row>
    <row r="51" ht="15.75" customHeight="1" s="199">
      <c r="A51" s="83" t="inlineStr">
        <is>
          <t>R&amp;M variable</t>
        </is>
      </c>
      <c r="B51" s="144">
        <f>IFERROR(INDEX('T12 Raw Data'!F:F,MATCH("R&amp;M variable",'T12 Raw Data'!B:B,0)),0)</f>
        <v/>
      </c>
      <c r="C51" s="144">
        <f>IFERROR(INDEX('T12 Raw Data'!G:G,MATCH("R&amp;M variable",'T12 Raw Data'!B:B,0)),0)</f>
        <v/>
      </c>
      <c r="D51" s="144">
        <f>IFERROR(INDEX('T12 Raw Data'!H:H,MATCH("R&amp;M variable",'T12 Raw Data'!B:B,0)),0)</f>
        <v/>
      </c>
      <c r="E51" s="144">
        <f>IFERROR(INDEX('T12 Raw Data'!I:I,MATCH("R&amp;M variable",'T12 Raw Data'!B:B,0)),0)</f>
        <v/>
      </c>
      <c r="F51" s="144">
        <f>IFERROR(INDEX('T12 Raw Data'!J:J,MATCH("R&amp;M variable",'T12 Raw Data'!B:B,0)),0)</f>
        <v/>
      </c>
      <c r="G51" s="144">
        <f>IFERROR(INDEX('T12 Raw Data'!K:K,MATCH("R&amp;M variable",'T12 Raw Data'!B:B,0)),0)</f>
        <v/>
      </c>
      <c r="H51" s="144">
        <f>IFERROR(INDEX('T12 Raw Data'!L:L,MATCH("R&amp;M variable",'T12 Raw Data'!B:B,0)),0)</f>
        <v/>
      </c>
      <c r="I51" s="144">
        <f>IFERROR(INDEX('T12 Raw Data'!M:M,MATCH("R&amp;M variable",'T12 Raw Data'!B:B,0)),0)</f>
        <v/>
      </c>
      <c r="J51" s="144">
        <f>IFERROR(INDEX('T12 Raw Data'!N:N,MATCH("R&amp;M variable",'T12 Raw Data'!B:B,0)),0)</f>
        <v/>
      </c>
      <c r="K51" s="144">
        <f>IFERROR(INDEX('T12 Raw Data'!O:O,MATCH("R&amp;M variable",'T12 Raw Data'!B:B,0)),0)</f>
        <v/>
      </c>
      <c r="L51" s="144">
        <f>IFERROR(INDEX('T12 Raw Data'!P:P,MATCH("R&amp;M variable",'T12 Raw Data'!B:B,0)),0)</f>
        <v/>
      </c>
      <c r="M51" s="144">
        <f>IFERROR(INDEX('T12 Raw Data'!Q:Q,MATCH("R&amp;M variable",'T12 Raw Data'!B:B,0)),0)</f>
        <v/>
      </c>
      <c r="N51" s="145">
        <f>SUM(B51:M51)</f>
        <v/>
      </c>
    </row>
    <row r="52" ht="15.75" customHeight="1" s="199">
      <c r="A52" s="83" t="inlineStr">
        <is>
          <t>HK &amp; laundry supplies</t>
        </is>
      </c>
      <c r="B52" s="144">
        <f>IFERROR(INDEX('T12 Raw Data'!F:F,MATCH("HK &amp; laundry supplies",'T12 Raw Data'!B:B,0)),0)</f>
        <v/>
      </c>
      <c r="C52" s="144">
        <f>IFERROR(INDEX('T12 Raw Data'!G:G,MATCH("HK &amp; laundry supplies",'T12 Raw Data'!B:B,0)),0)</f>
        <v/>
      </c>
      <c r="D52" s="144">
        <f>IFERROR(INDEX('T12 Raw Data'!H:H,MATCH("HK &amp; laundry supplies",'T12 Raw Data'!B:B,0)),0)</f>
        <v/>
      </c>
      <c r="E52" s="144">
        <f>IFERROR(INDEX('T12 Raw Data'!I:I,MATCH("HK &amp; laundry supplies",'T12 Raw Data'!B:B,0)),0)</f>
        <v/>
      </c>
      <c r="F52" s="144">
        <f>IFERROR(INDEX('T12 Raw Data'!J:J,MATCH("HK &amp; laundry supplies",'T12 Raw Data'!B:B,0)),0)</f>
        <v/>
      </c>
      <c r="G52" s="144">
        <f>IFERROR(INDEX('T12 Raw Data'!K:K,MATCH("HK &amp; laundry supplies",'T12 Raw Data'!B:B,0)),0)</f>
        <v/>
      </c>
      <c r="H52" s="144">
        <f>IFERROR(INDEX('T12 Raw Data'!L:L,MATCH("HK &amp; laundry supplies",'T12 Raw Data'!B:B,0)),0)</f>
        <v/>
      </c>
      <c r="I52" s="144">
        <f>IFERROR(INDEX('T12 Raw Data'!M:M,MATCH("HK &amp; laundry supplies",'T12 Raw Data'!B:B,0)),0)</f>
        <v/>
      </c>
      <c r="J52" s="144">
        <f>IFERROR(INDEX('T12 Raw Data'!N:N,MATCH("HK &amp; laundry supplies",'T12 Raw Data'!B:B,0)),0)</f>
        <v/>
      </c>
      <c r="K52" s="144">
        <f>IFERROR(INDEX('T12 Raw Data'!O:O,MATCH("HK &amp; laundry supplies",'T12 Raw Data'!B:B,0)),0)</f>
        <v/>
      </c>
      <c r="L52" s="144">
        <f>IFERROR(INDEX('T12 Raw Data'!P:P,MATCH("HK &amp; laundry supplies",'T12 Raw Data'!B:B,0)),0)</f>
        <v/>
      </c>
      <c r="M52" s="144">
        <f>IFERROR(INDEX('T12 Raw Data'!Q:Q,MATCH("HK &amp; laundry supplies",'T12 Raw Data'!B:B,0)),0)</f>
        <v/>
      </c>
      <c r="N52" s="145">
        <f>SUM(B52:M52)</f>
        <v/>
      </c>
    </row>
    <row r="53" ht="15.75" customHeight="1" s="199">
      <c r="A53" s="83" t="inlineStr">
        <is>
          <t>Sales, adv. &amp; marketing</t>
        </is>
      </c>
      <c r="B53" s="144">
        <f>IFERROR(INDEX('T12 Raw Data'!F:F,MATCH("Sales, adv. &amp; marketing",'T12 Raw Data'!B:B,0)),0)</f>
        <v/>
      </c>
      <c r="C53" s="144">
        <f>IFERROR(INDEX('T12 Raw Data'!G:G,MATCH("Sales, adv. &amp; marketing",'T12 Raw Data'!B:B,0)),0)</f>
        <v/>
      </c>
      <c r="D53" s="144">
        <f>IFERROR(INDEX('T12 Raw Data'!H:H,MATCH("Sales, adv. &amp; marketing",'T12 Raw Data'!B:B,0)),0)</f>
        <v/>
      </c>
      <c r="E53" s="144">
        <f>IFERROR(INDEX('T12 Raw Data'!I:I,MATCH("Sales, adv. &amp; marketing",'T12 Raw Data'!B:B,0)),0)</f>
        <v/>
      </c>
      <c r="F53" s="144">
        <f>IFERROR(INDEX('T12 Raw Data'!J:J,MATCH("Sales, adv. &amp; marketing",'T12 Raw Data'!B:B,0)),0)</f>
        <v/>
      </c>
      <c r="G53" s="144">
        <f>IFERROR(INDEX('T12 Raw Data'!K:K,MATCH("Sales, adv. &amp; marketing",'T12 Raw Data'!B:B,0)),0)</f>
        <v/>
      </c>
      <c r="H53" s="144">
        <f>IFERROR(INDEX('T12 Raw Data'!L:L,MATCH("Sales, adv. &amp; marketing",'T12 Raw Data'!B:B,0)),0)</f>
        <v/>
      </c>
      <c r="I53" s="144">
        <f>IFERROR(INDEX('T12 Raw Data'!M:M,MATCH("Sales, adv. &amp; marketing",'T12 Raw Data'!B:B,0)),0)</f>
        <v/>
      </c>
      <c r="J53" s="144">
        <f>IFERROR(INDEX('T12 Raw Data'!N:N,MATCH("Sales, adv. &amp; marketing",'T12 Raw Data'!B:B,0)),0)</f>
        <v/>
      </c>
      <c r="K53" s="144">
        <f>IFERROR(INDEX('T12 Raw Data'!O:O,MATCH("Sales, adv. &amp; marketing",'T12 Raw Data'!B:B,0)),0)</f>
        <v/>
      </c>
      <c r="L53" s="144">
        <f>IFERROR(INDEX('T12 Raw Data'!P:P,MATCH("Sales, adv. &amp; marketing",'T12 Raw Data'!B:B,0)),0)</f>
        <v/>
      </c>
      <c r="M53" s="144">
        <f>IFERROR(INDEX('T12 Raw Data'!Q:Q,MATCH("Sales, adv. &amp; marketing",'T12 Raw Data'!B:B,0)),0)</f>
        <v/>
      </c>
      <c r="N53" s="145">
        <f>SUM(B53:M53)</f>
        <v/>
      </c>
    </row>
    <row r="54" ht="15.75" customHeight="1" s="199">
      <c r="A54" s="83" t="inlineStr">
        <is>
          <t>Referral fees</t>
        </is>
      </c>
      <c r="B54" s="144">
        <f>IFERROR(INDEX('T12 Raw Data'!F:F,MATCH("Referral fees",'T12 Raw Data'!B:B,0)),0)</f>
        <v/>
      </c>
      <c r="C54" s="144">
        <f>IFERROR(INDEX('T12 Raw Data'!G:G,MATCH("Referral fees",'T12 Raw Data'!B:B,0)),0)</f>
        <v/>
      </c>
      <c r="D54" s="144">
        <f>IFERROR(INDEX('T12 Raw Data'!H:H,MATCH("Referral fees",'T12 Raw Data'!B:B,0)),0)</f>
        <v/>
      </c>
      <c r="E54" s="144">
        <f>IFERROR(INDEX('T12 Raw Data'!I:I,MATCH("Referral fees",'T12 Raw Data'!B:B,0)),0)</f>
        <v/>
      </c>
      <c r="F54" s="144">
        <f>IFERROR(INDEX('T12 Raw Data'!J:J,MATCH("Referral fees",'T12 Raw Data'!B:B,0)),0)</f>
        <v/>
      </c>
      <c r="G54" s="144">
        <f>IFERROR(INDEX('T12 Raw Data'!K:K,MATCH("Referral fees",'T12 Raw Data'!B:B,0)),0)</f>
        <v/>
      </c>
      <c r="H54" s="144">
        <f>IFERROR(INDEX('T12 Raw Data'!L:L,MATCH("Referral fees",'T12 Raw Data'!B:B,0)),0)</f>
        <v/>
      </c>
      <c r="I54" s="144">
        <f>IFERROR(INDEX('T12 Raw Data'!M:M,MATCH("Referral fees",'T12 Raw Data'!B:B,0)),0)</f>
        <v/>
      </c>
      <c r="J54" s="144">
        <f>IFERROR(INDEX('T12 Raw Data'!N:N,MATCH("Referral fees",'T12 Raw Data'!B:B,0)),0)</f>
        <v/>
      </c>
      <c r="K54" s="144">
        <f>IFERROR(INDEX('T12 Raw Data'!O:O,MATCH("Referral fees",'T12 Raw Data'!B:B,0)),0)</f>
        <v/>
      </c>
      <c r="L54" s="144">
        <f>IFERROR(INDEX('T12 Raw Data'!P:P,MATCH("Referral fees",'T12 Raw Data'!B:B,0)),0)</f>
        <v/>
      </c>
      <c r="M54" s="144">
        <f>IFERROR(INDEX('T12 Raw Data'!Q:Q,MATCH("Referral fees",'T12 Raw Data'!B:B,0)),0)</f>
        <v/>
      </c>
      <c r="N54" s="145">
        <f>SUM(B54:M54)</f>
        <v/>
      </c>
    </row>
    <row r="55" ht="15.75" customHeight="1" s="199">
      <c r="A55" s="83" t="inlineStr">
        <is>
          <t>Utilities</t>
        </is>
      </c>
      <c r="B55" s="144">
        <f>IFERROR(INDEX('T12 Raw Data'!F:F,MATCH("Utilities",'T12 Raw Data'!B:B,0)),0)</f>
        <v/>
      </c>
      <c r="C55" s="144">
        <f>IFERROR(INDEX('T12 Raw Data'!G:G,MATCH("Utilities",'T12 Raw Data'!B:B,0)),0)</f>
        <v/>
      </c>
      <c r="D55" s="144">
        <f>IFERROR(INDEX('T12 Raw Data'!H:H,MATCH("Utilities",'T12 Raw Data'!B:B,0)),0)</f>
        <v/>
      </c>
      <c r="E55" s="144">
        <f>IFERROR(INDEX('T12 Raw Data'!I:I,MATCH("Utilities",'T12 Raw Data'!B:B,0)),0)</f>
        <v/>
      </c>
      <c r="F55" s="144">
        <f>IFERROR(INDEX('T12 Raw Data'!J:J,MATCH("Utilities",'T12 Raw Data'!B:B,0)),0)</f>
        <v/>
      </c>
      <c r="G55" s="144">
        <f>IFERROR(INDEX('T12 Raw Data'!K:K,MATCH("Utilities",'T12 Raw Data'!B:B,0)),0)</f>
        <v/>
      </c>
      <c r="H55" s="144">
        <f>IFERROR(INDEX('T12 Raw Data'!L:L,MATCH("Utilities",'T12 Raw Data'!B:B,0)),0)</f>
        <v/>
      </c>
      <c r="I55" s="144">
        <f>IFERROR(INDEX('T12 Raw Data'!M:M,MATCH("Utilities",'T12 Raw Data'!B:B,0)),0)</f>
        <v/>
      </c>
      <c r="J55" s="144">
        <f>IFERROR(INDEX('T12 Raw Data'!N:N,MATCH("Utilities",'T12 Raw Data'!B:B,0)),0)</f>
        <v/>
      </c>
      <c r="K55" s="144">
        <f>IFERROR(INDEX('T12 Raw Data'!O:O,MATCH("Utilities",'T12 Raw Data'!B:B,0)),0)</f>
        <v/>
      </c>
      <c r="L55" s="144">
        <f>IFERROR(INDEX('T12 Raw Data'!P:P,MATCH("Utilities",'T12 Raw Data'!B:B,0)),0)</f>
        <v/>
      </c>
      <c r="M55" s="144">
        <f>IFERROR(INDEX('T12 Raw Data'!Q:Q,MATCH("Utilities",'T12 Raw Data'!B:B,0)),0)</f>
        <v/>
      </c>
      <c r="N55" s="145">
        <f>SUM(B55:M55)</f>
        <v/>
      </c>
    </row>
    <row r="56" ht="15.75" customHeight="1" s="199">
      <c r="A56" s="83" t="inlineStr">
        <is>
          <t>Telephone / IT</t>
        </is>
      </c>
      <c r="B56" s="144">
        <f>IFERROR(INDEX('T12 Raw Data'!F:F,MATCH("Telephone / IT",'T12 Raw Data'!B:B,0)),0)</f>
        <v/>
      </c>
      <c r="C56" s="144">
        <f>IFERROR(INDEX('T12 Raw Data'!G:G,MATCH("Telephone / IT",'T12 Raw Data'!B:B,0)),0)</f>
        <v/>
      </c>
      <c r="D56" s="144">
        <f>IFERROR(INDEX('T12 Raw Data'!H:H,MATCH("Telephone / IT",'T12 Raw Data'!B:B,0)),0)</f>
        <v/>
      </c>
      <c r="E56" s="144">
        <f>IFERROR(INDEX('T12 Raw Data'!I:I,MATCH("Telephone / IT",'T12 Raw Data'!B:B,0)),0)</f>
        <v/>
      </c>
      <c r="F56" s="144">
        <f>IFERROR(INDEX('T12 Raw Data'!J:J,MATCH("Telephone / IT",'T12 Raw Data'!B:B,0)),0)</f>
        <v/>
      </c>
      <c r="G56" s="144">
        <f>IFERROR(INDEX('T12 Raw Data'!K:K,MATCH("Telephone / IT",'T12 Raw Data'!B:B,0)),0)</f>
        <v/>
      </c>
      <c r="H56" s="144">
        <f>IFERROR(INDEX('T12 Raw Data'!L:L,MATCH("Telephone / IT",'T12 Raw Data'!B:B,0)),0)</f>
        <v/>
      </c>
      <c r="I56" s="144">
        <f>IFERROR(INDEX('T12 Raw Data'!M:M,MATCH("Telephone / IT",'T12 Raw Data'!B:B,0)),0)</f>
        <v/>
      </c>
      <c r="J56" s="144">
        <f>IFERROR(INDEX('T12 Raw Data'!N:N,MATCH("Telephone / IT",'T12 Raw Data'!B:B,0)),0)</f>
        <v/>
      </c>
      <c r="K56" s="144">
        <f>IFERROR(INDEX('T12 Raw Data'!O:O,MATCH("Telephone / IT",'T12 Raw Data'!B:B,0)),0)</f>
        <v/>
      </c>
      <c r="L56" s="144">
        <f>IFERROR(INDEX('T12 Raw Data'!P:P,MATCH("Telephone / IT",'T12 Raw Data'!B:B,0)),0)</f>
        <v/>
      </c>
      <c r="M56" s="144">
        <f>IFERROR(INDEX('T12 Raw Data'!Q:Q,MATCH("Telephone / IT",'T12 Raw Data'!B:B,0)),0)</f>
        <v/>
      </c>
      <c r="N56" s="145">
        <f>SUM(B56:M56)</f>
        <v/>
      </c>
    </row>
    <row r="57" ht="15.75" customHeight="1" s="199">
      <c r="A57" s="83" t="inlineStr">
        <is>
          <t>P&amp;C insurance</t>
        </is>
      </c>
      <c r="B57" s="144">
        <f>IFERROR(INDEX('T12 Raw Data'!F:F,MATCH("P&amp;C insurance (bundled)",'T12 Raw Data'!B:B,0)),0)</f>
        <v/>
      </c>
      <c r="C57" s="144">
        <f>IFERROR(INDEX('T12 Raw Data'!G:G,MATCH("P&amp;C insurance (bundled)",'T12 Raw Data'!B:B,0)),0)</f>
        <v/>
      </c>
      <c r="D57" s="144">
        <f>IFERROR(INDEX('T12 Raw Data'!H:H,MATCH("P&amp;C insurance (bundled)",'T12 Raw Data'!B:B,0)),0)</f>
        <v/>
      </c>
      <c r="E57" s="144">
        <f>IFERROR(INDEX('T12 Raw Data'!I:I,MATCH("P&amp;C insurance (bundled)",'T12 Raw Data'!B:B,0)),0)</f>
        <v/>
      </c>
      <c r="F57" s="144">
        <f>IFERROR(INDEX('T12 Raw Data'!J:J,MATCH("P&amp;C insurance (bundled)",'T12 Raw Data'!B:B,0)),0)</f>
        <v/>
      </c>
      <c r="G57" s="144">
        <f>IFERROR(INDEX('T12 Raw Data'!K:K,MATCH("P&amp;C insurance (bundled)",'T12 Raw Data'!B:B,0)),0)</f>
        <v/>
      </c>
      <c r="H57" s="144">
        <f>IFERROR(INDEX('T12 Raw Data'!L:L,MATCH("P&amp;C insurance (bundled)",'T12 Raw Data'!B:B,0)),0)</f>
        <v/>
      </c>
      <c r="I57" s="144">
        <f>IFERROR(INDEX('T12 Raw Data'!M:M,MATCH("P&amp;C insurance (bundled)",'T12 Raw Data'!B:B,0)),0)</f>
        <v/>
      </c>
      <c r="J57" s="144">
        <f>IFERROR(INDEX('T12 Raw Data'!N:N,MATCH("P&amp;C insurance (bundled)",'T12 Raw Data'!B:B,0)),0)</f>
        <v/>
      </c>
      <c r="K57" s="144">
        <f>IFERROR(INDEX('T12 Raw Data'!O:O,MATCH("P&amp;C insurance (bundled)",'T12 Raw Data'!B:B,0)),0)</f>
        <v/>
      </c>
      <c r="L57" s="144">
        <f>IFERROR(INDEX('T12 Raw Data'!P:P,MATCH("P&amp;C insurance (bundled)",'T12 Raw Data'!B:B,0)),0)</f>
        <v/>
      </c>
      <c r="M57" s="144">
        <f>IFERROR(INDEX('T12 Raw Data'!Q:Q,MATCH("P&amp;C insurance (bundled)",'T12 Raw Data'!B:B,0)),0)</f>
        <v/>
      </c>
      <c r="N57" s="145">
        <f>SUM(B57:M57)</f>
        <v/>
      </c>
    </row>
    <row r="58" ht="15.75" customHeight="1" s="199">
      <c r="A58" s="83" t="inlineStr">
        <is>
          <t>Auto insurance</t>
        </is>
      </c>
      <c r="B58" s="144">
        <f>IFERROR(INDEX('T12 Raw Data'!F:F,MATCH("Auto insurance",'T12 Raw Data'!B:B,0)),0)</f>
        <v/>
      </c>
      <c r="C58" s="144">
        <f>IFERROR(INDEX('T12 Raw Data'!G:G,MATCH("Auto insurance",'T12 Raw Data'!B:B,0)),0)</f>
        <v/>
      </c>
      <c r="D58" s="144">
        <f>IFERROR(INDEX('T12 Raw Data'!H:H,MATCH("Auto insurance",'T12 Raw Data'!B:B,0)),0)</f>
        <v/>
      </c>
      <c r="E58" s="144">
        <f>IFERROR(INDEX('T12 Raw Data'!I:I,MATCH("Auto insurance",'T12 Raw Data'!B:B,0)),0)</f>
        <v/>
      </c>
      <c r="F58" s="144">
        <f>IFERROR(INDEX('T12 Raw Data'!J:J,MATCH("Auto insurance",'T12 Raw Data'!B:B,0)),0)</f>
        <v/>
      </c>
      <c r="G58" s="144">
        <f>IFERROR(INDEX('T12 Raw Data'!K:K,MATCH("Auto insurance",'T12 Raw Data'!B:B,0)),0)</f>
        <v/>
      </c>
      <c r="H58" s="144">
        <f>IFERROR(INDEX('T12 Raw Data'!L:L,MATCH("Auto insurance",'T12 Raw Data'!B:B,0)),0)</f>
        <v/>
      </c>
      <c r="I58" s="144">
        <f>IFERROR(INDEX('T12 Raw Data'!M:M,MATCH("Auto insurance",'T12 Raw Data'!B:B,0)),0)</f>
        <v/>
      </c>
      <c r="J58" s="144">
        <f>IFERROR(INDEX('T12 Raw Data'!N:N,MATCH("Auto insurance",'T12 Raw Data'!B:B,0)),0)</f>
        <v/>
      </c>
      <c r="K58" s="144">
        <f>IFERROR(INDEX('T12 Raw Data'!O:O,MATCH("Auto insurance",'T12 Raw Data'!B:B,0)),0)</f>
        <v/>
      </c>
      <c r="L58" s="144">
        <f>IFERROR(INDEX('T12 Raw Data'!P:P,MATCH("Auto insurance",'T12 Raw Data'!B:B,0)),0)</f>
        <v/>
      </c>
      <c r="M58" s="144">
        <f>IFERROR(INDEX('T12 Raw Data'!Q:Q,MATCH("Auto insurance",'T12 Raw Data'!B:B,0)),0)</f>
        <v/>
      </c>
      <c r="N58" s="145">
        <f>SUM(B58:M58)</f>
        <v/>
      </c>
    </row>
    <row r="59" ht="15.75" customHeight="1" s="199">
      <c r="A59" s="83" t="inlineStr">
        <is>
          <t>Auto Expense</t>
        </is>
      </c>
      <c r="B59" s="144">
        <f>IFERROR(INDEX('T12 Raw Data'!F:F,MATCH("Auto Expense",'T12 Raw Data'!B:B,0)),0)</f>
        <v/>
      </c>
      <c r="C59" s="144">
        <f>IFERROR(INDEX('T12 Raw Data'!G:G,MATCH("Auto Expense",'T12 Raw Data'!B:B,0)),0)</f>
        <v/>
      </c>
      <c r="D59" s="144">
        <f>IFERROR(INDEX('T12 Raw Data'!H:H,MATCH("Auto Expense",'T12 Raw Data'!B:B,0)),0)</f>
        <v/>
      </c>
      <c r="E59" s="144">
        <f>IFERROR(INDEX('T12 Raw Data'!I:I,MATCH("Auto Expense",'T12 Raw Data'!B:B,0)),0)</f>
        <v/>
      </c>
      <c r="F59" s="144">
        <f>IFERROR(INDEX('T12 Raw Data'!J:J,MATCH("Auto Expense",'T12 Raw Data'!B:B,0)),0)</f>
        <v/>
      </c>
      <c r="G59" s="144">
        <f>IFERROR(INDEX('T12 Raw Data'!K:K,MATCH("Auto Expense",'T12 Raw Data'!B:B,0)),0)</f>
        <v/>
      </c>
      <c r="H59" s="144">
        <f>IFERROR(INDEX('T12 Raw Data'!L:L,MATCH("Auto Expense",'T12 Raw Data'!B:B,0)),0)</f>
        <v/>
      </c>
      <c r="I59" s="144">
        <f>IFERROR(INDEX('T12 Raw Data'!M:M,MATCH("Auto Expense",'T12 Raw Data'!B:B,0)),0)</f>
        <v/>
      </c>
      <c r="J59" s="144">
        <f>IFERROR(INDEX('T12 Raw Data'!N:N,MATCH("Auto Expense",'T12 Raw Data'!B:B,0)),0)</f>
        <v/>
      </c>
      <c r="K59" s="144">
        <f>IFERROR(INDEX('T12 Raw Data'!O:O,MATCH("Auto Expense",'T12 Raw Data'!B:B,0)),0)</f>
        <v/>
      </c>
      <c r="L59" s="144">
        <f>IFERROR(INDEX('T12 Raw Data'!P:P,MATCH("Auto Expense",'T12 Raw Data'!B:B,0)),0)</f>
        <v/>
      </c>
      <c r="M59" s="144">
        <f>IFERROR(INDEX('T12 Raw Data'!Q:Q,MATCH("Auto Expense",'T12 Raw Data'!B:B,0)),0)</f>
        <v/>
      </c>
      <c r="N59" s="145">
        <f>SUM(B59:M59)</f>
        <v/>
      </c>
    </row>
    <row r="60" ht="15.75" customHeight="1" s="199">
      <c r="A60" s="83" t="inlineStr">
        <is>
          <t>Fire / security monitor</t>
        </is>
      </c>
      <c r="B60" s="144">
        <f>IFERROR(INDEX('T12 Raw Data'!F:F,MATCH("Fire / security monitoring",'T12 Raw Data'!B:B,0)),0)</f>
        <v/>
      </c>
      <c r="C60" s="144">
        <f>IFERROR(INDEX('T12 Raw Data'!G:G,MATCH("Fire / security monitoring",'T12 Raw Data'!B:B,0)),0)</f>
        <v/>
      </c>
      <c r="D60" s="144">
        <f>IFERROR(INDEX('T12 Raw Data'!H:H,MATCH("Fire / security monitoring",'T12 Raw Data'!B:B,0)),0)</f>
        <v/>
      </c>
      <c r="E60" s="144">
        <f>IFERROR(INDEX('T12 Raw Data'!I:I,MATCH("Fire / security monitoring",'T12 Raw Data'!B:B,0)),0)</f>
        <v/>
      </c>
      <c r="F60" s="144">
        <f>IFERROR(INDEX('T12 Raw Data'!J:J,MATCH("Fire / security monitoring",'T12 Raw Data'!B:B,0)),0)</f>
        <v/>
      </c>
      <c r="G60" s="144">
        <f>IFERROR(INDEX('T12 Raw Data'!K:K,MATCH("Fire / security monitoring",'T12 Raw Data'!B:B,0)),0)</f>
        <v/>
      </c>
      <c r="H60" s="144">
        <f>IFERROR(INDEX('T12 Raw Data'!L:L,MATCH("Fire / security monitoring",'T12 Raw Data'!B:B,0)),0)</f>
        <v/>
      </c>
      <c r="I60" s="144">
        <f>IFERROR(INDEX('T12 Raw Data'!M:M,MATCH("Fire / security monitoring",'T12 Raw Data'!B:B,0)),0)</f>
        <v/>
      </c>
      <c r="J60" s="144">
        <f>IFERROR(INDEX('T12 Raw Data'!N:N,MATCH("Fire / security monitoring",'T12 Raw Data'!B:B,0)),0)</f>
        <v/>
      </c>
      <c r="K60" s="144">
        <f>IFERROR(INDEX('T12 Raw Data'!O:O,MATCH("Fire / security monitoring",'T12 Raw Data'!B:B,0)),0)</f>
        <v/>
      </c>
      <c r="L60" s="144">
        <f>IFERROR(INDEX('T12 Raw Data'!P:P,MATCH("Fire / security monitoring",'T12 Raw Data'!B:B,0)),0)</f>
        <v/>
      </c>
      <c r="M60" s="144">
        <f>IFERROR(INDEX('T12 Raw Data'!Q:Q,MATCH("Fire / security monitoring",'T12 Raw Data'!B:B,0)),0)</f>
        <v/>
      </c>
      <c r="N60" s="145">
        <f>SUM(B60:M60)</f>
        <v/>
      </c>
    </row>
    <row r="61" ht="15.75" customHeight="1" s="199">
      <c r="A61" s="83" t="inlineStr">
        <is>
          <t>Pest elimination</t>
        </is>
      </c>
      <c r="B61" s="144">
        <f>IFERROR(INDEX('T12 Raw Data'!F:F,MATCH("Pest elimination",'T12 Raw Data'!B:B,0)),0)</f>
        <v/>
      </c>
      <c r="C61" s="144">
        <f>IFERROR(INDEX('T12 Raw Data'!G:G,MATCH("Pest elimination",'T12 Raw Data'!B:B,0)),0)</f>
        <v/>
      </c>
      <c r="D61" s="144">
        <f>IFERROR(INDEX('T12 Raw Data'!H:H,MATCH("Pest elimination",'T12 Raw Data'!B:B,0)),0)</f>
        <v/>
      </c>
      <c r="E61" s="144">
        <f>IFERROR(INDEX('T12 Raw Data'!I:I,MATCH("Pest elimination",'T12 Raw Data'!B:B,0)),0)</f>
        <v/>
      </c>
      <c r="F61" s="144">
        <f>IFERROR(INDEX('T12 Raw Data'!J:J,MATCH("Pest elimination",'T12 Raw Data'!B:B,0)),0)</f>
        <v/>
      </c>
      <c r="G61" s="144">
        <f>IFERROR(INDEX('T12 Raw Data'!K:K,MATCH("Pest elimination",'T12 Raw Data'!B:B,0)),0)</f>
        <v/>
      </c>
      <c r="H61" s="144">
        <f>IFERROR(INDEX('T12 Raw Data'!L:L,MATCH("Pest elimination",'T12 Raw Data'!B:B,0)),0)</f>
        <v/>
      </c>
      <c r="I61" s="144">
        <f>IFERROR(INDEX('T12 Raw Data'!M:M,MATCH("Pest elimination",'T12 Raw Data'!B:B,0)),0)</f>
        <v/>
      </c>
      <c r="J61" s="144">
        <f>IFERROR(INDEX('T12 Raw Data'!N:N,MATCH("Pest elimination",'T12 Raw Data'!B:B,0)),0)</f>
        <v/>
      </c>
      <c r="K61" s="144">
        <f>IFERROR(INDEX('T12 Raw Data'!O:O,MATCH("Pest elimination",'T12 Raw Data'!B:B,0)),0)</f>
        <v/>
      </c>
      <c r="L61" s="144">
        <f>IFERROR(INDEX('T12 Raw Data'!P:P,MATCH("Pest elimination",'T12 Raw Data'!B:B,0)),0)</f>
        <v/>
      </c>
      <c r="M61" s="144">
        <f>IFERROR(INDEX('T12 Raw Data'!Q:Q,MATCH("Pest elimination",'T12 Raw Data'!B:B,0)),0)</f>
        <v/>
      </c>
      <c r="N61" s="145">
        <f>SUM(B61:M61)</f>
        <v/>
      </c>
    </row>
    <row r="62" ht="15.75" customHeight="1" s="199">
      <c r="A62" s="83" t="inlineStr">
        <is>
          <t>Real estate taxes</t>
        </is>
      </c>
      <c r="B62" s="144">
        <f>IFERROR(INDEX('T12 Raw Data'!F:F,MATCH("Real estate taxes",'T12 Raw Data'!B:B,0)),0)</f>
        <v/>
      </c>
      <c r="C62" s="144">
        <f>IFERROR(INDEX('T12 Raw Data'!G:G,MATCH("Real estate taxes",'T12 Raw Data'!B:B,0)),0)</f>
        <v/>
      </c>
      <c r="D62" s="144">
        <f>IFERROR(INDEX('T12 Raw Data'!H:H,MATCH("Real estate taxes",'T12 Raw Data'!B:B,0)),0)</f>
        <v/>
      </c>
      <c r="E62" s="144">
        <f>IFERROR(INDEX('T12 Raw Data'!I:I,MATCH("Real estate taxes",'T12 Raw Data'!B:B,0)),0)</f>
        <v/>
      </c>
      <c r="F62" s="144">
        <f>IFERROR(INDEX('T12 Raw Data'!J:J,MATCH("Real estate taxes",'T12 Raw Data'!B:B,0)),0)</f>
        <v/>
      </c>
      <c r="G62" s="144">
        <f>IFERROR(INDEX('T12 Raw Data'!K:K,MATCH("Real estate taxes",'T12 Raw Data'!B:B,0)),0)</f>
        <v/>
      </c>
      <c r="H62" s="144">
        <f>IFERROR(INDEX('T12 Raw Data'!L:L,MATCH("Real estate taxes",'T12 Raw Data'!B:B,0)),0)</f>
        <v/>
      </c>
      <c r="I62" s="144">
        <f>IFERROR(INDEX('T12 Raw Data'!M:M,MATCH("Real estate taxes",'T12 Raw Data'!B:B,0)),0)</f>
        <v/>
      </c>
      <c r="J62" s="144">
        <f>IFERROR(INDEX('T12 Raw Data'!N:N,MATCH("Real estate taxes",'T12 Raw Data'!B:B,0)),0)</f>
        <v/>
      </c>
      <c r="K62" s="144">
        <f>IFERROR(INDEX('T12 Raw Data'!O:O,MATCH("Real estate taxes",'T12 Raw Data'!B:B,0)),0)</f>
        <v/>
      </c>
      <c r="L62" s="144">
        <f>IFERROR(INDEX('T12 Raw Data'!P:P,MATCH("Real estate taxes",'T12 Raw Data'!B:B,0)),0)</f>
        <v/>
      </c>
      <c r="M62" s="144">
        <f>IFERROR(INDEX('T12 Raw Data'!Q:Q,MATCH("Real estate taxes",'T12 Raw Data'!B:B,0)),0)</f>
        <v/>
      </c>
      <c r="N62" s="145">
        <f>SUM(B62:M62)</f>
        <v/>
      </c>
    </row>
    <row r="63" ht="15.75" customHeight="1" s="199">
      <c r="A63" s="83" t="inlineStr">
        <is>
          <t>Personal property taxes</t>
        </is>
      </c>
      <c r="B63" s="144">
        <f>IFERROR(INDEX('T12 Raw Data'!F:F,MATCH("Personal property taxes",'T12 Raw Data'!B:B,0)),0)</f>
        <v/>
      </c>
      <c r="C63" s="144">
        <f>IFERROR(INDEX('T12 Raw Data'!G:G,MATCH("Personal property taxes",'T12 Raw Data'!B:B,0)),0)</f>
        <v/>
      </c>
      <c r="D63" s="144">
        <f>IFERROR(INDEX('T12 Raw Data'!H:H,MATCH("Personal property taxes",'T12 Raw Data'!B:B,0)),0)</f>
        <v/>
      </c>
      <c r="E63" s="144">
        <f>IFERROR(INDEX('T12 Raw Data'!I:I,MATCH("Personal property taxes",'T12 Raw Data'!B:B,0)),0)</f>
        <v/>
      </c>
      <c r="F63" s="144">
        <f>IFERROR(INDEX('T12 Raw Data'!J:J,MATCH("Personal property taxes",'T12 Raw Data'!B:B,0)),0)</f>
        <v/>
      </c>
      <c r="G63" s="144">
        <f>IFERROR(INDEX('T12 Raw Data'!K:K,MATCH("Personal property taxes",'T12 Raw Data'!B:B,0)),0)</f>
        <v/>
      </c>
      <c r="H63" s="144">
        <f>IFERROR(INDEX('T12 Raw Data'!L:L,MATCH("Personal property taxes",'T12 Raw Data'!B:B,0)),0)</f>
        <v/>
      </c>
      <c r="I63" s="144">
        <f>IFERROR(INDEX('T12 Raw Data'!M:M,MATCH("Personal property taxes",'T12 Raw Data'!B:B,0)),0)</f>
        <v/>
      </c>
      <c r="J63" s="144">
        <f>IFERROR(INDEX('T12 Raw Data'!N:N,MATCH("Personal property taxes",'T12 Raw Data'!B:B,0)),0)</f>
        <v/>
      </c>
      <c r="K63" s="144">
        <f>IFERROR(INDEX('T12 Raw Data'!O:O,MATCH("Personal property taxes",'T12 Raw Data'!B:B,0)),0)</f>
        <v/>
      </c>
      <c r="L63" s="144">
        <f>IFERROR(INDEX('T12 Raw Data'!P:P,MATCH("Personal property taxes",'T12 Raw Data'!B:B,0)),0)</f>
        <v/>
      </c>
      <c r="M63" s="144">
        <f>IFERROR(INDEX('T12 Raw Data'!Q:Q,MATCH("Personal property taxes",'T12 Raw Data'!B:B,0)),0)</f>
        <v/>
      </c>
      <c r="N63" s="145">
        <f>SUM(B63:M63)</f>
        <v/>
      </c>
    </row>
    <row r="64" ht="15.75" customHeight="1" s="199">
      <c r="A64" s="83" t="inlineStr">
        <is>
          <t>Legal expenses</t>
        </is>
      </c>
      <c r="B64" s="144">
        <f>IFERROR(INDEX('T12 Raw Data'!F:F,MATCH("Legal expenses",'T12 Raw Data'!B:B,0)),0)</f>
        <v/>
      </c>
      <c r="C64" s="144">
        <f>IFERROR(INDEX('T12 Raw Data'!G:G,MATCH("Legal expenses",'T12 Raw Data'!B:B,0)),0)</f>
        <v/>
      </c>
      <c r="D64" s="144">
        <f>IFERROR(INDEX('T12 Raw Data'!H:H,MATCH("Legal expenses",'T12 Raw Data'!B:B,0)),0)</f>
        <v/>
      </c>
      <c r="E64" s="144">
        <f>IFERROR(INDEX('T12 Raw Data'!I:I,MATCH("Legal expenses",'T12 Raw Data'!B:B,0)),0)</f>
        <v/>
      </c>
      <c r="F64" s="144">
        <f>IFERROR(INDEX('T12 Raw Data'!J:J,MATCH("Legal expenses",'T12 Raw Data'!B:B,0)),0)</f>
        <v/>
      </c>
      <c r="G64" s="144">
        <f>IFERROR(INDEX('T12 Raw Data'!K:K,MATCH("Legal expenses",'T12 Raw Data'!B:B,0)),0)</f>
        <v/>
      </c>
      <c r="H64" s="144">
        <f>IFERROR(INDEX('T12 Raw Data'!L:L,MATCH("Legal expenses",'T12 Raw Data'!B:B,0)),0)</f>
        <v/>
      </c>
      <c r="I64" s="144">
        <f>IFERROR(INDEX('T12 Raw Data'!M:M,MATCH("Legal expenses",'T12 Raw Data'!B:B,0)),0)</f>
        <v/>
      </c>
      <c r="J64" s="144">
        <f>IFERROR(INDEX('T12 Raw Data'!N:N,MATCH("Legal expenses",'T12 Raw Data'!B:B,0)),0)</f>
        <v/>
      </c>
      <c r="K64" s="144">
        <f>IFERROR(INDEX('T12 Raw Data'!O:O,MATCH("Legal expenses",'T12 Raw Data'!B:B,0)),0)</f>
        <v/>
      </c>
      <c r="L64" s="144">
        <f>IFERROR(INDEX('T12 Raw Data'!P:P,MATCH("Legal expenses",'T12 Raw Data'!B:B,0)),0)</f>
        <v/>
      </c>
      <c r="M64" s="144">
        <f>IFERROR(INDEX('T12 Raw Data'!Q:Q,MATCH("Legal expenses",'T12 Raw Data'!B:B,0)),0)</f>
        <v/>
      </c>
      <c r="N64" s="145">
        <f>SUM(B64:M64)</f>
        <v/>
      </c>
    </row>
    <row r="65" ht="15.75" customHeight="1" s="199">
      <c r="A65" s="83" t="inlineStr">
        <is>
          <t>Professional services</t>
        </is>
      </c>
      <c r="B65" s="144">
        <f>IFERROR(INDEX('T12 Raw Data'!F:F,MATCH("Professional services",'T12 Raw Data'!B:B,0)),0)</f>
        <v/>
      </c>
      <c r="C65" s="144">
        <f>IFERROR(INDEX('T12 Raw Data'!G:G,MATCH("Professional services",'T12 Raw Data'!B:B,0)),0)</f>
        <v/>
      </c>
      <c r="D65" s="144">
        <f>IFERROR(INDEX('T12 Raw Data'!H:H,MATCH("Professional services",'T12 Raw Data'!B:B,0)),0)</f>
        <v/>
      </c>
      <c r="E65" s="144">
        <f>IFERROR(INDEX('T12 Raw Data'!I:I,MATCH("Professional services",'T12 Raw Data'!B:B,0)),0)</f>
        <v/>
      </c>
      <c r="F65" s="144">
        <f>IFERROR(INDEX('T12 Raw Data'!J:J,MATCH("Professional services",'T12 Raw Data'!B:B,0)),0)</f>
        <v/>
      </c>
      <c r="G65" s="144">
        <f>IFERROR(INDEX('T12 Raw Data'!K:K,MATCH("Professional services",'T12 Raw Data'!B:B,0)),0)</f>
        <v/>
      </c>
      <c r="H65" s="144">
        <f>IFERROR(INDEX('T12 Raw Data'!L:L,MATCH("Professional services",'T12 Raw Data'!B:B,0)),0)</f>
        <v/>
      </c>
      <c r="I65" s="144">
        <f>IFERROR(INDEX('T12 Raw Data'!M:M,MATCH("Professional services",'T12 Raw Data'!B:B,0)),0)</f>
        <v/>
      </c>
      <c r="J65" s="144">
        <f>IFERROR(INDEX('T12 Raw Data'!N:N,MATCH("Professional services",'T12 Raw Data'!B:B,0)),0)</f>
        <v/>
      </c>
      <c r="K65" s="144">
        <f>IFERROR(INDEX('T12 Raw Data'!O:O,MATCH("Professional services",'T12 Raw Data'!B:B,0)),0)</f>
        <v/>
      </c>
      <c r="L65" s="144">
        <f>IFERROR(INDEX('T12 Raw Data'!P:P,MATCH("Professional services",'T12 Raw Data'!B:B,0)),0)</f>
        <v/>
      </c>
      <c r="M65" s="144">
        <f>IFERROR(INDEX('T12 Raw Data'!Q:Q,MATCH("Professional services",'T12 Raw Data'!B:B,0)),0)</f>
        <v/>
      </c>
      <c r="N65" s="145">
        <f>SUM(B65:M65)</f>
        <v/>
      </c>
    </row>
    <row r="66" ht="15.75" customHeight="1" s="199">
      <c r="A66" s="83" t="inlineStr">
        <is>
          <t>Bad debt expense</t>
        </is>
      </c>
      <c r="B66" s="144">
        <f>IFERROR(INDEX('T12 Raw Data'!F:F,MATCH("Bad debt expense",'T12 Raw Data'!B:B,0)),0)</f>
        <v/>
      </c>
      <c r="C66" s="144">
        <f>IFERROR(INDEX('T12 Raw Data'!G:G,MATCH("Bad debt expense",'T12 Raw Data'!B:B,0)),0)</f>
        <v/>
      </c>
      <c r="D66" s="144">
        <f>IFERROR(INDEX('T12 Raw Data'!H:H,MATCH("Bad debt expense",'T12 Raw Data'!B:B,0)),0)</f>
        <v/>
      </c>
      <c r="E66" s="144">
        <f>IFERROR(INDEX('T12 Raw Data'!I:I,MATCH("Bad debt expense",'T12 Raw Data'!B:B,0)),0)</f>
        <v/>
      </c>
      <c r="F66" s="144">
        <f>IFERROR(INDEX('T12 Raw Data'!J:J,MATCH("Bad debt expense",'T12 Raw Data'!B:B,0)),0)</f>
        <v/>
      </c>
      <c r="G66" s="144">
        <f>IFERROR(INDEX('T12 Raw Data'!K:K,MATCH("Bad debt expense",'T12 Raw Data'!B:B,0)),0)</f>
        <v/>
      </c>
      <c r="H66" s="144">
        <f>IFERROR(INDEX('T12 Raw Data'!L:L,MATCH("Bad debt expense",'T12 Raw Data'!B:B,0)),0)</f>
        <v/>
      </c>
      <c r="I66" s="144">
        <f>IFERROR(INDEX('T12 Raw Data'!M:M,MATCH("Bad debt expense",'T12 Raw Data'!B:B,0)),0)</f>
        <v/>
      </c>
      <c r="J66" s="144">
        <f>IFERROR(INDEX('T12 Raw Data'!N:N,MATCH("Bad debt expense",'T12 Raw Data'!B:B,0)),0)</f>
        <v/>
      </c>
      <c r="K66" s="144">
        <f>IFERROR(INDEX('T12 Raw Data'!O:O,MATCH("Bad debt expense",'T12 Raw Data'!B:B,0)),0)</f>
        <v/>
      </c>
      <c r="L66" s="144">
        <f>IFERROR(INDEX('T12 Raw Data'!P:P,MATCH("Bad debt expense",'T12 Raw Data'!B:B,0)),0)</f>
        <v/>
      </c>
      <c r="M66" s="144">
        <f>IFERROR(INDEX('T12 Raw Data'!Q:Q,MATCH("Bad debt expense",'T12 Raw Data'!B:B,0)),0)</f>
        <v/>
      </c>
      <c r="N66" s="145">
        <f>SUM(B66:M66)</f>
        <v/>
      </c>
    </row>
    <row r="67" ht="15.75" customHeight="1" s="199">
      <c r="A67" s="83" t="inlineStr">
        <is>
          <t>Permits, licenses &amp; dues</t>
        </is>
      </c>
      <c r="B67" s="144">
        <f>IFERROR(INDEX('T12 Raw Data'!F:F,MATCH("Permits, licenses &amp; dues",'T12 Raw Data'!B:B,0)),0)</f>
        <v/>
      </c>
      <c r="C67" s="144">
        <f>IFERROR(INDEX('T12 Raw Data'!G:G,MATCH("Permits, licenses &amp; dues",'T12 Raw Data'!B:B,0)),0)</f>
        <v/>
      </c>
      <c r="D67" s="144">
        <f>IFERROR(INDEX('T12 Raw Data'!H:H,MATCH("Permits, licenses &amp; dues",'T12 Raw Data'!B:B,0)),0)</f>
        <v/>
      </c>
      <c r="E67" s="144">
        <f>IFERROR(INDEX('T12 Raw Data'!I:I,MATCH("Permits, licenses &amp; dues",'T12 Raw Data'!B:B,0)),0)</f>
        <v/>
      </c>
      <c r="F67" s="144">
        <f>IFERROR(INDEX('T12 Raw Data'!J:J,MATCH("Permits, licenses &amp; dues",'T12 Raw Data'!B:B,0)),0)</f>
        <v/>
      </c>
      <c r="G67" s="144">
        <f>IFERROR(INDEX('T12 Raw Data'!K:K,MATCH("Permits, licenses &amp; dues",'T12 Raw Data'!B:B,0)),0)</f>
        <v/>
      </c>
      <c r="H67" s="144">
        <f>IFERROR(INDEX('T12 Raw Data'!L:L,MATCH("Permits, licenses &amp; dues",'T12 Raw Data'!B:B,0)),0)</f>
        <v/>
      </c>
      <c r="I67" s="144">
        <f>IFERROR(INDEX('T12 Raw Data'!M:M,MATCH("Permits, licenses &amp; dues",'T12 Raw Data'!B:B,0)),0)</f>
        <v/>
      </c>
      <c r="J67" s="144">
        <f>IFERROR(INDEX('T12 Raw Data'!N:N,MATCH("Permits, licenses &amp; dues",'T12 Raw Data'!B:B,0)),0)</f>
        <v/>
      </c>
      <c r="K67" s="144">
        <f>IFERROR(INDEX('T12 Raw Data'!O:O,MATCH("Permits, licenses &amp; dues",'T12 Raw Data'!B:B,0)),0)</f>
        <v/>
      </c>
      <c r="L67" s="144">
        <f>IFERROR(INDEX('T12 Raw Data'!P:P,MATCH("Permits, licenses &amp; dues",'T12 Raw Data'!B:B,0)),0)</f>
        <v/>
      </c>
      <c r="M67" s="144">
        <f>IFERROR(INDEX('T12 Raw Data'!Q:Q,MATCH("Permits, licenses &amp; dues",'T12 Raw Data'!B:B,0)),0)</f>
        <v/>
      </c>
      <c r="N67" s="145">
        <f>SUM(B67:M67)</f>
        <v/>
      </c>
    </row>
    <row r="68" ht="15.75" customHeight="1" s="199">
      <c r="A68" s="83" t="inlineStr">
        <is>
          <t>Office, admin &amp; G&amp;A</t>
        </is>
      </c>
      <c r="B68" s="144">
        <f>IFERROR(INDEX('T12 Raw Data'!F:F,MATCH("Office, admin &amp; G&amp;A",'T12 Raw Data'!B:B,0)),0)</f>
        <v/>
      </c>
      <c r="C68" s="144">
        <f>IFERROR(INDEX('T12 Raw Data'!G:G,MATCH("Office, admin &amp; G&amp;A",'T12 Raw Data'!B:B,0)),0)</f>
        <v/>
      </c>
      <c r="D68" s="144">
        <f>IFERROR(INDEX('T12 Raw Data'!H:H,MATCH("Office, admin &amp; G&amp;A",'T12 Raw Data'!B:B,0)),0)</f>
        <v/>
      </c>
      <c r="E68" s="144">
        <f>IFERROR(INDEX('T12 Raw Data'!I:I,MATCH("Office, admin &amp; G&amp;A",'T12 Raw Data'!B:B,0)),0)</f>
        <v/>
      </c>
      <c r="F68" s="144">
        <f>IFERROR(INDEX('T12 Raw Data'!J:J,MATCH("Office, admin &amp; G&amp;A",'T12 Raw Data'!B:B,0)),0)</f>
        <v/>
      </c>
      <c r="G68" s="144">
        <f>IFERROR(INDEX('T12 Raw Data'!K:K,MATCH("Office, admin &amp; G&amp;A",'T12 Raw Data'!B:B,0)),0)</f>
        <v/>
      </c>
      <c r="H68" s="144">
        <f>IFERROR(INDEX('T12 Raw Data'!L:L,MATCH("Office, admin &amp; G&amp;A",'T12 Raw Data'!B:B,0)),0)</f>
        <v/>
      </c>
      <c r="I68" s="144">
        <f>IFERROR(INDEX('T12 Raw Data'!M:M,MATCH("Office, admin &amp; G&amp;A",'T12 Raw Data'!B:B,0)),0)</f>
        <v/>
      </c>
      <c r="J68" s="144">
        <f>IFERROR(INDEX('T12 Raw Data'!N:N,MATCH("Office, admin &amp; G&amp;A",'T12 Raw Data'!B:B,0)),0)</f>
        <v/>
      </c>
      <c r="K68" s="144">
        <f>IFERROR(INDEX('T12 Raw Data'!O:O,MATCH("Office, admin &amp; G&amp;A",'T12 Raw Data'!B:B,0)),0)</f>
        <v/>
      </c>
      <c r="L68" s="144">
        <f>IFERROR(INDEX('T12 Raw Data'!P:P,MATCH("Office, admin &amp; G&amp;A",'T12 Raw Data'!B:B,0)),0)</f>
        <v/>
      </c>
      <c r="M68" s="144">
        <f>IFERROR(INDEX('T12 Raw Data'!Q:Q,MATCH("Office, admin &amp; G&amp;A",'T12 Raw Data'!B:B,0)),0)</f>
        <v/>
      </c>
      <c r="N68" s="145">
        <f>SUM(B68:M68)</f>
        <v/>
      </c>
    </row>
    <row r="69">
      <c r="A69" s="83" t="inlineStr">
        <is>
          <t>Other / miscellaneous</t>
        </is>
      </c>
      <c r="B69" s="144">
        <f>IFERROR(INDEX('T12 Raw Data'!F:F,MATCH("Other / miscellaneous",'T12 Raw Data'!B:B,0)),0)</f>
        <v/>
      </c>
      <c r="C69" s="144">
        <f>IFERROR(INDEX('T12 Raw Data'!G:G,MATCH("Other / miscellaneous",'T12 Raw Data'!B:B,0)),0)</f>
        <v/>
      </c>
      <c r="D69" s="144">
        <f>IFERROR(INDEX('T12 Raw Data'!H:H,MATCH("Other / miscellaneous",'T12 Raw Data'!B:B,0)),0)</f>
        <v/>
      </c>
      <c r="E69" s="144">
        <f>IFERROR(INDEX('T12 Raw Data'!I:I,MATCH("Other / miscellaneous",'T12 Raw Data'!B:B,0)),0)</f>
        <v/>
      </c>
      <c r="F69" s="144">
        <f>IFERROR(INDEX('T12 Raw Data'!J:J,MATCH("Other / miscellaneous",'T12 Raw Data'!B:B,0)),0)</f>
        <v/>
      </c>
      <c r="G69" s="144">
        <f>IFERROR(INDEX('T12 Raw Data'!K:K,MATCH("Other / miscellaneous",'T12 Raw Data'!B:B,0)),0)</f>
        <v/>
      </c>
      <c r="H69" s="144">
        <f>IFERROR(INDEX('T12 Raw Data'!L:L,MATCH("Other / miscellaneous",'T12 Raw Data'!B:B,0)),0)</f>
        <v/>
      </c>
      <c r="I69" s="144">
        <f>IFERROR(INDEX('T12 Raw Data'!M:M,MATCH("Other / miscellaneous",'T12 Raw Data'!B:B,0)),0)</f>
        <v/>
      </c>
      <c r="J69" s="144">
        <f>IFERROR(INDEX('T12 Raw Data'!N:N,MATCH("Other / miscellaneous",'T12 Raw Data'!B:B,0)),0)</f>
        <v/>
      </c>
      <c r="K69" s="144">
        <f>IFERROR(INDEX('T12 Raw Data'!O:O,MATCH("Other / miscellaneous",'T12 Raw Data'!B:B,0)),0)</f>
        <v/>
      </c>
      <c r="L69" s="144">
        <f>IFERROR(INDEX('T12 Raw Data'!P:P,MATCH("Other / miscellaneous",'T12 Raw Data'!B:B,0)),0)</f>
        <v/>
      </c>
      <c r="M69" s="144">
        <f>IFERROR(INDEX('T12 Raw Data'!Q:Q,MATCH("Other / miscellaneous",'T12 Raw Data'!B:B,0)),0)</f>
        <v/>
      </c>
      <c r="N69" s="145">
        <f>SUM(B69:M69)</f>
        <v/>
      </c>
    </row>
    <row r="70">
      <c r="A70" s="83" t="inlineStr">
        <is>
          <t>Lease / ground lease</t>
        </is>
      </c>
      <c r="B70" s="144">
        <f>IFERROR(INDEX('T12 Raw Data'!F:F,MATCH("Lease / ground lease",'T12 Raw Data'!B:B,0)),0)</f>
        <v/>
      </c>
      <c r="C70" s="144">
        <f>IFERROR(INDEX('T12 Raw Data'!G:G,MATCH("Lease / ground lease",'T12 Raw Data'!B:B,0)),0)</f>
        <v/>
      </c>
      <c r="D70" s="144">
        <f>IFERROR(INDEX('T12 Raw Data'!H:H,MATCH("Lease / ground lease",'T12 Raw Data'!B:B,0)),0)</f>
        <v/>
      </c>
      <c r="E70" s="144">
        <f>IFERROR(INDEX('T12 Raw Data'!I:I,MATCH("Lease / ground lease",'T12 Raw Data'!B:B,0)),0)</f>
        <v/>
      </c>
      <c r="F70" s="144">
        <f>IFERROR(INDEX('T12 Raw Data'!J:J,MATCH("Lease / ground lease",'T12 Raw Data'!B:B,0)),0)</f>
        <v/>
      </c>
      <c r="G70" s="144">
        <f>IFERROR(INDEX('T12 Raw Data'!K:K,MATCH("Lease / ground lease",'T12 Raw Data'!B:B,0)),0)</f>
        <v/>
      </c>
      <c r="H70" s="144">
        <f>IFERROR(INDEX('T12 Raw Data'!L:L,MATCH("Lease / ground lease",'T12 Raw Data'!B:B,0)),0)</f>
        <v/>
      </c>
      <c r="I70" s="144">
        <f>IFERROR(INDEX('T12 Raw Data'!M:M,MATCH("Lease / ground lease",'T12 Raw Data'!B:B,0)),0)</f>
        <v/>
      </c>
      <c r="J70" s="144">
        <f>IFERROR(INDEX('T12 Raw Data'!N:N,MATCH("Lease / ground lease",'T12 Raw Data'!B:B,0)),0)</f>
        <v/>
      </c>
      <c r="K70" s="144">
        <f>IFERROR(INDEX('T12 Raw Data'!O:O,MATCH("Lease / ground lease",'T12 Raw Data'!B:B,0)),0)</f>
        <v/>
      </c>
      <c r="L70" s="144">
        <f>IFERROR(INDEX('T12 Raw Data'!P:P,MATCH("Lease / ground lease",'T12 Raw Data'!B:B,0)),0)</f>
        <v/>
      </c>
      <c r="M70" s="144">
        <f>IFERROR(INDEX('T12 Raw Data'!Q:Q,MATCH("Lease / ground lease",'T12 Raw Data'!B:B,0)),0)</f>
        <v/>
      </c>
      <c r="N70" s="145">
        <f>SUM(B70:M70)</f>
        <v/>
      </c>
    </row>
    <row r="71">
      <c r="A71" s="146" t="inlineStr">
        <is>
          <t>Total non-labor opex</t>
        </is>
      </c>
      <c r="B71" s="147">
        <f>B46+B47+B48+B49+B50+B51+B52+B53+B54+B55+B56+B57+B58+B59+B60+B61+B62+B63+B64+B65+B66+B67+B68+B69+B70</f>
        <v/>
      </c>
      <c r="C71" s="147">
        <f>C46+C47+C48+C49+C50+C51+C52+C53+C54+C55+C56+C57+C58+C59+C60+C61+C62+C63+C64+C65+C66+C67+C68+C69+C70</f>
        <v/>
      </c>
      <c r="D71" s="147">
        <f>D46+D47+D48+D49+D50+D51+D52+D53+D54+D55+D56+D57+D58+D59+D60+D61+D62+D63+D64+D65+D66+D67+D68+D69+D70</f>
        <v/>
      </c>
      <c r="E71" s="147">
        <f>E46+E47+E48+E49+E50+E51+E52+E53+E54+E55+E56+E57+E58+E59+E60+E61+E62+E63+E64+E65+E66+E67+E68+E69+E70</f>
        <v/>
      </c>
      <c r="F71" s="147">
        <f>F46+F47+F48+F49+F50+F51+F52+F53+F54+F55+F56+F57+F58+F59+F60+F61+F62+F63+F64+F65+F66+F67+F68+F69+F70</f>
        <v/>
      </c>
      <c r="G71" s="147">
        <f>G46+G47+G48+G49+G50+G51+G52+G53+G54+G55+G56+G57+G58+G59+G60+G61+G62+G63+G64+G65+G66+G67+G68+G69+G70</f>
        <v/>
      </c>
      <c r="H71" s="147">
        <f>H46+H47+H48+H49+H50+H51+H52+H53+H54+H55+H56+H57+H58+H59+H60+H61+H62+H63+H64+H65+H66+H67+H68+H69+H70</f>
        <v/>
      </c>
      <c r="I71" s="147">
        <f>I46+I47+I48+I49+I50+I51+I52+I53+I54+I55+I56+I57+I58+I59+I60+I61+I62+I63+I64+I65+I66+I67+I68+I69+I70</f>
        <v/>
      </c>
      <c r="J71" s="147">
        <f>J46+J47+J48+J49+J50+J51+J52+J53+J54+J55+J56+J57+J58+J59+J60+J61+J62+J63+J64+J65+J66+J67+J68+J69+J70</f>
        <v/>
      </c>
      <c r="K71" s="147">
        <f>K46+K47+K48+K49+K50+K51+K52+K53+K54+K55+K56+K57+K58+K59+K60+K61+K62+K63+K64+K65+K66+K67+K68+K69+K70</f>
        <v/>
      </c>
      <c r="L71" s="147">
        <f>L46+L47+L48+L49+L50+L51+L52+L53+L54+L55+L56+L57+L58+L59+L60+L61+L62+L63+L64+L65+L66+L67+L68+L69+L70</f>
        <v/>
      </c>
      <c r="M71" s="147">
        <f>M46+M47+M48+M49+M50+M51+M52+M53+M54+M55+M56+M57+M58+M59+M60+M61+M62+M63+M64+M65+M66+M67+M68+M69+M70</f>
        <v/>
      </c>
      <c r="N71" s="147">
        <f>N46+N47+N48+N49+N50+N51+N52+N53+N54+N55+N56+N57+N58+N59+N60+N61+N62+N63+N64+N65+N66+N67+N68+N69+N70</f>
        <v/>
      </c>
    </row>
    <row r="72">
      <c r="A72" s="151" t="inlineStr">
        <is>
          <t>TOTAL OPEX  (excl. mgmt)</t>
        </is>
      </c>
      <c r="B72" s="30">
        <f>B44+B71</f>
        <v/>
      </c>
      <c r="C72" s="30">
        <f>C44+C71</f>
        <v/>
      </c>
      <c r="D72" s="30">
        <f>D44+D71</f>
        <v/>
      </c>
      <c r="E72" s="30">
        <f>E44+E71</f>
        <v/>
      </c>
      <c r="F72" s="30">
        <f>F44+F71</f>
        <v/>
      </c>
      <c r="G72" s="30">
        <f>G44+G71</f>
        <v/>
      </c>
      <c r="H72" s="30">
        <f>H44+H71</f>
        <v/>
      </c>
      <c r="I72" s="30">
        <f>I44+I71</f>
        <v/>
      </c>
      <c r="J72" s="30">
        <f>J44+J71</f>
        <v/>
      </c>
      <c r="K72" s="30">
        <f>K44+K71</f>
        <v/>
      </c>
      <c r="L72" s="30">
        <f>L44+L71</f>
        <v/>
      </c>
      <c r="M72" s="30">
        <f>M44+M71</f>
        <v/>
      </c>
      <c r="N72" s="30">
        <f>N44+N71</f>
        <v/>
      </c>
    </row>
    <row r="73">
      <c r="A73" s="83" t="inlineStr">
        <is>
          <t>Management fee</t>
        </is>
      </c>
      <c r="B73" s="144">
        <f>IFERROR(INDEX('T12 Raw Data'!F:F,MATCH("Management fee",'T12 Raw Data'!B:B,0)),0)</f>
        <v/>
      </c>
      <c r="C73" s="144">
        <f>IFERROR(INDEX('T12 Raw Data'!G:G,MATCH("Management fee",'T12 Raw Data'!B:B,0)),0)</f>
        <v/>
      </c>
      <c r="D73" s="144">
        <f>IFERROR(INDEX('T12 Raw Data'!H:H,MATCH("Management fee",'T12 Raw Data'!B:B,0)),0)</f>
        <v/>
      </c>
      <c r="E73" s="144">
        <f>IFERROR(INDEX('T12 Raw Data'!I:I,MATCH("Management fee",'T12 Raw Data'!B:B,0)),0)</f>
        <v/>
      </c>
      <c r="F73" s="144">
        <f>IFERROR(INDEX('T12 Raw Data'!J:J,MATCH("Management fee",'T12 Raw Data'!B:B,0)),0)</f>
        <v/>
      </c>
      <c r="G73" s="144">
        <f>IFERROR(INDEX('T12 Raw Data'!K:K,MATCH("Management fee",'T12 Raw Data'!B:B,0)),0)</f>
        <v/>
      </c>
      <c r="H73" s="144">
        <f>IFERROR(INDEX('T12 Raw Data'!L:L,MATCH("Management fee",'T12 Raw Data'!B:B,0)),0)</f>
        <v/>
      </c>
      <c r="I73" s="144">
        <f>IFERROR(INDEX('T12 Raw Data'!M:M,MATCH("Management fee",'T12 Raw Data'!B:B,0)),0)</f>
        <v/>
      </c>
      <c r="J73" s="144">
        <f>IFERROR(INDEX('T12 Raw Data'!N:N,MATCH("Management fee",'T12 Raw Data'!B:B,0)),0)</f>
        <v/>
      </c>
      <c r="K73" s="144">
        <f>IFERROR(INDEX('T12 Raw Data'!O:O,MATCH("Management fee",'T12 Raw Data'!B:B,0)),0)</f>
        <v/>
      </c>
      <c r="L73" s="144">
        <f>IFERROR(INDEX('T12 Raw Data'!P:P,MATCH("Management fee",'T12 Raw Data'!B:B,0)),0)</f>
        <v/>
      </c>
      <c r="M73" s="144">
        <f>IFERROR(INDEX('T12 Raw Data'!Q:Q,MATCH("Management fee",'T12 Raw Data'!B:B,0)),0)</f>
        <v/>
      </c>
      <c r="N73" s="145">
        <f>SUM(B73:M73)</f>
        <v/>
      </c>
    </row>
    <row r="74">
      <c r="A74" s="151" t="inlineStr">
        <is>
          <t>EBITDARM</t>
        </is>
      </c>
      <c r="B74" s="30">
        <f>B26-B72</f>
        <v/>
      </c>
      <c r="C74" s="30">
        <f>C26-C72</f>
        <v/>
      </c>
      <c r="D74" s="30">
        <f>D26-D72</f>
        <v/>
      </c>
      <c r="E74" s="30">
        <f>E26-E72</f>
        <v/>
      </c>
      <c r="F74" s="30">
        <f>F26-F72</f>
        <v/>
      </c>
      <c r="G74" s="30">
        <f>G26-G72</f>
        <v/>
      </c>
      <c r="H74" s="30">
        <f>H26-H72</f>
        <v/>
      </c>
      <c r="I74" s="30">
        <f>I26-I72</f>
        <v/>
      </c>
      <c r="J74" s="30">
        <f>J26-J72</f>
        <v/>
      </c>
      <c r="K74" s="30">
        <f>K26-K72</f>
        <v/>
      </c>
      <c r="L74" s="30">
        <f>L26-L72</f>
        <v/>
      </c>
      <c r="M74" s="30">
        <f>M26-M72</f>
        <v/>
      </c>
      <c r="N74" s="30">
        <f>N26-N72</f>
        <v/>
      </c>
    </row>
    <row r="75">
      <c r="A75" s="151" t="inlineStr">
        <is>
          <t>EBITDAR</t>
        </is>
      </c>
      <c r="B75" s="30">
        <f>B74-B73</f>
        <v/>
      </c>
      <c r="C75" s="30">
        <f>C74-C73</f>
        <v/>
      </c>
      <c r="D75" s="30">
        <f>D74-D73</f>
        <v/>
      </c>
      <c r="E75" s="30">
        <f>E74-E73</f>
        <v/>
      </c>
      <c r="F75" s="30">
        <f>F74-F73</f>
        <v/>
      </c>
      <c r="G75" s="30">
        <f>G74-G73</f>
        <v/>
      </c>
      <c r="H75" s="30">
        <f>H74-H73</f>
        <v/>
      </c>
      <c r="I75" s="30">
        <f>I74-I73</f>
        <v/>
      </c>
      <c r="J75" s="30">
        <f>J74-J73</f>
        <v/>
      </c>
      <c r="K75" s="30">
        <f>K74-K73</f>
        <v/>
      </c>
      <c r="L75" s="30">
        <f>L74-L73</f>
        <v/>
      </c>
      <c r="M75" s="30">
        <f>M74-M73</f>
        <v/>
      </c>
      <c r="N75" s="30">
        <f>N74-N73</f>
        <v/>
      </c>
    </row>
  </sheetData>
  <mergeCells count="4">
    <mergeCell ref="A45:N45"/>
    <mergeCell ref="A4:N4"/>
    <mergeCell ref="A27:N27"/>
    <mergeCell ref="A1:N1"/>
  </mergeCell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Z71"/>
  <sheetViews>
    <sheetView tabSelected="1" zoomScaleNormal="100" workbookViewId="0">
      <pane ySplit="4" topLeftCell="A5" activePane="bottomLeft" state="frozen"/>
      <selection pane="bottomLeft" activeCell="F55" sqref="F55"/>
    </sheetView>
  </sheetViews>
  <sheetFormatPr baseColWidth="8" defaultColWidth="8.7109375" defaultRowHeight="15"/>
  <cols>
    <col width="38" customWidth="1" style="199" min="1" max="1"/>
    <col width="18" customWidth="1" style="199" min="2" max="5"/>
    <col width="16" customWidth="1" style="199" min="6" max="6"/>
    <col width="14" customWidth="1" style="199" min="7" max="7"/>
    <col width="28" customWidth="1" style="199" min="8" max="8"/>
  </cols>
  <sheetData>
    <row r="1" ht="27.75" customHeight="1" s="199">
      <c r="A1" s="98" t="inlineStr">
        <is>
          <t>UW Output  —  T12 Actuals &amp; Normalized  |  Copy / Paste to ALF UW Template</t>
        </is>
      </c>
      <c r="AZ1" t="inlineStr">
        <is>
          <t>Final UW-ready summary; copy to downstream sheet</t>
        </is>
      </c>
    </row>
    <row r="2" ht="21.75" customHeight="1" s="199">
      <c r="A2" s="99" t="inlineStr">
        <is>
          <t>T12 Actual = trailing 12-month actuals from T12 Analytics col E.  Normalized = your stabilized underwriting assumption from T12 Analytics col F.  Copy cols E-F and paste-values into ALF UW Template.</t>
        </is>
      </c>
      <c r="AZ2" t="inlineStr">
        <is>
          <t>output</t>
        </is>
      </c>
    </row>
    <row r="3" ht="7.5" customHeight="1" s="199">
      <c r="AZ3" t="inlineStr">
        <is>
          <t>visible</t>
        </is>
      </c>
    </row>
    <row r="4" ht="25.5" customHeight="1" s="199">
      <c r="A4" s="152" t="inlineStr">
        <is>
          <t>Category</t>
        </is>
      </c>
      <c r="B4" s="153" t="inlineStr">
        <is>
          <t>IL</t>
        </is>
      </c>
      <c r="C4" s="153" t="inlineStr">
        <is>
          <t>AL</t>
        </is>
      </c>
      <c r="D4" s="153" t="inlineStr">
        <is>
          <t>MC</t>
        </is>
      </c>
      <c r="E4" s="153" t="inlineStr">
        <is>
          <t>T12 Actual</t>
        </is>
      </c>
      <c r="F4" s="154" t="inlineStr">
        <is>
          <t>Normalized</t>
        </is>
      </c>
      <c r="G4" s="153" t="inlineStr">
        <is>
          <t>Delta</t>
        </is>
      </c>
      <c r="H4" s="153" t="inlineStr">
        <is>
          <t>Analytics Ref</t>
        </is>
      </c>
      <c r="AZ4" t="inlineStr">
        <is>
          <t>v0.2.7</t>
        </is>
      </c>
    </row>
    <row r="5" ht="18" customHeight="1" s="199">
      <c r="A5" s="201" t="inlineStr">
        <is>
          <t>REVENUE</t>
        </is>
      </c>
      <c r="H5" s="202" t="n"/>
    </row>
    <row r="6" ht="15.75" customHeight="1" s="199">
      <c r="A6" s="112" t="inlineStr">
        <is>
          <t>Base rent (normalized)</t>
        </is>
      </c>
      <c r="B6" s="24">
        <f>'T12 Analytics'!B20</f>
        <v/>
      </c>
      <c r="C6" s="24">
        <f>'T12 Analytics'!C20</f>
        <v/>
      </c>
      <c r="D6" s="24">
        <f>'T12 Analytics'!D20</f>
        <v/>
      </c>
      <c r="E6" s="24">
        <f>'T12 Analytics'!E16</f>
        <v/>
      </c>
      <c r="F6" s="24">
        <f>'T12 Analytics'!E20</f>
        <v/>
      </c>
      <c r="G6" s="24">
        <f>F6-E6</f>
        <v/>
      </c>
      <c r="H6" s="156" t="n"/>
    </row>
    <row r="7" ht="15.75" customHeight="1" s="199">
      <c r="A7" s="112" t="inlineStr">
        <is>
          <t>LOC revenue (normalized)</t>
        </is>
      </c>
      <c r="B7" s="24">
        <f>'T12 Analytics'!B27</f>
        <v/>
      </c>
      <c r="C7" s="24">
        <f>'T12 Analytics'!C27</f>
        <v/>
      </c>
      <c r="D7" s="24">
        <f>'T12 Analytics'!D27</f>
        <v/>
      </c>
      <c r="E7" s="24">
        <f>'T12 Analytics'!E23</f>
        <v/>
      </c>
      <c r="F7" s="24">
        <f>'T12 Analytics'!E27</f>
        <v/>
      </c>
      <c r="G7" s="24">
        <f>F7-E7</f>
        <v/>
      </c>
      <c r="H7" s="156" t="n"/>
    </row>
    <row r="8" ht="15.75" customHeight="1" s="199">
      <c r="A8" s="112" t="inlineStr">
        <is>
          <t>Community / move-in fees</t>
        </is>
      </c>
      <c r="B8" s="345" t="inlineStr">
        <is>
          <t>—</t>
        </is>
      </c>
      <c r="C8" s="345" t="inlineStr">
        <is>
          <t>—</t>
        </is>
      </c>
      <c r="D8" s="345" t="inlineStr">
        <is>
          <t>—</t>
        </is>
      </c>
      <c r="E8" s="24">
        <f>'T12 Analytics'!E47</f>
        <v/>
      </c>
      <c r="F8" s="24">
        <f>'T12 Analytics'!F47</f>
        <v/>
      </c>
      <c r="G8" s="24">
        <f>F8-E8</f>
        <v/>
      </c>
      <c r="H8" s="156" t="n"/>
    </row>
    <row r="9" ht="15.75" customHeight="1" s="199">
      <c r="A9" s="112" t="inlineStr">
        <is>
          <t>Concessions &amp; specials</t>
        </is>
      </c>
      <c r="B9" s="345" t="inlineStr">
        <is>
          <t>—</t>
        </is>
      </c>
      <c r="C9" s="345" t="inlineStr">
        <is>
          <t>—</t>
        </is>
      </c>
      <c r="D9" s="345" t="inlineStr">
        <is>
          <t>—</t>
        </is>
      </c>
      <c r="E9" s="24">
        <f>'T12 Analytics'!E48</f>
        <v/>
      </c>
      <c r="F9" s="24">
        <f>'T12 Analytics'!F48</f>
        <v/>
      </c>
      <c r="G9" s="24">
        <f>F9-E9</f>
        <v/>
      </c>
      <c r="H9" s="156" t="n"/>
    </row>
    <row r="10" ht="15.75" customHeight="1" s="199">
      <c r="A10" s="112" t="inlineStr">
        <is>
          <t>Respite care</t>
        </is>
      </c>
      <c r="B10" s="345" t="inlineStr">
        <is>
          <t>—</t>
        </is>
      </c>
      <c r="C10" s="345" t="inlineStr">
        <is>
          <t>—</t>
        </is>
      </c>
      <c r="D10" s="345" t="inlineStr">
        <is>
          <t>—</t>
        </is>
      </c>
      <c r="E10" s="24">
        <f>'T12 Analytics'!E49</f>
        <v/>
      </c>
      <c r="F10" s="24">
        <f>'T12 Analytics'!F49</f>
        <v/>
      </c>
      <c r="G10" s="24">
        <f>F10-E10</f>
        <v/>
      </c>
      <c r="H10" s="156" t="n"/>
    </row>
    <row r="11" ht="15.75" customHeight="1" s="199">
      <c r="A11" s="112" t="inlineStr">
        <is>
          <t>Other community revenue</t>
        </is>
      </c>
      <c r="B11" s="345" t="inlineStr">
        <is>
          <t>—</t>
        </is>
      </c>
      <c r="C11" s="345" t="inlineStr">
        <is>
          <t>—</t>
        </is>
      </c>
      <c r="D11" s="345" t="inlineStr">
        <is>
          <t>—</t>
        </is>
      </c>
      <c r="E11" s="24">
        <f>'T12 Analytics'!E50</f>
        <v/>
      </c>
      <c r="F11" s="24">
        <f>'T12 Analytics'!F50</f>
        <v/>
      </c>
      <c r="G11" s="24">
        <f>F11-E11</f>
        <v/>
      </c>
      <c r="H11" s="156" t="n"/>
    </row>
    <row r="12" ht="18" customHeight="1" s="199">
      <c r="A12" s="183" t="inlineStr">
        <is>
          <t>EGI (normalized)</t>
        </is>
      </c>
      <c r="B12" s="346" t="inlineStr">
        <is>
          <t>—</t>
        </is>
      </c>
      <c r="C12" s="346" t="inlineStr">
        <is>
          <t>—</t>
        </is>
      </c>
      <c r="D12" s="346" t="inlineStr">
        <is>
          <t>—</t>
        </is>
      </c>
      <c r="E12" s="30">
        <f>'T12 Analytics'!E52</f>
        <v/>
      </c>
      <c r="F12" s="30">
        <f>'T12 Analytics'!F52</f>
        <v/>
      </c>
      <c r="G12" s="30">
        <f>F12-E12</f>
        <v/>
      </c>
      <c r="H12" s="157" t="n"/>
    </row>
    <row r="13" ht="6" customHeight="1" s="199">
      <c r="A13" s="200" t="n"/>
      <c r="B13" s="196" t="n"/>
      <c r="C13" s="196" t="n"/>
      <c r="D13" s="196" t="n"/>
      <c r="E13" s="196" t="n"/>
      <c r="F13" s="196" t="n"/>
      <c r="G13" s="196" t="n"/>
      <c r="H13" s="197" t="n"/>
    </row>
    <row r="14" ht="18" customHeight="1" s="199">
      <c r="A14" s="198" t="inlineStr">
        <is>
          <t xml:space="preserve">  GPR Revenue Waterfall  —  Rent Roll vs. T12</t>
        </is>
      </c>
    </row>
    <row r="15" ht="15.75" customHeight="1" s="199">
      <c r="A15" s="183" t="inlineStr">
        <is>
          <t>Gross Potential Rent  (GPR)  —  base rent</t>
        </is>
      </c>
      <c r="B15" s="48" t="n"/>
      <c r="C15" s="48" t="n"/>
      <c r="D15" s="48" t="n"/>
      <c r="E15" s="30">
        <f>'T12 Analytics'!E37</f>
        <v/>
      </c>
      <c r="F15" s="30">
        <f>'T12 Analytics'!F37</f>
        <v/>
      </c>
      <c r="G15" s="30">
        <f>IFERROR(IF(E15="","",F15-E15),"")</f>
        <v/>
      </c>
      <c r="H15" s="48" t="n"/>
    </row>
    <row r="16" ht="15.75" customHeight="1" s="199">
      <c r="A16" s="11" t="inlineStr">
        <is>
          <t>Physical vacancy loss</t>
        </is>
      </c>
      <c r="B16" s="200" t="n"/>
      <c r="C16" s="200" t="n"/>
      <c r="D16" s="200" t="n"/>
      <c r="E16" s="144">
        <f>IFERROR(IF('T12 Analytics'!E38="","",'T12 Analytics'!E38),"")</f>
        <v/>
      </c>
      <c r="F16" s="144">
        <f>'T12 Analytics'!F38</f>
        <v/>
      </c>
      <c r="G16" s="144">
        <f>IFERROR(IF(E16="","",F16-E16),"")</f>
        <v/>
      </c>
      <c r="H16" s="200" t="n"/>
    </row>
    <row r="17" ht="15.75" customHeight="1" s="199">
      <c r="A17" s="11" t="inlineStr">
        <is>
          <t>Physical vacancy rate %</t>
        </is>
      </c>
      <c r="B17" s="200" t="n"/>
      <c r="C17" s="200" t="n"/>
      <c r="D17" s="200" t="n"/>
      <c r="E17" s="158">
        <f>'T12 Analytics'!E39</f>
        <v/>
      </c>
      <c r="F17" s="158">
        <f>'T12 Analytics'!F39</f>
        <v/>
      </c>
      <c r="G17" s="158">
        <f>IFERROR(IF(ISNUMBER(E17),F17-E17,"-"),"-")</f>
        <v/>
      </c>
      <c r="H17" s="200" t="n"/>
    </row>
    <row r="18" ht="15.75" customHeight="1" s="199">
      <c r="A18" s="159" t="inlineStr">
        <is>
          <t>Loss to lease</t>
        </is>
      </c>
      <c r="B18" s="46" t="n"/>
      <c r="C18" s="46" t="n"/>
      <c r="D18" s="46" t="n"/>
      <c r="E18" s="37">
        <f>IFERROR(IF('T12 Analytics'!E40="","",'T12 Analytics'!E40),"")</f>
        <v/>
      </c>
      <c r="F18" s="37">
        <f>'T12 Analytics'!F40</f>
        <v/>
      </c>
      <c r="G18" s="37">
        <f>IFERROR(IF(E18="","",F18-E18),"")</f>
        <v/>
      </c>
      <c r="H18" s="46" t="n"/>
    </row>
    <row r="19" ht="15.75" customHeight="1" s="199">
      <c r="A19" s="159" t="inlineStr">
        <is>
          <t>Loss to lease as % of GPR</t>
        </is>
      </c>
      <c r="B19" s="46" t="n"/>
      <c r="C19" s="46" t="n"/>
      <c r="D19" s="46" t="n"/>
      <c r="E19" s="40">
        <f>IFERROR(IF('T12 Analytics'!E41="","",'T12 Analytics'!E41),"")</f>
        <v/>
      </c>
      <c r="F19" s="40">
        <f>'T12 Analytics'!F41</f>
        <v/>
      </c>
      <c r="G19" s="40">
        <f>IFERROR(IF(E19="","",F19-E19),"")</f>
        <v/>
      </c>
      <c r="H19" s="46" t="n"/>
    </row>
    <row r="20" ht="6" customHeight="1" s="199">
      <c r="A20" s="200" t="n"/>
      <c r="B20" s="200" t="n"/>
      <c r="C20" s="200" t="n"/>
      <c r="D20" s="200" t="n"/>
      <c r="E20" s="200" t="n"/>
      <c r="F20" s="200" t="n"/>
      <c r="G20" s="200" t="n"/>
      <c r="H20" s="200" t="n"/>
    </row>
    <row r="21" ht="15.75" customHeight="1" s="199">
      <c r="A21" s="155" t="inlineStr">
        <is>
          <t>LABOR</t>
        </is>
      </c>
      <c r="H21" s="202" t="n"/>
    </row>
    <row r="22" ht="15.75" customHeight="1" s="199">
      <c r="A22" s="112" t="inlineStr">
        <is>
          <t>Care staff labor</t>
        </is>
      </c>
      <c r="B22" s="345" t="inlineStr">
        <is>
          <t>—</t>
        </is>
      </c>
      <c r="C22" s="345" t="inlineStr">
        <is>
          <t>—</t>
        </is>
      </c>
      <c r="D22" s="345" t="inlineStr">
        <is>
          <t>—</t>
        </is>
      </c>
      <c r="E22" s="24">
        <f>'T12 Analytics'!E57</f>
        <v/>
      </c>
      <c r="F22" s="24">
        <f>'T12 Analytics'!F57</f>
        <v/>
      </c>
      <c r="G22" s="24">
        <f>F22-E22</f>
        <v/>
      </c>
      <c r="H22" s="156" t="n"/>
    </row>
    <row r="23" ht="15.75" customHeight="1" s="199">
      <c r="A23" s="112" t="inlineStr">
        <is>
          <t>Wellness / care coordinators</t>
        </is>
      </c>
      <c r="B23" s="345" t="inlineStr">
        <is>
          <t>—</t>
        </is>
      </c>
      <c r="C23" s="345" t="inlineStr">
        <is>
          <t>—</t>
        </is>
      </c>
      <c r="D23" s="345" t="inlineStr">
        <is>
          <t>—</t>
        </is>
      </c>
      <c r="E23" s="24">
        <f>'T12 Analytics'!E58</f>
        <v/>
      </c>
      <c r="F23" s="24">
        <f>'T12 Analytics'!F58</f>
        <v/>
      </c>
      <c r="G23" s="24">
        <f>F23-E23</f>
        <v/>
      </c>
      <c r="H23" s="156" t="n"/>
    </row>
    <row r="24" ht="15.75" customHeight="1" s="199">
      <c r="A24" s="112" t="inlineStr">
        <is>
          <t>Contract / agency labor</t>
        </is>
      </c>
      <c r="B24" s="345" t="inlineStr">
        <is>
          <t>—</t>
        </is>
      </c>
      <c r="C24" s="345" t="inlineStr">
        <is>
          <t>—</t>
        </is>
      </c>
      <c r="D24" s="345" t="inlineStr">
        <is>
          <t>—</t>
        </is>
      </c>
      <c r="E24" s="24">
        <f>'T12 Analytics'!E59</f>
        <v/>
      </c>
      <c r="F24" s="24">
        <f>'T12 Analytics'!F59</f>
        <v/>
      </c>
      <c r="G24" s="24">
        <f>F24-E24</f>
        <v/>
      </c>
      <c r="H24" s="156" t="n"/>
    </row>
    <row r="25" ht="15.75" customHeight="1" s="199">
      <c r="A25" s="112" t="inlineStr">
        <is>
          <t>Activities labor</t>
        </is>
      </c>
      <c r="B25" s="345" t="inlineStr">
        <is>
          <t>—</t>
        </is>
      </c>
      <c r="C25" s="345" t="inlineStr">
        <is>
          <t>—</t>
        </is>
      </c>
      <c r="D25" s="345" t="inlineStr">
        <is>
          <t>—</t>
        </is>
      </c>
      <c r="E25" s="24">
        <f>'T12 Analytics'!E60</f>
        <v/>
      </c>
      <c r="F25" s="24">
        <f>'T12 Analytics'!F60</f>
        <v/>
      </c>
      <c r="G25" s="24">
        <f>F25-E25</f>
        <v/>
      </c>
      <c r="H25" s="156" t="n"/>
    </row>
    <row r="26" ht="15.75" customHeight="1" s="199">
      <c r="A26" s="112" t="inlineStr">
        <is>
          <t>Dining / food service labor</t>
        </is>
      </c>
      <c r="B26" s="345" t="inlineStr">
        <is>
          <t>—</t>
        </is>
      </c>
      <c r="C26" s="345" t="inlineStr">
        <is>
          <t>—</t>
        </is>
      </c>
      <c r="D26" s="345" t="inlineStr">
        <is>
          <t>—</t>
        </is>
      </c>
      <c r="E26" s="24">
        <f>'T12 Analytics'!E61</f>
        <v/>
      </c>
      <c r="F26" s="24">
        <f>'T12 Analytics'!F61</f>
        <v/>
      </c>
      <c r="G26" s="24">
        <f>F26-E26</f>
        <v/>
      </c>
      <c r="H26" s="156" t="n"/>
    </row>
    <row r="27" ht="15.75" customHeight="1" s="199">
      <c r="A27" s="112" t="inlineStr">
        <is>
          <t>Maintenance &amp; HK labor</t>
        </is>
      </c>
      <c r="B27" s="345" t="inlineStr">
        <is>
          <t>—</t>
        </is>
      </c>
      <c r="C27" s="345" t="inlineStr">
        <is>
          <t>—</t>
        </is>
      </c>
      <c r="D27" s="345" t="inlineStr">
        <is>
          <t>—</t>
        </is>
      </c>
      <c r="E27" s="24">
        <f>'T12 Analytics'!E62</f>
        <v/>
      </c>
      <c r="F27" s="24">
        <f>'T12 Analytics'!F62</f>
        <v/>
      </c>
      <c r="G27" s="24">
        <f>F27-E27</f>
        <v/>
      </c>
      <c r="H27" s="156" t="n"/>
    </row>
    <row r="28" ht="18" customHeight="1" s="199">
      <c r="A28" s="112" t="inlineStr">
        <is>
          <t>Administrative labor</t>
        </is>
      </c>
      <c r="B28" s="345" t="inlineStr">
        <is>
          <t>—</t>
        </is>
      </c>
      <c r="C28" s="345" t="inlineStr">
        <is>
          <t>—</t>
        </is>
      </c>
      <c r="D28" s="345" t="inlineStr">
        <is>
          <t>—</t>
        </is>
      </c>
      <c r="E28" s="24">
        <f>'T12 Analytics'!E63</f>
        <v/>
      </c>
      <c r="F28" s="24">
        <f>'T12 Analytics'!F63</f>
        <v/>
      </c>
      <c r="G28" s="24">
        <f>F28-E28</f>
        <v/>
      </c>
      <c r="H28" s="156" t="n"/>
    </row>
    <row r="29" ht="18" customHeight="1" s="199">
      <c r="A29" s="195" t="inlineStr">
        <is>
          <t>Bonus wages</t>
        </is>
      </c>
      <c r="B29" s="196" t="inlineStr">
        <is>
          <t>-</t>
        </is>
      </c>
      <c r="C29" s="196" t="inlineStr">
        <is>
          <t>-</t>
        </is>
      </c>
      <c r="D29" s="196" t="inlineStr">
        <is>
          <t>-</t>
        </is>
      </c>
      <c r="E29" s="196">
        <f>'T12 Analytics'!E64</f>
        <v/>
      </c>
      <c r="F29" s="197">
        <f>'T12 Analytics'!F64</f>
        <v/>
      </c>
      <c r="G29" s="24">
        <f>F29-E29</f>
        <v/>
      </c>
      <c r="H29" s="156" t="n"/>
    </row>
    <row r="30" ht="15.75" customHeight="1" s="199">
      <c r="A30" s="112" t="inlineStr">
        <is>
          <t>Overtime wages</t>
        </is>
      </c>
      <c r="B30" s="345" t="inlineStr">
        <is>
          <t>—</t>
        </is>
      </c>
      <c r="C30" s="345" t="inlineStr">
        <is>
          <t>—</t>
        </is>
      </c>
      <c r="D30" s="345" t="inlineStr">
        <is>
          <t>—</t>
        </is>
      </c>
      <c r="E30" s="24">
        <f>'T12 Analytics'!E68</f>
        <v/>
      </c>
      <c r="F30" s="24">
        <f>'T12 Analytics'!F68</f>
        <v/>
      </c>
      <c r="G30" s="24">
        <f>F30-E30</f>
        <v/>
      </c>
      <c r="H30" s="156" t="n"/>
    </row>
    <row r="31" ht="15.75" customHeight="1" s="199">
      <c r="A31" s="112" t="inlineStr">
        <is>
          <t>PTO wages</t>
        </is>
      </c>
      <c r="B31" s="345" t="inlineStr">
        <is>
          <t>—</t>
        </is>
      </c>
      <c r="C31" s="345" t="inlineStr">
        <is>
          <t>—</t>
        </is>
      </c>
      <c r="D31" s="345" t="inlineStr">
        <is>
          <t>—</t>
        </is>
      </c>
      <c r="E31" s="24">
        <f>'T12 Analytics'!E69</f>
        <v/>
      </c>
      <c r="F31" s="24">
        <f>'T12 Analytics'!F69</f>
        <v/>
      </c>
      <c r="G31" s="24">
        <f>F31-E31</f>
        <v/>
      </c>
      <c r="H31" s="156" t="n"/>
    </row>
    <row r="32" ht="15.75" customHeight="1" s="199">
      <c r="A32" s="112" t="inlineStr">
        <is>
          <t>Payroll taxes</t>
        </is>
      </c>
      <c r="B32" s="345" t="inlineStr">
        <is>
          <t>—</t>
        </is>
      </c>
      <c r="C32" s="345" t="inlineStr">
        <is>
          <t>—</t>
        </is>
      </c>
      <c r="D32" s="345" t="inlineStr">
        <is>
          <t>—</t>
        </is>
      </c>
      <c r="E32" s="24">
        <f>'T12 Analytics'!E70</f>
        <v/>
      </c>
      <c r="F32" s="24">
        <f>'T12 Analytics'!F70</f>
        <v/>
      </c>
      <c r="G32" s="24">
        <f>F32-E32</f>
        <v/>
      </c>
      <c r="H32" s="156" t="n"/>
    </row>
    <row r="33" ht="15.75" customHeight="1" s="199">
      <c r="A33" s="112" t="inlineStr">
        <is>
          <t>Employee benefits</t>
        </is>
      </c>
      <c r="B33" s="345" t="inlineStr">
        <is>
          <t>—</t>
        </is>
      </c>
      <c r="C33" s="345" t="inlineStr">
        <is>
          <t>—</t>
        </is>
      </c>
      <c r="D33" s="345" t="inlineStr">
        <is>
          <t>—</t>
        </is>
      </c>
      <c r="E33" s="24">
        <f>'T12 Analytics'!E71</f>
        <v/>
      </c>
      <c r="F33" s="24">
        <f>'T12 Analytics'!F71</f>
        <v/>
      </c>
      <c r="G33" s="24">
        <f>F33-E33</f>
        <v/>
      </c>
      <c r="H33" s="156" t="n"/>
    </row>
    <row r="34" ht="15.75" customHeight="1" s="199">
      <c r="A34" s="112" t="inlineStr">
        <is>
          <t>Workers' comp insurance</t>
        </is>
      </c>
      <c r="B34" s="345" t="inlineStr">
        <is>
          <t>—</t>
        </is>
      </c>
      <c r="C34" s="345" t="inlineStr">
        <is>
          <t>—</t>
        </is>
      </c>
      <c r="D34" s="345" t="inlineStr">
        <is>
          <t>—</t>
        </is>
      </c>
      <c r="E34" s="24">
        <f>'T12 Analytics'!E72</f>
        <v/>
      </c>
      <c r="F34" s="24">
        <f>'T12 Analytics'!F72</f>
        <v/>
      </c>
      <c r="G34" s="24">
        <f>F34-E34</f>
        <v/>
      </c>
      <c r="H34" s="156" t="n"/>
    </row>
    <row r="35" ht="15.75" customHeight="1" s="199">
      <c r="A35" s="112" t="inlineStr">
        <is>
          <t>Employee 401(k)</t>
        </is>
      </c>
      <c r="B35" s="345" t="inlineStr">
        <is>
          <t>—</t>
        </is>
      </c>
      <c r="C35" s="345" t="inlineStr">
        <is>
          <t>—</t>
        </is>
      </c>
      <c r="D35" s="345" t="inlineStr">
        <is>
          <t>—</t>
        </is>
      </c>
      <c r="E35" s="24">
        <f>'T12 Analytics'!E73</f>
        <v/>
      </c>
      <c r="F35" s="24">
        <f>'T12 Analytics'!F73</f>
        <v/>
      </c>
      <c r="G35" s="24">
        <f>F35-E35</f>
        <v/>
      </c>
      <c r="H35" s="156" t="n"/>
    </row>
    <row r="36" ht="15.75" customHeight="1" s="199">
      <c r="A36" s="183" t="inlineStr">
        <is>
          <t>Total labor &amp; burden</t>
        </is>
      </c>
      <c r="B36" s="346" t="inlineStr">
        <is>
          <t>—</t>
        </is>
      </c>
      <c r="C36" s="346" t="inlineStr">
        <is>
          <t>—</t>
        </is>
      </c>
      <c r="D36" s="346" t="inlineStr">
        <is>
          <t>—</t>
        </is>
      </c>
      <c r="E36" s="30">
        <f>'T12 Analytics'!E76</f>
        <v/>
      </c>
      <c r="F36" s="30">
        <f>'T12 Analytics'!F76</f>
        <v/>
      </c>
      <c r="G36" s="30">
        <f>F36-E36</f>
        <v/>
      </c>
      <c r="H36" s="157" t="n"/>
    </row>
    <row r="37" ht="15.75" customHeight="1" s="199">
      <c r="A37" s="155" t="inlineStr">
        <is>
          <t>NON-LABOR</t>
        </is>
      </c>
      <c r="F37" s="202" t="n"/>
      <c r="G37" s="155" t="n"/>
      <c r="H37" s="155" t="n"/>
    </row>
    <row r="38" ht="15.75" customHeight="1" s="199">
      <c r="A38" s="112" t="inlineStr">
        <is>
          <t>Food cost</t>
        </is>
      </c>
      <c r="B38" s="345" t="inlineStr">
        <is>
          <t>—</t>
        </is>
      </c>
      <c r="C38" s="345" t="inlineStr">
        <is>
          <t>—</t>
        </is>
      </c>
      <c r="D38" s="345" t="inlineStr">
        <is>
          <t>—</t>
        </is>
      </c>
      <c r="E38" s="24">
        <f>'T12 Analytics'!E79</f>
        <v/>
      </c>
      <c r="F38" s="24">
        <f>'T12 Analytics'!F79</f>
        <v/>
      </c>
      <c r="G38" s="24">
        <f>F38-E38</f>
        <v/>
      </c>
      <c r="H38" s="156" t="n"/>
    </row>
    <row r="39" ht="15.75" customHeight="1" s="199">
      <c r="A39" s="112" t="inlineStr">
        <is>
          <t>Dining &amp; kitchen supplies</t>
        </is>
      </c>
      <c r="B39" s="345" t="inlineStr">
        <is>
          <t>—</t>
        </is>
      </c>
      <c r="C39" s="345" t="inlineStr">
        <is>
          <t>—</t>
        </is>
      </c>
      <c r="D39" s="345" t="inlineStr">
        <is>
          <t>—</t>
        </is>
      </c>
      <c r="E39" s="24">
        <f>'T12 Analytics'!E80</f>
        <v/>
      </c>
      <c r="F39" s="24">
        <f>'T12 Analytics'!F80</f>
        <v/>
      </c>
      <c r="G39" s="24">
        <f>F39-E39</f>
        <v/>
      </c>
      <c r="H39" s="156" t="n"/>
    </row>
    <row r="40" ht="15.75" customHeight="1" s="199">
      <c r="A40" s="112" t="inlineStr">
        <is>
          <t>Nursing &amp; care supplies</t>
        </is>
      </c>
      <c r="B40" s="345" t="inlineStr">
        <is>
          <t>—</t>
        </is>
      </c>
      <c r="C40" s="345" t="inlineStr">
        <is>
          <t>—</t>
        </is>
      </c>
      <c r="D40" s="345" t="inlineStr">
        <is>
          <t>—</t>
        </is>
      </c>
      <c r="E40" s="24">
        <f>'T12 Analytics'!E81</f>
        <v/>
      </c>
      <c r="F40" s="24">
        <f>'T12 Analytics'!F81</f>
        <v/>
      </c>
      <c r="G40" s="24">
        <f>F40-E40</f>
        <v/>
      </c>
      <c r="H40" s="156" t="n"/>
    </row>
    <row r="41" ht="15.75" customHeight="1" s="199">
      <c r="A41" s="112" t="inlineStr">
        <is>
          <t>Recreation supplies</t>
        </is>
      </c>
      <c r="B41" s="345" t="inlineStr">
        <is>
          <t>—</t>
        </is>
      </c>
      <c r="C41" s="345" t="inlineStr">
        <is>
          <t>—</t>
        </is>
      </c>
      <c r="D41" s="345" t="inlineStr">
        <is>
          <t>—</t>
        </is>
      </c>
      <c r="E41" s="24">
        <f>'T12 Analytics'!E82</f>
        <v/>
      </c>
      <c r="F41" s="24">
        <f>'T12 Analytics'!F82</f>
        <v/>
      </c>
      <c r="G41" s="24">
        <f>F41-E41</f>
        <v/>
      </c>
      <c r="H41" s="156" t="n"/>
    </row>
    <row r="42" ht="15.75" customHeight="1" s="199">
      <c r="A42" s="112" t="inlineStr">
        <is>
          <t>R&amp;M fixed</t>
        </is>
      </c>
      <c r="B42" s="345" t="inlineStr">
        <is>
          <t>—</t>
        </is>
      </c>
      <c r="C42" s="345" t="inlineStr">
        <is>
          <t>—</t>
        </is>
      </c>
      <c r="D42" s="345" t="inlineStr">
        <is>
          <t>—</t>
        </is>
      </c>
      <c r="E42" s="24">
        <f>'T12 Analytics'!E83</f>
        <v/>
      </c>
      <c r="F42" s="24">
        <f>'T12 Analytics'!F83</f>
        <v/>
      </c>
      <c r="G42" s="24">
        <f>F42-E42</f>
        <v/>
      </c>
      <c r="H42" s="156" t="n"/>
    </row>
    <row r="43" ht="15.75" customHeight="1" s="199">
      <c r="A43" s="112" t="inlineStr">
        <is>
          <t>R&amp;M variable</t>
        </is>
      </c>
      <c r="B43" s="345" t="inlineStr">
        <is>
          <t>—</t>
        </is>
      </c>
      <c r="C43" s="345" t="inlineStr">
        <is>
          <t>—</t>
        </is>
      </c>
      <c r="D43" s="345" t="inlineStr">
        <is>
          <t>—</t>
        </is>
      </c>
      <c r="E43" s="24">
        <f>'T12 Analytics'!E84</f>
        <v/>
      </c>
      <c r="F43" s="24">
        <f>'T12 Analytics'!F84</f>
        <v/>
      </c>
      <c r="G43" s="24">
        <f>F43-E43</f>
        <v/>
      </c>
      <c r="H43" s="156" t="n"/>
    </row>
    <row r="44" ht="15.75" customHeight="1" s="199">
      <c r="A44" s="112" t="inlineStr">
        <is>
          <t>HK &amp; laundry supplies</t>
        </is>
      </c>
      <c r="B44" s="345" t="inlineStr">
        <is>
          <t>—</t>
        </is>
      </c>
      <c r="C44" s="345" t="inlineStr">
        <is>
          <t>—</t>
        </is>
      </c>
      <c r="D44" s="345" t="inlineStr">
        <is>
          <t>—</t>
        </is>
      </c>
      <c r="E44" s="24">
        <f>'T12 Analytics'!E85</f>
        <v/>
      </c>
      <c r="F44" s="24">
        <f>'T12 Analytics'!F85</f>
        <v/>
      </c>
      <c r="G44" s="24">
        <f>F44-E44</f>
        <v/>
      </c>
      <c r="H44" s="156" t="n"/>
    </row>
    <row r="45" ht="15.75" customHeight="1" s="199">
      <c r="A45" s="112" t="inlineStr">
        <is>
          <t>Sales, adv. &amp; marketing</t>
        </is>
      </c>
      <c r="B45" s="345" t="inlineStr">
        <is>
          <t>—</t>
        </is>
      </c>
      <c r="C45" s="345" t="inlineStr">
        <is>
          <t>—</t>
        </is>
      </c>
      <c r="D45" s="345" t="inlineStr">
        <is>
          <t>—</t>
        </is>
      </c>
      <c r="E45" s="24">
        <f>'T12 Analytics'!E86</f>
        <v/>
      </c>
      <c r="F45" s="24">
        <f>'T12 Analytics'!F86</f>
        <v/>
      </c>
      <c r="G45" s="24">
        <f>F45-E45</f>
        <v/>
      </c>
      <c r="H45" s="156" t="n"/>
    </row>
    <row r="46" ht="15.75" customHeight="1" s="199">
      <c r="A46" s="112" t="inlineStr">
        <is>
          <t>Referral fees</t>
        </is>
      </c>
      <c r="B46" s="345" t="inlineStr">
        <is>
          <t>—</t>
        </is>
      </c>
      <c r="C46" s="345" t="inlineStr">
        <is>
          <t>—</t>
        </is>
      </c>
      <c r="D46" s="345" t="inlineStr">
        <is>
          <t>—</t>
        </is>
      </c>
      <c r="E46" s="24">
        <f>'T12 Analytics'!E87</f>
        <v/>
      </c>
      <c r="F46" s="24">
        <f>'T12 Analytics'!F87</f>
        <v/>
      </c>
      <c r="G46" s="24">
        <f>F46-E46</f>
        <v/>
      </c>
      <c r="H46" s="156" t="n"/>
    </row>
    <row r="47" ht="15.75" customHeight="1" s="199">
      <c r="A47" s="112" t="inlineStr">
        <is>
          <t>Utilities</t>
        </is>
      </c>
      <c r="B47" s="345" t="inlineStr">
        <is>
          <t>—</t>
        </is>
      </c>
      <c r="C47" s="345" t="inlineStr">
        <is>
          <t>—</t>
        </is>
      </c>
      <c r="D47" s="345" t="inlineStr">
        <is>
          <t>—</t>
        </is>
      </c>
      <c r="E47" s="24">
        <f>'T12 Analytics'!E88</f>
        <v/>
      </c>
      <c r="F47" s="24">
        <f>'T12 Analytics'!F88</f>
        <v/>
      </c>
      <c r="G47" s="24">
        <f>F47-E47</f>
        <v/>
      </c>
      <c r="H47" s="156" t="n"/>
    </row>
    <row r="48" ht="15.75" customHeight="1" s="199">
      <c r="A48" s="112" t="inlineStr">
        <is>
          <t>Telephone / IT</t>
        </is>
      </c>
      <c r="B48" s="345" t="inlineStr">
        <is>
          <t>—</t>
        </is>
      </c>
      <c r="C48" s="345" t="inlineStr">
        <is>
          <t>—</t>
        </is>
      </c>
      <c r="D48" s="345" t="inlineStr">
        <is>
          <t>—</t>
        </is>
      </c>
      <c r="E48" s="24">
        <f>'T12 Analytics'!E89</f>
        <v/>
      </c>
      <c r="F48" s="24">
        <f>'T12 Analytics'!F89</f>
        <v/>
      </c>
      <c r="G48" s="24">
        <f>F48-E48</f>
        <v/>
      </c>
      <c r="H48" s="156" t="n"/>
    </row>
    <row r="49" ht="15.75" customHeight="1" s="199">
      <c r="A49" s="112" t="inlineStr">
        <is>
          <t>P&amp;C insurance</t>
        </is>
      </c>
      <c r="B49" s="345" t="inlineStr">
        <is>
          <t>—</t>
        </is>
      </c>
      <c r="C49" s="345" t="inlineStr">
        <is>
          <t>—</t>
        </is>
      </c>
      <c r="D49" s="345" t="inlineStr">
        <is>
          <t>—</t>
        </is>
      </c>
      <c r="E49" s="24">
        <f>'T12 Analytics'!E90</f>
        <v/>
      </c>
      <c r="F49" s="24">
        <f>'T12 Analytics'!F90</f>
        <v/>
      </c>
      <c r="G49" s="24">
        <f>F49-E49</f>
        <v/>
      </c>
      <c r="H49" s="156" t="n"/>
    </row>
    <row r="50" ht="15.75" customHeight="1" s="199">
      <c r="A50" s="112" t="inlineStr">
        <is>
          <t>Auto insurance</t>
        </is>
      </c>
      <c r="B50" s="345" t="inlineStr">
        <is>
          <t>—</t>
        </is>
      </c>
      <c r="C50" s="345" t="inlineStr">
        <is>
          <t>—</t>
        </is>
      </c>
      <c r="D50" s="345" t="inlineStr">
        <is>
          <t>—</t>
        </is>
      </c>
      <c r="E50" s="24">
        <f>'T12 Analytics'!E91</f>
        <v/>
      </c>
      <c r="F50" s="24">
        <f>'T12 Analytics'!F91</f>
        <v/>
      </c>
      <c r="G50" s="24">
        <f>F50-E50</f>
        <v/>
      </c>
      <c r="H50" s="156" t="n"/>
    </row>
    <row r="51" ht="15.75" customHeight="1" s="199">
      <c r="A51" s="112" t="inlineStr">
        <is>
          <t>Fire / security monitoring</t>
        </is>
      </c>
      <c r="B51" s="345" t="inlineStr">
        <is>
          <t>—</t>
        </is>
      </c>
      <c r="C51" s="345" t="inlineStr">
        <is>
          <t>—</t>
        </is>
      </c>
      <c r="D51" s="345" t="inlineStr">
        <is>
          <t>—</t>
        </is>
      </c>
      <c r="E51" s="24">
        <f>'T12 Analytics'!E92</f>
        <v/>
      </c>
      <c r="F51" s="24">
        <f>'T12 Analytics'!F92</f>
        <v/>
      </c>
      <c r="G51" s="24">
        <f>F51-E51</f>
        <v/>
      </c>
      <c r="H51" s="156" t="n"/>
    </row>
    <row r="52" ht="15.75" customHeight="1" s="199">
      <c r="A52" s="112" t="inlineStr">
        <is>
          <t>Pest elimination</t>
        </is>
      </c>
      <c r="B52" s="345" t="inlineStr">
        <is>
          <t>—</t>
        </is>
      </c>
      <c r="C52" s="345" t="inlineStr">
        <is>
          <t>—</t>
        </is>
      </c>
      <c r="D52" s="345" t="inlineStr">
        <is>
          <t>—</t>
        </is>
      </c>
      <c r="E52" s="24">
        <f>'T12 Analytics'!E93</f>
        <v/>
      </c>
      <c r="F52" s="24">
        <f>'T12 Analytics'!F93</f>
        <v/>
      </c>
      <c r="G52" s="24">
        <f>F52-E52</f>
        <v/>
      </c>
      <c r="H52" s="156" t="n"/>
    </row>
    <row r="53" ht="15.75" customHeight="1" s="199">
      <c r="A53" s="112" t="inlineStr">
        <is>
          <t>Real estate taxes</t>
        </is>
      </c>
      <c r="B53" s="345" t="inlineStr">
        <is>
          <t>—</t>
        </is>
      </c>
      <c r="C53" s="345" t="inlineStr">
        <is>
          <t>—</t>
        </is>
      </c>
      <c r="D53" s="345" t="inlineStr">
        <is>
          <t>—</t>
        </is>
      </c>
      <c r="E53" s="24">
        <f>'T12 Analytics'!E94</f>
        <v/>
      </c>
      <c r="F53" s="24">
        <f>'T12 Analytics'!F94</f>
        <v/>
      </c>
      <c r="G53" s="24">
        <f>F53-E53</f>
        <v/>
      </c>
      <c r="H53" s="156" t="n"/>
    </row>
    <row r="54" ht="18" customHeight="1" s="199">
      <c r="A54" s="112" t="inlineStr">
        <is>
          <t>Personal property taxes</t>
        </is>
      </c>
      <c r="B54" s="345" t="inlineStr">
        <is>
          <t>—</t>
        </is>
      </c>
      <c r="C54" s="345" t="inlineStr">
        <is>
          <t>—</t>
        </is>
      </c>
      <c r="D54" s="345" t="inlineStr">
        <is>
          <t>—</t>
        </is>
      </c>
      <c r="E54" s="24">
        <f>'T12 Analytics'!E95</f>
        <v/>
      </c>
      <c r="F54" s="24">
        <f>'T12 Analytics'!F95</f>
        <v/>
      </c>
      <c r="G54" s="24">
        <f>F54-E54</f>
        <v/>
      </c>
      <c r="H54" s="156" t="n"/>
    </row>
    <row r="55" ht="18" customHeight="1" s="199">
      <c r="A55" s="112" t="inlineStr">
        <is>
          <t>Legal expenses</t>
        </is>
      </c>
      <c r="B55" s="345" t="inlineStr">
        <is>
          <t>—</t>
        </is>
      </c>
      <c r="C55" s="345" t="inlineStr">
        <is>
          <t>—</t>
        </is>
      </c>
      <c r="D55" s="345" t="inlineStr">
        <is>
          <t>—</t>
        </is>
      </c>
      <c r="E55" s="24">
        <f>'T12 Analytics'!E96</f>
        <v/>
      </c>
      <c r="F55" s="24">
        <f>'T12 Analytics'!F96</f>
        <v/>
      </c>
      <c r="G55" s="24">
        <f>F55-E55</f>
        <v/>
      </c>
      <c r="H55" s="156" t="n"/>
    </row>
    <row r="56" ht="15.75" customHeight="1" s="199">
      <c r="A56" s="112" t="inlineStr">
        <is>
          <t>Professional services</t>
        </is>
      </c>
      <c r="B56" s="345" t="inlineStr">
        <is>
          <t>—</t>
        </is>
      </c>
      <c r="C56" s="345" t="inlineStr">
        <is>
          <t>—</t>
        </is>
      </c>
      <c r="D56" s="345" t="inlineStr">
        <is>
          <t>—</t>
        </is>
      </c>
      <c r="E56" s="24">
        <f>'T12 Analytics'!E97</f>
        <v/>
      </c>
      <c r="F56" s="24">
        <f>'T12 Analytics'!F97</f>
        <v/>
      </c>
      <c r="G56" s="24">
        <f>F56-E56</f>
        <v/>
      </c>
      <c r="H56" s="156" t="n"/>
    </row>
    <row r="57" ht="18" customHeight="1" s="199">
      <c r="A57" s="195" t="inlineStr">
        <is>
          <t>Bad debt expense</t>
        </is>
      </c>
      <c r="B57" s="196" t="inlineStr">
        <is>
          <t>-</t>
        </is>
      </c>
      <c r="C57" s="196" t="inlineStr">
        <is>
          <t>-</t>
        </is>
      </c>
      <c r="D57" s="196" t="inlineStr">
        <is>
          <t>-</t>
        </is>
      </c>
      <c r="E57" s="196">
        <f>'T12 Analytics'!E98</f>
        <v/>
      </c>
      <c r="F57" s="197">
        <f>'T12 Analytics'!F98</f>
        <v/>
      </c>
      <c r="G57" s="24">
        <f>F57-E57</f>
        <v/>
      </c>
      <c r="H57" s="156" t="n"/>
    </row>
    <row r="58" ht="18" customHeight="1" s="199">
      <c r="A58" s="112" t="inlineStr">
        <is>
          <t>Permits, licenses &amp; dues</t>
        </is>
      </c>
      <c r="B58" s="345" t="inlineStr">
        <is>
          <t>—</t>
        </is>
      </c>
      <c r="C58" s="345" t="inlineStr">
        <is>
          <t>—</t>
        </is>
      </c>
      <c r="D58" s="345" t="inlineStr">
        <is>
          <t>—</t>
        </is>
      </c>
      <c r="E58" s="24">
        <f>'T12 Analytics'!E99</f>
        <v/>
      </c>
      <c r="F58" s="24">
        <f>'T12 Analytics'!F99</f>
        <v/>
      </c>
      <c r="G58" s="24">
        <f>F58-E58</f>
        <v/>
      </c>
      <c r="H58" s="156" t="n"/>
    </row>
    <row r="59" ht="18" customHeight="1" s="199">
      <c r="A59" s="112" t="inlineStr">
        <is>
          <t>Office, admin &amp; G&amp;A</t>
        </is>
      </c>
      <c r="B59" s="345" t="inlineStr">
        <is>
          <t>—</t>
        </is>
      </c>
      <c r="C59" s="345" t="inlineStr">
        <is>
          <t>—</t>
        </is>
      </c>
      <c r="D59" s="345" t="inlineStr">
        <is>
          <t>—</t>
        </is>
      </c>
      <c r="E59" s="24">
        <f>'T12 Analytics'!E100</f>
        <v/>
      </c>
      <c r="F59" s="24">
        <f>'T12 Analytics'!F100</f>
        <v/>
      </c>
      <c r="G59" s="24">
        <f>F59-E59</f>
        <v/>
      </c>
      <c r="H59" s="156" t="n"/>
    </row>
    <row r="60" ht="18" customHeight="1" s="199">
      <c r="A60" s="112" t="inlineStr">
        <is>
          <t>Other / miscellaneous</t>
        </is>
      </c>
      <c r="B60" s="345" t="inlineStr">
        <is>
          <t>—</t>
        </is>
      </c>
      <c r="C60" s="345" t="inlineStr">
        <is>
          <t>—</t>
        </is>
      </c>
      <c r="D60" s="345" t="inlineStr">
        <is>
          <t>—</t>
        </is>
      </c>
      <c r="E60" s="24">
        <f>'T12 Analytics'!E101</f>
        <v/>
      </c>
      <c r="F60" s="24">
        <f>'T12 Analytics'!F101</f>
        <v/>
      </c>
      <c r="G60" s="24">
        <f>F60-E60</f>
        <v/>
      </c>
      <c r="H60" s="156" t="n"/>
    </row>
    <row r="61" ht="18" customHeight="1" s="199">
      <c r="A61" s="207" t="inlineStr">
        <is>
          <t>Lease / ground lease</t>
        </is>
      </c>
      <c r="B61" s="196" t="inlineStr">
        <is>
          <t>-</t>
        </is>
      </c>
      <c r="C61" s="196" t="inlineStr">
        <is>
          <t>-</t>
        </is>
      </c>
      <c r="D61" s="196" t="inlineStr">
        <is>
          <t>-</t>
        </is>
      </c>
      <c r="E61" s="196">
        <f>'T12 Analytics'!E102</f>
        <v/>
      </c>
      <c r="F61" s="196">
        <f>'T12 Analytics'!F102</f>
        <v/>
      </c>
      <c r="G61" s="196">
        <f>F61-E61</f>
        <v/>
      </c>
      <c r="H61" s="197" t="n"/>
    </row>
    <row r="62" ht="15.75" customHeight="1" s="199">
      <c r="A62" s="183" t="inlineStr">
        <is>
          <t>Total non-labor</t>
        </is>
      </c>
      <c r="B62" s="346" t="inlineStr">
        <is>
          <t>—</t>
        </is>
      </c>
      <c r="C62" s="346" t="inlineStr">
        <is>
          <t>—</t>
        </is>
      </c>
      <c r="D62" s="346" t="inlineStr">
        <is>
          <t>—</t>
        </is>
      </c>
      <c r="E62" s="30">
        <f>'T12 Analytics'!E103</f>
        <v/>
      </c>
      <c r="F62" s="30">
        <f>'T12 Analytics'!F103</f>
        <v/>
      </c>
      <c r="G62" s="30">
        <f>F62-E62</f>
        <v/>
      </c>
      <c r="H62" s="157" t="n"/>
    </row>
    <row r="63" ht="15.75" customHeight="1" s="199">
      <c r="A63" s="183" t="inlineStr">
        <is>
          <t>Total opex (excl. mgmt)</t>
        </is>
      </c>
      <c r="B63" s="346" t="inlineStr">
        <is>
          <t>—</t>
        </is>
      </c>
      <c r="C63" s="346" t="inlineStr">
        <is>
          <t>—</t>
        </is>
      </c>
      <c r="D63" s="346" t="inlineStr">
        <is>
          <t>—</t>
        </is>
      </c>
      <c r="E63" s="30">
        <f>'T12 Analytics'!E105</f>
        <v/>
      </c>
      <c r="F63" s="30">
        <f>'T12 Analytics'!F105</f>
        <v/>
      </c>
      <c r="G63" s="30">
        <f>F63-E63</f>
        <v/>
      </c>
      <c r="H63" s="157" t="n"/>
    </row>
    <row r="64" ht="15" customHeight="1" s="199">
      <c r="A64" s="112" t="inlineStr">
        <is>
          <t>Management fee</t>
        </is>
      </c>
      <c r="B64" s="345" t="inlineStr">
        <is>
          <t>—</t>
        </is>
      </c>
      <c r="C64" s="345" t="inlineStr">
        <is>
          <t>—</t>
        </is>
      </c>
      <c r="D64" s="345" t="inlineStr">
        <is>
          <t>—</t>
        </is>
      </c>
      <c r="E64" s="24">
        <f>'T12 Analytics'!E106</f>
        <v/>
      </c>
      <c r="F64" s="24">
        <f>'T12 Analytics'!F106</f>
        <v/>
      </c>
      <c r="G64" s="24">
        <f>F64-E64</f>
        <v/>
      </c>
      <c r="H64" s="156" t="n"/>
    </row>
    <row r="65" ht="15" customHeight="1" s="199">
      <c r="A65" s="155" t="inlineStr">
        <is>
          <t>NOI</t>
        </is>
      </c>
      <c r="F65" s="202" t="n"/>
      <c r="G65" s="155" t="n"/>
      <c r="H65" s="155" t="n"/>
    </row>
    <row r="66" ht="15" customHeight="1" s="199">
      <c r="A66" s="183" t="inlineStr">
        <is>
          <t>EBITDARM</t>
        </is>
      </c>
      <c r="B66" s="346" t="inlineStr">
        <is>
          <t>—</t>
        </is>
      </c>
      <c r="C66" s="346" t="inlineStr">
        <is>
          <t>—</t>
        </is>
      </c>
      <c r="D66" s="346" t="inlineStr">
        <is>
          <t>—</t>
        </is>
      </c>
      <c r="E66" s="161">
        <f>'T12 Analytics'!E108</f>
        <v/>
      </c>
      <c r="F66" s="161">
        <f>'T12 Analytics'!F108</f>
        <v/>
      </c>
      <c r="G66" s="161">
        <f>F66-E66</f>
        <v/>
      </c>
      <c r="H66" s="162" t="n"/>
    </row>
    <row r="67" ht="15" customHeight="1" s="199">
      <c r="A67" s="183" t="inlineStr">
        <is>
          <t>EBITDAR</t>
        </is>
      </c>
      <c r="B67" s="346" t="inlineStr">
        <is>
          <t>—</t>
        </is>
      </c>
      <c r="C67" s="346" t="inlineStr">
        <is>
          <t>—</t>
        </is>
      </c>
      <c r="D67" s="346" t="inlineStr">
        <is>
          <t>—</t>
        </is>
      </c>
      <c r="E67" s="161">
        <f>'T12 Analytics'!E110</f>
        <v/>
      </c>
      <c r="F67" s="161">
        <f>'T12 Analytics'!F110</f>
        <v/>
      </c>
      <c r="G67" s="161">
        <f>F67-E67</f>
        <v/>
      </c>
      <c r="H67" s="162" t="n"/>
    </row>
    <row r="68" ht="15" customHeight="1" s="199">
      <c r="A68" s="183" t="inlineStr">
        <is>
          <t>EBITDA</t>
        </is>
      </c>
      <c r="B68" s="346" t="inlineStr">
        <is>
          <t>—</t>
        </is>
      </c>
      <c r="C68" s="346" t="inlineStr">
        <is>
          <t>—</t>
        </is>
      </c>
      <c r="D68" s="346" t="inlineStr">
        <is>
          <t>—</t>
        </is>
      </c>
      <c r="E68" s="161">
        <f>'T12 Analytics'!E113</f>
        <v/>
      </c>
      <c r="F68" s="161">
        <f>'T12 Analytics'!F113</f>
        <v/>
      </c>
      <c r="G68" s="161">
        <f>F68-E68</f>
        <v/>
      </c>
      <c r="H68" s="162" t="n"/>
    </row>
    <row r="69" ht="15" customHeight="1" s="199">
      <c r="A69" s="155" t="inlineStr">
        <is>
          <t>CAPACITY INPUTS</t>
        </is>
      </c>
      <c r="H69" s="202" t="n"/>
    </row>
    <row r="70" ht="15" customHeight="1" s="199">
      <c r="A70" s="112" t="inlineStr">
        <is>
          <t>Licensed beds (IL / AL / MC / Total)</t>
        </is>
      </c>
      <c r="B70" s="163">
        <f>'T12 Analytics'!B6</f>
        <v/>
      </c>
      <c r="C70" s="163">
        <f>'T12 Analytics'!C6</f>
        <v/>
      </c>
      <c r="D70" s="163">
        <f>'T12 Analytics'!D6</f>
        <v/>
      </c>
      <c r="E70" s="163" t="n"/>
      <c r="F70" s="163" t="n"/>
      <c r="G70" s="24">
        <f>F70-E70</f>
        <v/>
      </c>
      <c r="H70" s="156" t="n"/>
    </row>
    <row r="71" ht="15" customHeight="1" s="199">
      <c r="A71" s="112" t="inlineStr">
        <is>
          <t>Stabilized occupied beds</t>
        </is>
      </c>
      <c r="B71" s="163">
        <f>'T12 Analytics'!B11</f>
        <v/>
      </c>
      <c r="C71" s="163">
        <f>'T12 Analytics'!C11</f>
        <v/>
      </c>
      <c r="D71" s="163">
        <f>'T12 Analytics'!D11</f>
        <v/>
      </c>
      <c r="E71" s="163" t="n"/>
      <c r="F71" s="163" t="n"/>
      <c r="G71" s="24">
        <f>F71-E71</f>
        <v/>
      </c>
      <c r="H71" s="156" t="n"/>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AZ79"/>
  <sheetViews>
    <sheetView showGridLines="0" workbookViewId="0">
      <selection activeCell="A1" sqref="A1"/>
    </sheetView>
  </sheetViews>
  <sheetFormatPr baseColWidth="8" defaultRowHeight="15"/>
  <cols>
    <col width="28" customWidth="1" style="199" min="1" max="1"/>
    <col width="14" customWidth="1" style="199" min="2" max="2"/>
    <col width="14" customWidth="1" style="199" min="3" max="3"/>
    <col width="14" customWidth="1" style="199" min="4" max="4"/>
    <col width="14" customWidth="1" style="199" min="5" max="5"/>
    <col width="14" customWidth="1" style="199" min="6" max="6"/>
    <col width="14" customWidth="1" style="199" min="7" max="7"/>
    <col width="14" customWidth="1" style="199" min="8" max="8"/>
  </cols>
  <sheetData>
    <row r="1" ht="22" customHeight="1" s="199">
      <c r="A1" s="247" t="inlineStr">
        <is>
          <t>UW Export  —  Values-only mirror of UW Output</t>
        </is>
      </c>
      <c r="AZ1" t="inlineStr">
        <is>
          <t>Values-only mirror of UW Output for downstream paste</t>
        </is>
      </c>
    </row>
    <row r="2" ht="28" customHeight="1" s="199">
      <c r="A2" s="237" t="inlineStr">
        <is>
          <t>Copy A9:H79 (or use Excel's Move-or-Copy → Create-a-copy → Paste-Special: Values) into the downstream UW template. Metadata header above (rows 3-7) carries the audit trail.</t>
        </is>
      </c>
    </row>
    <row r="3">
      <c r="A3" s="248" t="inlineStr">
        <is>
          <t>Property name</t>
        </is>
      </c>
      <c r="B3" s="249">
        <f>IFERROR(Property_Name,"(not set)")</f>
        <v/>
      </c>
      <c r="C3" s="196" t="n"/>
      <c r="D3" s="196" t="n"/>
      <c r="E3" s="196" t="n"/>
      <c r="F3" s="196" t="n"/>
      <c r="G3" s="196" t="n"/>
      <c r="H3" s="197" t="n"/>
    </row>
    <row r="4">
      <c r="A4" s="248" t="inlineStr">
        <is>
          <t>Rent roll period</t>
        </is>
      </c>
      <c r="B4" s="249">
        <f>IF(ISNUMBER(RR_Period_Date),TEXT(RR_Period_Date,"yyyy-mm-dd"),"(not set)")</f>
        <v/>
      </c>
      <c r="C4" s="196" t="n"/>
      <c r="D4" s="196" t="n"/>
      <c r="E4" s="196" t="n"/>
      <c r="F4" s="196" t="n"/>
      <c r="G4" s="196" t="n"/>
      <c r="H4" s="197" t="n"/>
      <c r="AZ4" t="inlineStr">
        <is>
          <t>v0.2.7</t>
        </is>
      </c>
    </row>
    <row r="5">
      <c r="A5" s="248" t="inlineStr">
        <is>
          <t>T12 period</t>
        </is>
      </c>
      <c r="B5" s="249">
        <f>IF(ISNUMBER(T12_Period_Date),TEXT(T12_Period_Date,"yyyy-mm-dd"),"(not set)")</f>
        <v/>
      </c>
      <c r="C5" s="196" t="n"/>
      <c r="D5" s="196" t="n"/>
      <c r="E5" s="196" t="n"/>
      <c r="F5" s="196" t="n"/>
      <c r="G5" s="196" t="n"/>
      <c r="H5" s="197" t="n"/>
    </row>
    <row r="6">
      <c r="A6" s="248" t="inlineStr">
        <is>
          <t>Substrate version</t>
        </is>
      </c>
      <c r="B6" s="249">
        <f>Cover!$B$8</f>
        <v/>
      </c>
      <c r="C6" s="196" t="n"/>
      <c r="D6" s="196" t="n"/>
      <c r="E6" s="196" t="n"/>
      <c r="F6" s="196" t="n"/>
      <c r="G6" s="196" t="n"/>
      <c r="H6" s="197" t="n"/>
    </row>
    <row r="7">
      <c r="A7" s="248" t="inlineStr">
        <is>
          <t>Generated (open time)</t>
        </is>
      </c>
      <c r="B7" s="249">
        <f>TEXT(NOW(),"yyyy-mm-dd hh:mm")</f>
        <v/>
      </c>
      <c r="C7" s="196" t="n"/>
      <c r="D7" s="196" t="n"/>
      <c r="E7" s="196" t="n"/>
      <c r="F7" s="196" t="n"/>
      <c r="G7" s="196" t="n"/>
      <c r="H7" s="197" t="n"/>
    </row>
    <row r="9">
      <c r="A9" s="250">
        <f>'UW Output'!A1</f>
        <v/>
      </c>
      <c r="B9" s="250">
        <f>'UW Output'!B1</f>
        <v/>
      </c>
      <c r="C9" s="250">
        <f>'UW Output'!C1</f>
        <v/>
      </c>
      <c r="D9" s="250">
        <f>'UW Output'!D1</f>
        <v/>
      </c>
      <c r="E9" s="250">
        <f>'UW Output'!E1</f>
        <v/>
      </c>
      <c r="F9" s="250">
        <f>'UW Output'!F1</f>
        <v/>
      </c>
      <c r="G9" s="250">
        <f>'UW Output'!G1</f>
        <v/>
      </c>
      <c r="H9" s="250">
        <f>'UW Output'!H1</f>
        <v/>
      </c>
    </row>
    <row r="10">
      <c r="A10" s="250">
        <f>'UW Output'!A2</f>
        <v/>
      </c>
      <c r="B10" s="250">
        <f>'UW Output'!B2</f>
        <v/>
      </c>
      <c r="C10" s="250">
        <f>'UW Output'!C2</f>
        <v/>
      </c>
      <c r="D10" s="250">
        <f>'UW Output'!D2</f>
        <v/>
      </c>
      <c r="E10" s="250">
        <f>'UW Output'!E2</f>
        <v/>
      </c>
      <c r="F10" s="250">
        <f>'UW Output'!F2</f>
        <v/>
      </c>
      <c r="G10" s="250">
        <f>'UW Output'!G2</f>
        <v/>
      </c>
      <c r="H10" s="250">
        <f>'UW Output'!H2</f>
        <v/>
      </c>
    </row>
    <row r="11">
      <c r="A11" s="250">
        <f>'UW Output'!A3</f>
        <v/>
      </c>
      <c r="B11" s="250">
        <f>'UW Output'!B3</f>
        <v/>
      </c>
      <c r="C11" s="250">
        <f>'UW Output'!C3</f>
        <v/>
      </c>
      <c r="D11" s="250">
        <f>'UW Output'!D3</f>
        <v/>
      </c>
      <c r="E11" s="250">
        <f>'UW Output'!E3</f>
        <v/>
      </c>
      <c r="F11" s="250">
        <f>'UW Output'!F3</f>
        <v/>
      </c>
      <c r="G11" s="250">
        <f>'UW Output'!G3</f>
        <v/>
      </c>
      <c r="H11" s="250">
        <f>'UW Output'!H3</f>
        <v/>
      </c>
    </row>
    <row r="12">
      <c r="A12" s="251">
        <f>'UW Output'!A4</f>
        <v/>
      </c>
      <c r="B12" s="251">
        <f>'UW Output'!B4</f>
        <v/>
      </c>
      <c r="C12" s="251">
        <f>'UW Output'!C4</f>
        <v/>
      </c>
      <c r="D12" s="251">
        <f>'UW Output'!D4</f>
        <v/>
      </c>
      <c r="E12" s="251">
        <f>'UW Output'!E4</f>
        <v/>
      </c>
      <c r="F12" s="251">
        <f>'UW Output'!F4</f>
        <v/>
      </c>
      <c r="G12" s="251">
        <f>'UW Output'!G4</f>
        <v/>
      </c>
      <c r="H12" s="251">
        <f>'UW Output'!H4</f>
        <v/>
      </c>
    </row>
    <row r="13">
      <c r="A13" s="250">
        <f>'UW Output'!A5</f>
        <v/>
      </c>
      <c r="B13" s="250">
        <f>'UW Output'!B5</f>
        <v/>
      </c>
      <c r="C13" s="250">
        <f>'UW Output'!C5</f>
        <v/>
      </c>
      <c r="D13" s="250">
        <f>'UW Output'!D5</f>
        <v/>
      </c>
      <c r="E13" s="250">
        <f>'UW Output'!E5</f>
        <v/>
      </c>
      <c r="F13" s="250">
        <f>'UW Output'!F5</f>
        <v/>
      </c>
      <c r="G13" s="250">
        <f>'UW Output'!G5</f>
        <v/>
      </c>
      <c r="H13" s="250">
        <f>'UW Output'!H5</f>
        <v/>
      </c>
    </row>
    <row r="14">
      <c r="A14" s="250">
        <f>'UW Output'!A6</f>
        <v/>
      </c>
      <c r="B14" s="250">
        <f>'UW Output'!B6</f>
        <v/>
      </c>
      <c r="C14" s="250">
        <f>'UW Output'!C6</f>
        <v/>
      </c>
      <c r="D14" s="250">
        <f>'UW Output'!D6</f>
        <v/>
      </c>
      <c r="E14" s="250">
        <f>'UW Output'!E6</f>
        <v/>
      </c>
      <c r="F14" s="250">
        <f>'UW Output'!F6</f>
        <v/>
      </c>
      <c r="G14" s="250">
        <f>'UW Output'!G6</f>
        <v/>
      </c>
      <c r="H14" s="250">
        <f>'UW Output'!H6</f>
        <v/>
      </c>
    </row>
    <row r="15">
      <c r="A15" s="250">
        <f>'UW Output'!A7</f>
        <v/>
      </c>
      <c r="B15" s="250">
        <f>'UW Output'!B7</f>
        <v/>
      </c>
      <c r="C15" s="250">
        <f>'UW Output'!C7</f>
        <v/>
      </c>
      <c r="D15" s="250">
        <f>'UW Output'!D7</f>
        <v/>
      </c>
      <c r="E15" s="250">
        <f>'UW Output'!E7</f>
        <v/>
      </c>
      <c r="F15" s="250">
        <f>'UW Output'!F7</f>
        <v/>
      </c>
      <c r="G15" s="250">
        <f>'UW Output'!G7</f>
        <v/>
      </c>
      <c r="H15" s="250">
        <f>'UW Output'!H7</f>
        <v/>
      </c>
    </row>
    <row r="16">
      <c r="A16" s="250">
        <f>'UW Output'!A8</f>
        <v/>
      </c>
      <c r="B16" s="250">
        <f>'UW Output'!B8</f>
        <v/>
      </c>
      <c r="C16" s="250">
        <f>'UW Output'!C8</f>
        <v/>
      </c>
      <c r="D16" s="250">
        <f>'UW Output'!D8</f>
        <v/>
      </c>
      <c r="E16" s="250">
        <f>'UW Output'!E8</f>
        <v/>
      </c>
      <c r="F16" s="250">
        <f>'UW Output'!F8</f>
        <v/>
      </c>
      <c r="G16" s="250">
        <f>'UW Output'!G8</f>
        <v/>
      </c>
      <c r="H16" s="250">
        <f>'UW Output'!H8</f>
        <v/>
      </c>
    </row>
    <row r="17">
      <c r="A17" s="250">
        <f>'UW Output'!A9</f>
        <v/>
      </c>
      <c r="B17" s="250">
        <f>'UW Output'!B9</f>
        <v/>
      </c>
      <c r="C17" s="250">
        <f>'UW Output'!C9</f>
        <v/>
      </c>
      <c r="D17" s="250">
        <f>'UW Output'!D9</f>
        <v/>
      </c>
      <c r="E17" s="250">
        <f>'UW Output'!E9</f>
        <v/>
      </c>
      <c r="F17" s="250">
        <f>'UW Output'!F9</f>
        <v/>
      </c>
      <c r="G17" s="250">
        <f>'UW Output'!G9</f>
        <v/>
      </c>
      <c r="H17" s="250">
        <f>'UW Output'!H9</f>
        <v/>
      </c>
    </row>
    <row r="18">
      <c r="A18" s="250">
        <f>'UW Output'!A10</f>
        <v/>
      </c>
      <c r="B18" s="250">
        <f>'UW Output'!B10</f>
        <v/>
      </c>
      <c r="C18" s="250">
        <f>'UW Output'!C10</f>
        <v/>
      </c>
      <c r="D18" s="250">
        <f>'UW Output'!D10</f>
        <v/>
      </c>
      <c r="E18" s="250">
        <f>'UW Output'!E10</f>
        <v/>
      </c>
      <c r="F18" s="250">
        <f>'UW Output'!F10</f>
        <v/>
      </c>
      <c r="G18" s="250">
        <f>'UW Output'!G10</f>
        <v/>
      </c>
      <c r="H18" s="250">
        <f>'UW Output'!H10</f>
        <v/>
      </c>
    </row>
    <row r="19">
      <c r="A19" s="250">
        <f>'UW Output'!A11</f>
        <v/>
      </c>
      <c r="B19" s="250">
        <f>'UW Output'!B11</f>
        <v/>
      </c>
      <c r="C19" s="250">
        <f>'UW Output'!C11</f>
        <v/>
      </c>
      <c r="D19" s="250">
        <f>'UW Output'!D11</f>
        <v/>
      </c>
      <c r="E19" s="250">
        <f>'UW Output'!E11</f>
        <v/>
      </c>
      <c r="F19" s="250">
        <f>'UW Output'!F11</f>
        <v/>
      </c>
      <c r="G19" s="250">
        <f>'UW Output'!G11</f>
        <v/>
      </c>
      <c r="H19" s="250">
        <f>'UW Output'!H11</f>
        <v/>
      </c>
    </row>
    <row r="20">
      <c r="A20" s="250">
        <f>'UW Output'!A12</f>
        <v/>
      </c>
      <c r="B20" s="250">
        <f>'UW Output'!B12</f>
        <v/>
      </c>
      <c r="C20" s="250">
        <f>'UW Output'!C12</f>
        <v/>
      </c>
      <c r="D20" s="250">
        <f>'UW Output'!D12</f>
        <v/>
      </c>
      <c r="E20" s="250">
        <f>'UW Output'!E12</f>
        <v/>
      </c>
      <c r="F20" s="250">
        <f>'UW Output'!F12</f>
        <v/>
      </c>
      <c r="G20" s="250">
        <f>'UW Output'!G12</f>
        <v/>
      </c>
      <c r="H20" s="250">
        <f>'UW Output'!H12</f>
        <v/>
      </c>
    </row>
    <row r="21">
      <c r="A21" s="250">
        <f>'UW Output'!A13</f>
        <v/>
      </c>
      <c r="B21" s="250">
        <f>'UW Output'!B13</f>
        <v/>
      </c>
      <c r="C21" s="250">
        <f>'UW Output'!C13</f>
        <v/>
      </c>
      <c r="D21" s="250">
        <f>'UW Output'!D13</f>
        <v/>
      </c>
      <c r="E21" s="250">
        <f>'UW Output'!E13</f>
        <v/>
      </c>
      <c r="F21" s="250">
        <f>'UW Output'!F13</f>
        <v/>
      </c>
      <c r="G21" s="250">
        <f>'UW Output'!G13</f>
        <v/>
      </c>
      <c r="H21" s="250">
        <f>'UW Output'!H13</f>
        <v/>
      </c>
    </row>
    <row r="22">
      <c r="A22" s="250">
        <f>'UW Output'!A14</f>
        <v/>
      </c>
      <c r="B22" s="250">
        <f>'UW Output'!B14</f>
        <v/>
      </c>
      <c r="C22" s="250">
        <f>'UW Output'!C14</f>
        <v/>
      </c>
      <c r="D22" s="250">
        <f>'UW Output'!D14</f>
        <v/>
      </c>
      <c r="E22" s="250">
        <f>'UW Output'!E14</f>
        <v/>
      </c>
      <c r="F22" s="250">
        <f>'UW Output'!F14</f>
        <v/>
      </c>
      <c r="G22" s="250">
        <f>'UW Output'!G14</f>
        <v/>
      </c>
      <c r="H22" s="250">
        <f>'UW Output'!H14</f>
        <v/>
      </c>
    </row>
    <row r="23">
      <c r="A23" s="250">
        <f>'UW Output'!A15</f>
        <v/>
      </c>
      <c r="B23" s="250">
        <f>'UW Output'!B15</f>
        <v/>
      </c>
      <c r="C23" s="250">
        <f>'UW Output'!C15</f>
        <v/>
      </c>
      <c r="D23" s="250">
        <f>'UW Output'!D15</f>
        <v/>
      </c>
      <c r="E23" s="250">
        <f>'UW Output'!E15</f>
        <v/>
      </c>
      <c r="F23" s="250">
        <f>'UW Output'!F15</f>
        <v/>
      </c>
      <c r="G23" s="250">
        <f>'UW Output'!G15</f>
        <v/>
      </c>
      <c r="H23" s="250">
        <f>'UW Output'!H15</f>
        <v/>
      </c>
    </row>
    <row r="24">
      <c r="A24" s="250">
        <f>'UW Output'!A16</f>
        <v/>
      </c>
      <c r="B24" s="250">
        <f>'UW Output'!B16</f>
        <v/>
      </c>
      <c r="C24" s="250">
        <f>'UW Output'!C16</f>
        <v/>
      </c>
      <c r="D24" s="250">
        <f>'UW Output'!D16</f>
        <v/>
      </c>
      <c r="E24" s="250">
        <f>'UW Output'!E16</f>
        <v/>
      </c>
      <c r="F24" s="250">
        <f>'UW Output'!F16</f>
        <v/>
      </c>
      <c r="G24" s="250">
        <f>'UW Output'!G16</f>
        <v/>
      </c>
      <c r="H24" s="250">
        <f>'UW Output'!H16</f>
        <v/>
      </c>
    </row>
    <row r="25">
      <c r="A25" s="250">
        <f>'UW Output'!A17</f>
        <v/>
      </c>
      <c r="B25" s="250">
        <f>'UW Output'!B17</f>
        <v/>
      </c>
      <c r="C25" s="250">
        <f>'UW Output'!C17</f>
        <v/>
      </c>
      <c r="D25" s="250">
        <f>'UW Output'!D17</f>
        <v/>
      </c>
      <c r="E25" s="250">
        <f>'UW Output'!E17</f>
        <v/>
      </c>
      <c r="F25" s="250">
        <f>'UW Output'!F17</f>
        <v/>
      </c>
      <c r="G25" s="250">
        <f>'UW Output'!G17</f>
        <v/>
      </c>
      <c r="H25" s="250">
        <f>'UW Output'!H17</f>
        <v/>
      </c>
    </row>
    <row r="26">
      <c r="A26" s="250">
        <f>'UW Output'!A18</f>
        <v/>
      </c>
      <c r="B26" s="250">
        <f>'UW Output'!B18</f>
        <v/>
      </c>
      <c r="C26" s="250">
        <f>'UW Output'!C18</f>
        <v/>
      </c>
      <c r="D26" s="250">
        <f>'UW Output'!D18</f>
        <v/>
      </c>
      <c r="E26" s="250">
        <f>'UW Output'!E18</f>
        <v/>
      </c>
      <c r="F26" s="250">
        <f>'UW Output'!F18</f>
        <v/>
      </c>
      <c r="G26" s="250">
        <f>'UW Output'!G18</f>
        <v/>
      </c>
      <c r="H26" s="250">
        <f>'UW Output'!H18</f>
        <v/>
      </c>
    </row>
    <row r="27">
      <c r="A27" s="250">
        <f>'UW Output'!A19</f>
        <v/>
      </c>
      <c r="B27" s="250">
        <f>'UW Output'!B19</f>
        <v/>
      </c>
      <c r="C27" s="250">
        <f>'UW Output'!C19</f>
        <v/>
      </c>
      <c r="D27" s="250">
        <f>'UW Output'!D19</f>
        <v/>
      </c>
      <c r="E27" s="250">
        <f>'UW Output'!E19</f>
        <v/>
      </c>
      <c r="F27" s="250">
        <f>'UW Output'!F19</f>
        <v/>
      </c>
      <c r="G27" s="250">
        <f>'UW Output'!G19</f>
        <v/>
      </c>
      <c r="H27" s="250">
        <f>'UW Output'!H19</f>
        <v/>
      </c>
    </row>
    <row r="28">
      <c r="A28" s="250">
        <f>'UW Output'!A20</f>
        <v/>
      </c>
      <c r="B28" s="250">
        <f>'UW Output'!B20</f>
        <v/>
      </c>
      <c r="C28" s="250">
        <f>'UW Output'!C20</f>
        <v/>
      </c>
      <c r="D28" s="250">
        <f>'UW Output'!D20</f>
        <v/>
      </c>
      <c r="E28" s="250">
        <f>'UW Output'!E20</f>
        <v/>
      </c>
      <c r="F28" s="250">
        <f>'UW Output'!F20</f>
        <v/>
      </c>
      <c r="G28" s="250">
        <f>'UW Output'!G20</f>
        <v/>
      </c>
      <c r="H28" s="250">
        <f>'UW Output'!H20</f>
        <v/>
      </c>
    </row>
    <row r="29">
      <c r="A29" s="250">
        <f>'UW Output'!A21</f>
        <v/>
      </c>
      <c r="B29" s="250">
        <f>'UW Output'!B21</f>
        <v/>
      </c>
      <c r="C29" s="250">
        <f>'UW Output'!C21</f>
        <v/>
      </c>
      <c r="D29" s="250">
        <f>'UW Output'!D21</f>
        <v/>
      </c>
      <c r="E29" s="250">
        <f>'UW Output'!E21</f>
        <v/>
      </c>
      <c r="F29" s="250">
        <f>'UW Output'!F21</f>
        <v/>
      </c>
      <c r="G29" s="250">
        <f>'UW Output'!G21</f>
        <v/>
      </c>
      <c r="H29" s="250">
        <f>'UW Output'!H21</f>
        <v/>
      </c>
    </row>
    <row r="30">
      <c r="A30" s="250">
        <f>'UW Output'!A22</f>
        <v/>
      </c>
      <c r="B30" s="250">
        <f>'UW Output'!B22</f>
        <v/>
      </c>
      <c r="C30" s="250">
        <f>'UW Output'!C22</f>
        <v/>
      </c>
      <c r="D30" s="250">
        <f>'UW Output'!D22</f>
        <v/>
      </c>
      <c r="E30" s="250">
        <f>'UW Output'!E22</f>
        <v/>
      </c>
      <c r="F30" s="250">
        <f>'UW Output'!F22</f>
        <v/>
      </c>
      <c r="G30" s="250">
        <f>'UW Output'!G22</f>
        <v/>
      </c>
      <c r="H30" s="250">
        <f>'UW Output'!H22</f>
        <v/>
      </c>
    </row>
    <row r="31">
      <c r="A31" s="250">
        <f>'UW Output'!A23</f>
        <v/>
      </c>
      <c r="B31" s="250">
        <f>'UW Output'!B23</f>
        <v/>
      </c>
      <c r="C31" s="250">
        <f>'UW Output'!C23</f>
        <v/>
      </c>
      <c r="D31" s="250">
        <f>'UW Output'!D23</f>
        <v/>
      </c>
      <c r="E31" s="250">
        <f>'UW Output'!E23</f>
        <v/>
      </c>
      <c r="F31" s="250">
        <f>'UW Output'!F23</f>
        <v/>
      </c>
      <c r="G31" s="250">
        <f>'UW Output'!G23</f>
        <v/>
      </c>
      <c r="H31" s="250">
        <f>'UW Output'!H23</f>
        <v/>
      </c>
    </row>
    <row r="32">
      <c r="A32" s="250">
        <f>'UW Output'!A24</f>
        <v/>
      </c>
      <c r="B32" s="250">
        <f>'UW Output'!B24</f>
        <v/>
      </c>
      <c r="C32" s="250">
        <f>'UW Output'!C24</f>
        <v/>
      </c>
      <c r="D32" s="250">
        <f>'UW Output'!D24</f>
        <v/>
      </c>
      <c r="E32" s="250">
        <f>'UW Output'!E24</f>
        <v/>
      </c>
      <c r="F32" s="250">
        <f>'UW Output'!F24</f>
        <v/>
      </c>
      <c r="G32" s="250">
        <f>'UW Output'!G24</f>
        <v/>
      </c>
      <c r="H32" s="250">
        <f>'UW Output'!H24</f>
        <v/>
      </c>
    </row>
    <row r="33">
      <c r="A33" s="250">
        <f>'UW Output'!A25</f>
        <v/>
      </c>
      <c r="B33" s="250">
        <f>'UW Output'!B25</f>
        <v/>
      </c>
      <c r="C33" s="250">
        <f>'UW Output'!C25</f>
        <v/>
      </c>
      <c r="D33" s="250">
        <f>'UW Output'!D25</f>
        <v/>
      </c>
      <c r="E33" s="250">
        <f>'UW Output'!E25</f>
        <v/>
      </c>
      <c r="F33" s="250">
        <f>'UW Output'!F25</f>
        <v/>
      </c>
      <c r="G33" s="250">
        <f>'UW Output'!G25</f>
        <v/>
      </c>
      <c r="H33" s="250">
        <f>'UW Output'!H25</f>
        <v/>
      </c>
    </row>
    <row r="34">
      <c r="A34" s="250">
        <f>'UW Output'!A26</f>
        <v/>
      </c>
      <c r="B34" s="250">
        <f>'UW Output'!B26</f>
        <v/>
      </c>
      <c r="C34" s="250">
        <f>'UW Output'!C26</f>
        <v/>
      </c>
      <c r="D34" s="250">
        <f>'UW Output'!D26</f>
        <v/>
      </c>
      <c r="E34" s="250">
        <f>'UW Output'!E26</f>
        <v/>
      </c>
      <c r="F34" s="250">
        <f>'UW Output'!F26</f>
        <v/>
      </c>
      <c r="G34" s="250">
        <f>'UW Output'!G26</f>
        <v/>
      </c>
      <c r="H34" s="250">
        <f>'UW Output'!H26</f>
        <v/>
      </c>
    </row>
    <row r="35">
      <c r="A35" s="250">
        <f>'UW Output'!A27</f>
        <v/>
      </c>
      <c r="B35" s="250">
        <f>'UW Output'!B27</f>
        <v/>
      </c>
      <c r="C35" s="250">
        <f>'UW Output'!C27</f>
        <v/>
      </c>
      <c r="D35" s="250">
        <f>'UW Output'!D27</f>
        <v/>
      </c>
      <c r="E35" s="250">
        <f>'UW Output'!E27</f>
        <v/>
      </c>
      <c r="F35" s="250">
        <f>'UW Output'!F27</f>
        <v/>
      </c>
      <c r="G35" s="250">
        <f>'UW Output'!G27</f>
        <v/>
      </c>
      <c r="H35" s="250">
        <f>'UW Output'!H27</f>
        <v/>
      </c>
    </row>
    <row r="36">
      <c r="A36" s="250">
        <f>'UW Output'!A28</f>
        <v/>
      </c>
      <c r="B36" s="250">
        <f>'UW Output'!B28</f>
        <v/>
      </c>
      <c r="C36" s="250">
        <f>'UW Output'!C28</f>
        <v/>
      </c>
      <c r="D36" s="250">
        <f>'UW Output'!D28</f>
        <v/>
      </c>
      <c r="E36" s="250">
        <f>'UW Output'!E28</f>
        <v/>
      </c>
      <c r="F36" s="250">
        <f>'UW Output'!F28</f>
        <v/>
      </c>
      <c r="G36" s="250">
        <f>'UW Output'!G28</f>
        <v/>
      </c>
      <c r="H36" s="250">
        <f>'UW Output'!H28</f>
        <v/>
      </c>
    </row>
    <row r="37">
      <c r="A37" s="250">
        <f>'UW Output'!A29</f>
        <v/>
      </c>
      <c r="B37" s="250">
        <f>'UW Output'!B29</f>
        <v/>
      </c>
      <c r="C37" s="250">
        <f>'UW Output'!C29</f>
        <v/>
      </c>
      <c r="D37" s="250">
        <f>'UW Output'!D29</f>
        <v/>
      </c>
      <c r="E37" s="250">
        <f>'UW Output'!E29</f>
        <v/>
      </c>
      <c r="F37" s="250">
        <f>'UW Output'!F29</f>
        <v/>
      </c>
      <c r="G37" s="250">
        <f>'UW Output'!G29</f>
        <v/>
      </c>
      <c r="H37" s="250">
        <f>'UW Output'!H29</f>
        <v/>
      </c>
    </row>
    <row r="38">
      <c r="A38" s="250">
        <f>'UW Output'!A30</f>
        <v/>
      </c>
      <c r="B38" s="250">
        <f>'UW Output'!B30</f>
        <v/>
      </c>
      <c r="C38" s="250">
        <f>'UW Output'!C30</f>
        <v/>
      </c>
      <c r="D38" s="250">
        <f>'UW Output'!D30</f>
        <v/>
      </c>
      <c r="E38" s="250">
        <f>'UW Output'!E30</f>
        <v/>
      </c>
      <c r="F38" s="250">
        <f>'UW Output'!F30</f>
        <v/>
      </c>
      <c r="G38" s="250">
        <f>'UW Output'!G30</f>
        <v/>
      </c>
      <c r="H38" s="250">
        <f>'UW Output'!H30</f>
        <v/>
      </c>
    </row>
    <row r="39">
      <c r="A39" s="250">
        <f>'UW Output'!A31</f>
        <v/>
      </c>
      <c r="B39" s="250">
        <f>'UW Output'!B31</f>
        <v/>
      </c>
      <c r="C39" s="250">
        <f>'UW Output'!C31</f>
        <v/>
      </c>
      <c r="D39" s="250">
        <f>'UW Output'!D31</f>
        <v/>
      </c>
      <c r="E39" s="250">
        <f>'UW Output'!E31</f>
        <v/>
      </c>
      <c r="F39" s="250">
        <f>'UW Output'!F31</f>
        <v/>
      </c>
      <c r="G39" s="250">
        <f>'UW Output'!G31</f>
        <v/>
      </c>
      <c r="H39" s="250">
        <f>'UW Output'!H31</f>
        <v/>
      </c>
    </row>
    <row r="40">
      <c r="A40" s="250">
        <f>'UW Output'!A32</f>
        <v/>
      </c>
      <c r="B40" s="250">
        <f>'UW Output'!B32</f>
        <v/>
      </c>
      <c r="C40" s="250">
        <f>'UW Output'!C32</f>
        <v/>
      </c>
      <c r="D40" s="250">
        <f>'UW Output'!D32</f>
        <v/>
      </c>
      <c r="E40" s="250">
        <f>'UW Output'!E32</f>
        <v/>
      </c>
      <c r="F40" s="250">
        <f>'UW Output'!F32</f>
        <v/>
      </c>
      <c r="G40" s="250">
        <f>'UW Output'!G32</f>
        <v/>
      </c>
      <c r="H40" s="250">
        <f>'UW Output'!H32</f>
        <v/>
      </c>
    </row>
    <row r="41">
      <c r="A41" s="250">
        <f>'UW Output'!A33</f>
        <v/>
      </c>
      <c r="B41" s="250">
        <f>'UW Output'!B33</f>
        <v/>
      </c>
      <c r="C41" s="250">
        <f>'UW Output'!C33</f>
        <v/>
      </c>
      <c r="D41" s="250">
        <f>'UW Output'!D33</f>
        <v/>
      </c>
      <c r="E41" s="250">
        <f>'UW Output'!E33</f>
        <v/>
      </c>
      <c r="F41" s="250">
        <f>'UW Output'!F33</f>
        <v/>
      </c>
      <c r="G41" s="250">
        <f>'UW Output'!G33</f>
        <v/>
      </c>
      <c r="H41" s="250">
        <f>'UW Output'!H33</f>
        <v/>
      </c>
    </row>
    <row r="42">
      <c r="A42" s="250">
        <f>'UW Output'!A34</f>
        <v/>
      </c>
      <c r="B42" s="250">
        <f>'UW Output'!B34</f>
        <v/>
      </c>
      <c r="C42" s="250">
        <f>'UW Output'!C34</f>
        <v/>
      </c>
      <c r="D42" s="250">
        <f>'UW Output'!D34</f>
        <v/>
      </c>
      <c r="E42" s="250">
        <f>'UW Output'!E34</f>
        <v/>
      </c>
      <c r="F42" s="250">
        <f>'UW Output'!F34</f>
        <v/>
      </c>
      <c r="G42" s="250">
        <f>'UW Output'!G34</f>
        <v/>
      </c>
      <c r="H42" s="250">
        <f>'UW Output'!H34</f>
        <v/>
      </c>
    </row>
    <row r="43">
      <c r="A43" s="250">
        <f>'UW Output'!A35</f>
        <v/>
      </c>
      <c r="B43" s="250">
        <f>'UW Output'!B35</f>
        <v/>
      </c>
      <c r="C43" s="250">
        <f>'UW Output'!C35</f>
        <v/>
      </c>
      <c r="D43" s="250">
        <f>'UW Output'!D35</f>
        <v/>
      </c>
      <c r="E43" s="250">
        <f>'UW Output'!E35</f>
        <v/>
      </c>
      <c r="F43" s="250">
        <f>'UW Output'!F35</f>
        <v/>
      </c>
      <c r="G43" s="250">
        <f>'UW Output'!G35</f>
        <v/>
      </c>
      <c r="H43" s="250">
        <f>'UW Output'!H35</f>
        <v/>
      </c>
    </row>
    <row r="44">
      <c r="A44" s="250">
        <f>'UW Output'!A36</f>
        <v/>
      </c>
      <c r="B44" s="250">
        <f>'UW Output'!B36</f>
        <v/>
      </c>
      <c r="C44" s="250">
        <f>'UW Output'!C36</f>
        <v/>
      </c>
      <c r="D44" s="250">
        <f>'UW Output'!D36</f>
        <v/>
      </c>
      <c r="E44" s="250">
        <f>'UW Output'!E36</f>
        <v/>
      </c>
      <c r="F44" s="250">
        <f>'UW Output'!F36</f>
        <v/>
      </c>
      <c r="G44" s="250">
        <f>'UW Output'!G36</f>
        <v/>
      </c>
      <c r="H44" s="250">
        <f>'UW Output'!H36</f>
        <v/>
      </c>
    </row>
    <row r="45">
      <c r="A45" s="250">
        <f>'UW Output'!A37</f>
        <v/>
      </c>
      <c r="B45" s="250">
        <f>'UW Output'!B37</f>
        <v/>
      </c>
      <c r="C45" s="250">
        <f>'UW Output'!C37</f>
        <v/>
      </c>
      <c r="D45" s="250">
        <f>'UW Output'!D37</f>
        <v/>
      </c>
      <c r="E45" s="250">
        <f>'UW Output'!E37</f>
        <v/>
      </c>
      <c r="F45" s="250">
        <f>'UW Output'!F37</f>
        <v/>
      </c>
      <c r="G45" s="250">
        <f>'UW Output'!G37</f>
        <v/>
      </c>
      <c r="H45" s="250">
        <f>'UW Output'!H37</f>
        <v/>
      </c>
    </row>
    <row r="46">
      <c r="A46" s="250">
        <f>'UW Output'!A38</f>
        <v/>
      </c>
      <c r="B46" s="250">
        <f>'UW Output'!B38</f>
        <v/>
      </c>
      <c r="C46" s="250">
        <f>'UW Output'!C38</f>
        <v/>
      </c>
      <c r="D46" s="250">
        <f>'UW Output'!D38</f>
        <v/>
      </c>
      <c r="E46" s="250">
        <f>'UW Output'!E38</f>
        <v/>
      </c>
      <c r="F46" s="250">
        <f>'UW Output'!F38</f>
        <v/>
      </c>
      <c r="G46" s="250">
        <f>'UW Output'!G38</f>
        <v/>
      </c>
      <c r="H46" s="250">
        <f>'UW Output'!H38</f>
        <v/>
      </c>
    </row>
    <row r="47">
      <c r="A47" s="250">
        <f>'UW Output'!A39</f>
        <v/>
      </c>
      <c r="B47" s="250">
        <f>'UW Output'!B39</f>
        <v/>
      </c>
      <c r="C47" s="250">
        <f>'UW Output'!C39</f>
        <v/>
      </c>
      <c r="D47" s="250">
        <f>'UW Output'!D39</f>
        <v/>
      </c>
      <c r="E47" s="250">
        <f>'UW Output'!E39</f>
        <v/>
      </c>
      <c r="F47" s="250">
        <f>'UW Output'!F39</f>
        <v/>
      </c>
      <c r="G47" s="250">
        <f>'UW Output'!G39</f>
        <v/>
      </c>
      <c r="H47" s="250">
        <f>'UW Output'!H39</f>
        <v/>
      </c>
    </row>
    <row r="48">
      <c r="A48" s="250">
        <f>'UW Output'!A40</f>
        <v/>
      </c>
      <c r="B48" s="250">
        <f>'UW Output'!B40</f>
        <v/>
      </c>
      <c r="C48" s="250">
        <f>'UW Output'!C40</f>
        <v/>
      </c>
      <c r="D48" s="250">
        <f>'UW Output'!D40</f>
        <v/>
      </c>
      <c r="E48" s="250">
        <f>'UW Output'!E40</f>
        <v/>
      </c>
      <c r="F48" s="250">
        <f>'UW Output'!F40</f>
        <v/>
      </c>
      <c r="G48" s="250">
        <f>'UW Output'!G40</f>
        <v/>
      </c>
      <c r="H48" s="250">
        <f>'UW Output'!H40</f>
        <v/>
      </c>
    </row>
    <row r="49">
      <c r="A49" s="250">
        <f>'UW Output'!A41</f>
        <v/>
      </c>
      <c r="B49" s="250">
        <f>'UW Output'!B41</f>
        <v/>
      </c>
      <c r="C49" s="250">
        <f>'UW Output'!C41</f>
        <v/>
      </c>
      <c r="D49" s="250">
        <f>'UW Output'!D41</f>
        <v/>
      </c>
      <c r="E49" s="250">
        <f>'UW Output'!E41</f>
        <v/>
      </c>
      <c r="F49" s="250">
        <f>'UW Output'!F41</f>
        <v/>
      </c>
      <c r="G49" s="250">
        <f>'UW Output'!G41</f>
        <v/>
      </c>
      <c r="H49" s="250">
        <f>'UW Output'!H41</f>
        <v/>
      </c>
    </row>
    <row r="50">
      <c r="A50" s="250">
        <f>'UW Output'!A42</f>
        <v/>
      </c>
      <c r="B50" s="250">
        <f>'UW Output'!B42</f>
        <v/>
      </c>
      <c r="C50" s="250">
        <f>'UW Output'!C42</f>
        <v/>
      </c>
      <c r="D50" s="250">
        <f>'UW Output'!D42</f>
        <v/>
      </c>
      <c r="E50" s="250">
        <f>'UW Output'!E42</f>
        <v/>
      </c>
      <c r="F50" s="250">
        <f>'UW Output'!F42</f>
        <v/>
      </c>
      <c r="G50" s="250">
        <f>'UW Output'!G42</f>
        <v/>
      </c>
      <c r="H50" s="250">
        <f>'UW Output'!H42</f>
        <v/>
      </c>
    </row>
    <row r="51">
      <c r="A51" s="250">
        <f>'UW Output'!A43</f>
        <v/>
      </c>
      <c r="B51" s="250">
        <f>'UW Output'!B43</f>
        <v/>
      </c>
      <c r="C51" s="250">
        <f>'UW Output'!C43</f>
        <v/>
      </c>
      <c r="D51" s="250">
        <f>'UW Output'!D43</f>
        <v/>
      </c>
      <c r="E51" s="250">
        <f>'UW Output'!E43</f>
        <v/>
      </c>
      <c r="F51" s="250">
        <f>'UW Output'!F43</f>
        <v/>
      </c>
      <c r="G51" s="250">
        <f>'UW Output'!G43</f>
        <v/>
      </c>
      <c r="H51" s="250">
        <f>'UW Output'!H43</f>
        <v/>
      </c>
    </row>
    <row r="52">
      <c r="A52" s="250">
        <f>'UW Output'!A44</f>
        <v/>
      </c>
      <c r="B52" s="250">
        <f>'UW Output'!B44</f>
        <v/>
      </c>
      <c r="C52" s="250">
        <f>'UW Output'!C44</f>
        <v/>
      </c>
      <c r="D52" s="250">
        <f>'UW Output'!D44</f>
        <v/>
      </c>
      <c r="E52" s="250">
        <f>'UW Output'!E44</f>
        <v/>
      </c>
      <c r="F52" s="250">
        <f>'UW Output'!F44</f>
        <v/>
      </c>
      <c r="G52" s="250">
        <f>'UW Output'!G44</f>
        <v/>
      </c>
      <c r="H52" s="250">
        <f>'UW Output'!H44</f>
        <v/>
      </c>
    </row>
    <row r="53">
      <c r="A53" s="250">
        <f>'UW Output'!A45</f>
        <v/>
      </c>
      <c r="B53" s="250">
        <f>'UW Output'!B45</f>
        <v/>
      </c>
      <c r="C53" s="250">
        <f>'UW Output'!C45</f>
        <v/>
      </c>
      <c r="D53" s="250">
        <f>'UW Output'!D45</f>
        <v/>
      </c>
      <c r="E53" s="250">
        <f>'UW Output'!E45</f>
        <v/>
      </c>
      <c r="F53" s="250">
        <f>'UW Output'!F45</f>
        <v/>
      </c>
      <c r="G53" s="250">
        <f>'UW Output'!G45</f>
        <v/>
      </c>
      <c r="H53" s="250">
        <f>'UW Output'!H45</f>
        <v/>
      </c>
    </row>
    <row r="54">
      <c r="A54" s="250">
        <f>'UW Output'!A46</f>
        <v/>
      </c>
      <c r="B54" s="250">
        <f>'UW Output'!B46</f>
        <v/>
      </c>
      <c r="C54" s="250">
        <f>'UW Output'!C46</f>
        <v/>
      </c>
      <c r="D54" s="250">
        <f>'UW Output'!D46</f>
        <v/>
      </c>
      <c r="E54" s="250">
        <f>'UW Output'!E46</f>
        <v/>
      </c>
      <c r="F54" s="250">
        <f>'UW Output'!F46</f>
        <v/>
      </c>
      <c r="G54" s="250">
        <f>'UW Output'!G46</f>
        <v/>
      </c>
      <c r="H54" s="250">
        <f>'UW Output'!H46</f>
        <v/>
      </c>
    </row>
    <row r="55">
      <c r="A55" s="250">
        <f>'UW Output'!A47</f>
        <v/>
      </c>
      <c r="B55" s="250">
        <f>'UW Output'!B47</f>
        <v/>
      </c>
      <c r="C55" s="250">
        <f>'UW Output'!C47</f>
        <v/>
      </c>
      <c r="D55" s="250">
        <f>'UW Output'!D47</f>
        <v/>
      </c>
      <c r="E55" s="250">
        <f>'UW Output'!E47</f>
        <v/>
      </c>
      <c r="F55" s="250">
        <f>'UW Output'!F47</f>
        <v/>
      </c>
      <c r="G55" s="250">
        <f>'UW Output'!G47</f>
        <v/>
      </c>
      <c r="H55" s="250">
        <f>'UW Output'!H47</f>
        <v/>
      </c>
    </row>
    <row r="56">
      <c r="A56" s="250">
        <f>'UW Output'!A48</f>
        <v/>
      </c>
      <c r="B56" s="250">
        <f>'UW Output'!B48</f>
        <v/>
      </c>
      <c r="C56" s="250">
        <f>'UW Output'!C48</f>
        <v/>
      </c>
      <c r="D56" s="250">
        <f>'UW Output'!D48</f>
        <v/>
      </c>
      <c r="E56" s="250">
        <f>'UW Output'!E48</f>
        <v/>
      </c>
      <c r="F56" s="250">
        <f>'UW Output'!F48</f>
        <v/>
      </c>
      <c r="G56" s="250">
        <f>'UW Output'!G48</f>
        <v/>
      </c>
      <c r="H56" s="250">
        <f>'UW Output'!H48</f>
        <v/>
      </c>
    </row>
    <row r="57">
      <c r="A57" s="250">
        <f>'UW Output'!A49</f>
        <v/>
      </c>
      <c r="B57" s="250">
        <f>'UW Output'!B49</f>
        <v/>
      </c>
      <c r="C57" s="250">
        <f>'UW Output'!C49</f>
        <v/>
      </c>
      <c r="D57" s="250">
        <f>'UW Output'!D49</f>
        <v/>
      </c>
      <c r="E57" s="250">
        <f>'UW Output'!E49</f>
        <v/>
      </c>
      <c r="F57" s="250">
        <f>'UW Output'!F49</f>
        <v/>
      </c>
      <c r="G57" s="250">
        <f>'UW Output'!G49</f>
        <v/>
      </c>
      <c r="H57" s="250">
        <f>'UW Output'!H49</f>
        <v/>
      </c>
    </row>
    <row r="58">
      <c r="A58" s="250">
        <f>'UW Output'!A50</f>
        <v/>
      </c>
      <c r="B58" s="250">
        <f>'UW Output'!B50</f>
        <v/>
      </c>
      <c r="C58" s="250">
        <f>'UW Output'!C50</f>
        <v/>
      </c>
      <c r="D58" s="250">
        <f>'UW Output'!D50</f>
        <v/>
      </c>
      <c r="E58" s="250">
        <f>'UW Output'!E50</f>
        <v/>
      </c>
      <c r="F58" s="250">
        <f>'UW Output'!F50</f>
        <v/>
      </c>
      <c r="G58" s="250">
        <f>'UW Output'!G50</f>
        <v/>
      </c>
      <c r="H58" s="250">
        <f>'UW Output'!H50</f>
        <v/>
      </c>
    </row>
    <row r="59">
      <c r="A59" s="250">
        <f>'UW Output'!A51</f>
        <v/>
      </c>
      <c r="B59" s="250">
        <f>'UW Output'!B51</f>
        <v/>
      </c>
      <c r="C59" s="250">
        <f>'UW Output'!C51</f>
        <v/>
      </c>
      <c r="D59" s="250">
        <f>'UW Output'!D51</f>
        <v/>
      </c>
      <c r="E59" s="250">
        <f>'UW Output'!E51</f>
        <v/>
      </c>
      <c r="F59" s="250">
        <f>'UW Output'!F51</f>
        <v/>
      </c>
      <c r="G59" s="250">
        <f>'UW Output'!G51</f>
        <v/>
      </c>
      <c r="H59" s="250">
        <f>'UW Output'!H51</f>
        <v/>
      </c>
    </row>
    <row r="60">
      <c r="A60" s="250">
        <f>'UW Output'!A52</f>
        <v/>
      </c>
      <c r="B60" s="250">
        <f>'UW Output'!B52</f>
        <v/>
      </c>
      <c r="C60" s="250">
        <f>'UW Output'!C52</f>
        <v/>
      </c>
      <c r="D60" s="250">
        <f>'UW Output'!D52</f>
        <v/>
      </c>
      <c r="E60" s="250">
        <f>'UW Output'!E52</f>
        <v/>
      </c>
      <c r="F60" s="250">
        <f>'UW Output'!F52</f>
        <v/>
      </c>
      <c r="G60" s="250">
        <f>'UW Output'!G52</f>
        <v/>
      </c>
      <c r="H60" s="250">
        <f>'UW Output'!H52</f>
        <v/>
      </c>
    </row>
    <row r="61">
      <c r="A61" s="250">
        <f>'UW Output'!A53</f>
        <v/>
      </c>
      <c r="B61" s="250">
        <f>'UW Output'!B53</f>
        <v/>
      </c>
      <c r="C61" s="250">
        <f>'UW Output'!C53</f>
        <v/>
      </c>
      <c r="D61" s="250">
        <f>'UW Output'!D53</f>
        <v/>
      </c>
      <c r="E61" s="250">
        <f>'UW Output'!E53</f>
        <v/>
      </c>
      <c r="F61" s="250">
        <f>'UW Output'!F53</f>
        <v/>
      </c>
      <c r="G61" s="250">
        <f>'UW Output'!G53</f>
        <v/>
      </c>
      <c r="H61" s="250">
        <f>'UW Output'!H53</f>
        <v/>
      </c>
    </row>
    <row r="62">
      <c r="A62" s="250">
        <f>'UW Output'!A54</f>
        <v/>
      </c>
      <c r="B62" s="250">
        <f>'UW Output'!B54</f>
        <v/>
      </c>
      <c r="C62" s="250">
        <f>'UW Output'!C54</f>
        <v/>
      </c>
      <c r="D62" s="250">
        <f>'UW Output'!D54</f>
        <v/>
      </c>
      <c r="E62" s="250">
        <f>'UW Output'!E54</f>
        <v/>
      </c>
      <c r="F62" s="250">
        <f>'UW Output'!F54</f>
        <v/>
      </c>
      <c r="G62" s="250">
        <f>'UW Output'!G54</f>
        <v/>
      </c>
      <c r="H62" s="250">
        <f>'UW Output'!H54</f>
        <v/>
      </c>
    </row>
    <row r="63">
      <c r="A63" s="250">
        <f>'UW Output'!A55</f>
        <v/>
      </c>
      <c r="B63" s="250">
        <f>'UW Output'!B55</f>
        <v/>
      </c>
      <c r="C63" s="250">
        <f>'UW Output'!C55</f>
        <v/>
      </c>
      <c r="D63" s="250">
        <f>'UW Output'!D55</f>
        <v/>
      </c>
      <c r="E63" s="250">
        <f>'UW Output'!E55</f>
        <v/>
      </c>
      <c r="F63" s="250">
        <f>'UW Output'!F55</f>
        <v/>
      </c>
      <c r="G63" s="250">
        <f>'UW Output'!G55</f>
        <v/>
      </c>
      <c r="H63" s="250">
        <f>'UW Output'!H55</f>
        <v/>
      </c>
    </row>
    <row r="64">
      <c r="A64" s="250">
        <f>'UW Output'!A56</f>
        <v/>
      </c>
      <c r="B64" s="250">
        <f>'UW Output'!B56</f>
        <v/>
      </c>
      <c r="C64" s="250">
        <f>'UW Output'!C56</f>
        <v/>
      </c>
      <c r="D64" s="250">
        <f>'UW Output'!D56</f>
        <v/>
      </c>
      <c r="E64" s="250">
        <f>'UW Output'!E56</f>
        <v/>
      </c>
      <c r="F64" s="250">
        <f>'UW Output'!F56</f>
        <v/>
      </c>
      <c r="G64" s="250">
        <f>'UW Output'!G56</f>
        <v/>
      </c>
      <c r="H64" s="250">
        <f>'UW Output'!H56</f>
        <v/>
      </c>
    </row>
    <row r="65">
      <c r="A65" s="250">
        <f>'UW Output'!A57</f>
        <v/>
      </c>
      <c r="B65" s="250">
        <f>'UW Output'!B57</f>
        <v/>
      </c>
      <c r="C65" s="250">
        <f>'UW Output'!C57</f>
        <v/>
      </c>
      <c r="D65" s="250">
        <f>'UW Output'!D57</f>
        <v/>
      </c>
      <c r="E65" s="250">
        <f>'UW Output'!E57</f>
        <v/>
      </c>
      <c r="F65" s="250">
        <f>'UW Output'!F57</f>
        <v/>
      </c>
      <c r="G65" s="250">
        <f>'UW Output'!G57</f>
        <v/>
      </c>
      <c r="H65" s="250">
        <f>'UW Output'!H57</f>
        <v/>
      </c>
    </row>
    <row r="66">
      <c r="A66" s="250">
        <f>'UW Output'!A58</f>
        <v/>
      </c>
      <c r="B66" s="250">
        <f>'UW Output'!B58</f>
        <v/>
      </c>
      <c r="C66" s="250">
        <f>'UW Output'!C58</f>
        <v/>
      </c>
      <c r="D66" s="250">
        <f>'UW Output'!D58</f>
        <v/>
      </c>
      <c r="E66" s="250">
        <f>'UW Output'!E58</f>
        <v/>
      </c>
      <c r="F66" s="250">
        <f>'UW Output'!F58</f>
        <v/>
      </c>
      <c r="G66" s="250">
        <f>'UW Output'!G58</f>
        <v/>
      </c>
      <c r="H66" s="250">
        <f>'UW Output'!H58</f>
        <v/>
      </c>
    </row>
    <row r="67">
      <c r="A67" s="250">
        <f>'UW Output'!A59</f>
        <v/>
      </c>
      <c r="B67" s="250">
        <f>'UW Output'!B59</f>
        <v/>
      </c>
      <c r="C67" s="250">
        <f>'UW Output'!C59</f>
        <v/>
      </c>
      <c r="D67" s="250">
        <f>'UW Output'!D59</f>
        <v/>
      </c>
      <c r="E67" s="250">
        <f>'UW Output'!E59</f>
        <v/>
      </c>
      <c r="F67" s="250">
        <f>'UW Output'!F59</f>
        <v/>
      </c>
      <c r="G67" s="250">
        <f>'UW Output'!G59</f>
        <v/>
      </c>
      <c r="H67" s="250">
        <f>'UW Output'!H59</f>
        <v/>
      </c>
    </row>
    <row r="68">
      <c r="A68" s="250">
        <f>'UW Output'!A60</f>
        <v/>
      </c>
      <c r="B68" s="250">
        <f>'UW Output'!B60</f>
        <v/>
      </c>
      <c r="C68" s="250">
        <f>'UW Output'!C60</f>
        <v/>
      </c>
      <c r="D68" s="250">
        <f>'UW Output'!D60</f>
        <v/>
      </c>
      <c r="E68" s="250">
        <f>'UW Output'!E60</f>
        <v/>
      </c>
      <c r="F68" s="250">
        <f>'UW Output'!F60</f>
        <v/>
      </c>
      <c r="G68" s="250">
        <f>'UW Output'!G60</f>
        <v/>
      </c>
      <c r="H68" s="250">
        <f>'UW Output'!H60</f>
        <v/>
      </c>
    </row>
    <row r="69">
      <c r="A69" s="250">
        <f>'UW Output'!A61</f>
        <v/>
      </c>
      <c r="B69" s="250">
        <f>'UW Output'!B61</f>
        <v/>
      </c>
      <c r="C69" s="250">
        <f>'UW Output'!C61</f>
        <v/>
      </c>
      <c r="D69" s="250">
        <f>'UW Output'!D61</f>
        <v/>
      </c>
      <c r="E69" s="250">
        <f>'UW Output'!E61</f>
        <v/>
      </c>
      <c r="F69" s="250">
        <f>'UW Output'!F61</f>
        <v/>
      </c>
      <c r="G69" s="250">
        <f>'UW Output'!G61</f>
        <v/>
      </c>
      <c r="H69" s="250">
        <f>'UW Output'!H61</f>
        <v/>
      </c>
    </row>
    <row r="70">
      <c r="A70" s="250">
        <f>'UW Output'!A62</f>
        <v/>
      </c>
      <c r="B70" s="250">
        <f>'UW Output'!B62</f>
        <v/>
      </c>
      <c r="C70" s="250">
        <f>'UW Output'!C62</f>
        <v/>
      </c>
      <c r="D70" s="250">
        <f>'UW Output'!D62</f>
        <v/>
      </c>
      <c r="E70" s="250">
        <f>'UW Output'!E62</f>
        <v/>
      </c>
      <c r="F70" s="250">
        <f>'UW Output'!F62</f>
        <v/>
      </c>
      <c r="G70" s="250">
        <f>'UW Output'!G62</f>
        <v/>
      </c>
      <c r="H70" s="250">
        <f>'UW Output'!H62</f>
        <v/>
      </c>
    </row>
    <row r="71">
      <c r="A71" s="250">
        <f>'UW Output'!A63</f>
        <v/>
      </c>
      <c r="B71" s="250">
        <f>'UW Output'!B63</f>
        <v/>
      </c>
      <c r="C71" s="250">
        <f>'UW Output'!C63</f>
        <v/>
      </c>
      <c r="D71" s="250">
        <f>'UW Output'!D63</f>
        <v/>
      </c>
      <c r="E71" s="250">
        <f>'UW Output'!E63</f>
        <v/>
      </c>
      <c r="F71" s="250">
        <f>'UW Output'!F63</f>
        <v/>
      </c>
      <c r="G71" s="250">
        <f>'UW Output'!G63</f>
        <v/>
      </c>
      <c r="H71" s="250">
        <f>'UW Output'!H63</f>
        <v/>
      </c>
    </row>
    <row r="72">
      <c r="A72" s="250">
        <f>'UW Output'!A64</f>
        <v/>
      </c>
      <c r="B72" s="250">
        <f>'UW Output'!B64</f>
        <v/>
      </c>
      <c r="C72" s="250">
        <f>'UW Output'!C64</f>
        <v/>
      </c>
      <c r="D72" s="250">
        <f>'UW Output'!D64</f>
        <v/>
      </c>
      <c r="E72" s="250">
        <f>'UW Output'!E64</f>
        <v/>
      </c>
      <c r="F72" s="250">
        <f>'UW Output'!F64</f>
        <v/>
      </c>
      <c r="G72" s="250">
        <f>'UW Output'!G64</f>
        <v/>
      </c>
      <c r="H72" s="250">
        <f>'UW Output'!H64</f>
        <v/>
      </c>
    </row>
    <row r="73">
      <c r="A73" s="250">
        <f>'UW Output'!A65</f>
        <v/>
      </c>
      <c r="B73" s="250">
        <f>'UW Output'!B65</f>
        <v/>
      </c>
      <c r="C73" s="250">
        <f>'UW Output'!C65</f>
        <v/>
      </c>
      <c r="D73" s="250">
        <f>'UW Output'!D65</f>
        <v/>
      </c>
      <c r="E73" s="250">
        <f>'UW Output'!E65</f>
        <v/>
      </c>
      <c r="F73" s="250">
        <f>'UW Output'!F65</f>
        <v/>
      </c>
      <c r="G73" s="250">
        <f>'UW Output'!G65</f>
        <v/>
      </c>
      <c r="H73" s="250">
        <f>'UW Output'!H65</f>
        <v/>
      </c>
    </row>
    <row r="74">
      <c r="A74" s="250">
        <f>'UW Output'!A66</f>
        <v/>
      </c>
      <c r="B74" s="250">
        <f>'UW Output'!B66</f>
        <v/>
      </c>
      <c r="C74" s="250">
        <f>'UW Output'!C66</f>
        <v/>
      </c>
      <c r="D74" s="250">
        <f>'UW Output'!D66</f>
        <v/>
      </c>
      <c r="E74" s="250">
        <f>'UW Output'!E66</f>
        <v/>
      </c>
      <c r="F74" s="250">
        <f>'UW Output'!F66</f>
        <v/>
      </c>
      <c r="G74" s="250">
        <f>'UW Output'!G66</f>
        <v/>
      </c>
      <c r="H74" s="250">
        <f>'UW Output'!H66</f>
        <v/>
      </c>
    </row>
    <row r="75">
      <c r="A75" s="250">
        <f>'UW Output'!A67</f>
        <v/>
      </c>
      <c r="B75" s="250">
        <f>'UW Output'!B67</f>
        <v/>
      </c>
      <c r="C75" s="250">
        <f>'UW Output'!C67</f>
        <v/>
      </c>
      <c r="D75" s="250">
        <f>'UW Output'!D67</f>
        <v/>
      </c>
      <c r="E75" s="250">
        <f>'UW Output'!E67</f>
        <v/>
      </c>
      <c r="F75" s="250">
        <f>'UW Output'!F67</f>
        <v/>
      </c>
      <c r="G75" s="250">
        <f>'UW Output'!G67</f>
        <v/>
      </c>
      <c r="H75" s="250">
        <f>'UW Output'!H67</f>
        <v/>
      </c>
    </row>
    <row r="76">
      <c r="A76" s="250">
        <f>'UW Output'!A68</f>
        <v/>
      </c>
      <c r="B76" s="250">
        <f>'UW Output'!B68</f>
        <v/>
      </c>
      <c r="C76" s="250">
        <f>'UW Output'!C68</f>
        <v/>
      </c>
      <c r="D76" s="250">
        <f>'UW Output'!D68</f>
        <v/>
      </c>
      <c r="E76" s="250">
        <f>'UW Output'!E68</f>
        <v/>
      </c>
      <c r="F76" s="250">
        <f>'UW Output'!F68</f>
        <v/>
      </c>
      <c r="G76" s="250">
        <f>'UW Output'!G68</f>
        <v/>
      </c>
      <c r="H76" s="250">
        <f>'UW Output'!H68</f>
        <v/>
      </c>
    </row>
    <row r="77">
      <c r="A77" s="250">
        <f>'UW Output'!A69</f>
        <v/>
      </c>
      <c r="B77" s="250">
        <f>'UW Output'!B69</f>
        <v/>
      </c>
      <c r="C77" s="250">
        <f>'UW Output'!C69</f>
        <v/>
      </c>
      <c r="D77" s="250">
        <f>'UW Output'!D69</f>
        <v/>
      </c>
      <c r="E77" s="250">
        <f>'UW Output'!E69</f>
        <v/>
      </c>
      <c r="F77" s="250">
        <f>'UW Output'!F69</f>
        <v/>
      </c>
      <c r="G77" s="250">
        <f>'UW Output'!G69</f>
        <v/>
      </c>
      <c r="H77" s="250">
        <f>'UW Output'!H69</f>
        <v/>
      </c>
    </row>
    <row r="78">
      <c r="A78" s="250">
        <f>'UW Output'!A70</f>
        <v/>
      </c>
      <c r="B78" s="250">
        <f>'UW Output'!B70</f>
        <v/>
      </c>
      <c r="C78" s="250">
        <f>'UW Output'!C70</f>
        <v/>
      </c>
      <c r="D78" s="250">
        <f>'UW Output'!D70</f>
        <v/>
      </c>
      <c r="E78" s="250">
        <f>'UW Output'!E70</f>
        <v/>
      </c>
      <c r="F78" s="250">
        <f>'UW Output'!F70</f>
        <v/>
      </c>
      <c r="G78" s="250">
        <f>'UW Output'!G70</f>
        <v/>
      </c>
      <c r="H78" s="250">
        <f>'UW Output'!H70</f>
        <v/>
      </c>
    </row>
    <row r="79">
      <c r="A79" s="250">
        <f>'UW Output'!A71</f>
        <v/>
      </c>
      <c r="B79" s="250">
        <f>'UW Output'!B71</f>
        <v/>
      </c>
      <c r="C79" s="250">
        <f>'UW Output'!C71</f>
        <v/>
      </c>
      <c r="D79" s="250">
        <f>'UW Output'!D71</f>
        <v/>
      </c>
      <c r="E79" s="250">
        <f>'UW Output'!E71</f>
        <v/>
      </c>
      <c r="F79" s="250">
        <f>'UW Output'!F71</f>
        <v/>
      </c>
      <c r="G79" s="250">
        <f>'UW Output'!G71</f>
        <v/>
      </c>
      <c r="H79" s="250">
        <f>'UW Output'!H71</f>
        <v/>
      </c>
    </row>
  </sheetData>
  <mergeCells count="7">
    <mergeCell ref="B4:H4"/>
    <mergeCell ref="A2:H2"/>
    <mergeCell ref="B6:H6"/>
    <mergeCell ref="B7:H7"/>
    <mergeCell ref="A1:H1"/>
    <mergeCell ref="B3:H3"/>
    <mergeCell ref="B5:H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Z9"/>
  <sheetViews>
    <sheetView zoomScaleNormal="100" workbookViewId="0">
      <selection activeCell="C29" sqref="C29"/>
    </sheetView>
  </sheetViews>
  <sheetFormatPr baseColWidth="8" defaultColWidth="8.7109375" defaultRowHeight="15"/>
  <cols>
    <col width="12" customWidth="1" style="199" min="1" max="1"/>
    <col width="40" customWidth="1" style="199" min="2" max="2"/>
    <col width="36" customWidth="1" style="199" min="3" max="3"/>
    <col width="14" customWidth="1" style="199" min="4" max="4"/>
    <col width="10" customWidth="1" style="199" min="5" max="5"/>
    <col width="28" customWidth="1" style="199" min="6" max="6"/>
  </cols>
  <sheetData>
    <row r="1" ht="27.75" customHeight="1" s="199">
      <c r="A1" s="189" t="inlineStr">
        <is>
          <t>Mapping Review  —  UNMATCHED rows need action</t>
        </is>
      </c>
      <c r="AZ1" t="inlineStr">
        <is>
          <t>Description_Map review for UNMATCHED descriptions</t>
        </is>
      </c>
    </row>
    <row r="2" ht="36" customHeight="1" s="199">
      <c r="A2" s="188" t="inlineStr">
        <is>
          <t>Column P of T12 Input shows Mapped / UNMATCHED for every data row. For any UNMATCHED row: copy the exact description from col B of T12 Input, add it to the Description_Map tab below with the correct category label, and the Raw Data totals will update automatically.</t>
        </is>
      </c>
      <c r="AZ2" t="inlineStr">
        <is>
          <t>reference</t>
        </is>
      </c>
    </row>
    <row r="3" ht="7.5" customHeight="1" s="199">
      <c r="AZ3" t="inlineStr">
        <is>
          <t>visible</t>
        </is>
      </c>
    </row>
    <row r="4" ht="16.5" customHeight="1" s="199">
      <c r="A4" s="186" t="inlineStr">
        <is>
          <t>How to fix an UNMATCHED row:</t>
        </is>
      </c>
      <c r="AZ4" t="inlineStr">
        <is>
          <t>v0.2.7</t>
        </is>
      </c>
    </row>
    <row r="5" ht="16.5" customHeight="1" s="199">
      <c r="A5" s="185" t="inlineStr">
        <is>
          <t>1.  Go to T12 Input tab. Find the row showing UNMATCHED in column P.</t>
        </is>
      </c>
    </row>
    <row r="6" ht="16.5" customHeight="1" s="199">
      <c r="A6" s="185" t="inlineStr">
        <is>
          <t>2.  Copy the exact text from that row's column B (the description).</t>
        </is>
      </c>
    </row>
    <row r="7" ht="16.5" customHeight="1" s="199">
      <c r="A7" s="185" t="inlineStr">
        <is>
          <t>3.  Go to Description_Map tab. Add a new row with that description.</t>
        </is>
      </c>
    </row>
    <row r="8" ht="16.5" customHeight="1" s="199">
      <c r="A8" s="185" t="inlineStr">
        <is>
          <t>4.  Set the Label column to the correct Analytics category.</t>
        </is>
      </c>
    </row>
    <row r="9" ht="16.5" customHeight="1" s="199">
      <c r="A9" s="185" t="inlineStr">
        <is>
          <t>5.  T12 Raw Data updates automatically — no refresh needed.</t>
        </is>
      </c>
    </row>
  </sheetData>
  <mergeCells count="8">
    <mergeCell ref="A2:F2"/>
    <mergeCell ref="A1:F1"/>
    <mergeCell ref="A5:F5"/>
    <mergeCell ref="A9:F9"/>
    <mergeCell ref="A8:F8"/>
    <mergeCell ref="A6:F6"/>
    <mergeCell ref="A4:F4"/>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Z428"/>
  <sheetViews>
    <sheetView topLeftCell="A197" zoomScaleNormal="100" workbookViewId="0">
      <selection activeCell="B188" sqref="B188"/>
    </sheetView>
  </sheetViews>
  <sheetFormatPr baseColWidth="8" defaultColWidth="8.7109375" defaultRowHeight="15"/>
  <cols>
    <col width="40" customWidth="1" style="199" min="1" max="1"/>
    <col width="36" customWidth="1" style="199" min="2" max="2"/>
    <col width="14" customWidth="1" style="199" min="3" max="3"/>
    <col width="10" customWidth="1" style="199" min="4" max="4"/>
    <col width="28" customWidth="1" style="199" min="5" max="5"/>
  </cols>
  <sheetData>
    <row r="1" ht="27.75" customHeight="1" s="199">
      <c r="A1" s="189" t="inlineStr">
        <is>
          <t>Description_Map  —  add new descriptions here for any operator</t>
        </is>
      </c>
      <c r="AZ1" t="inlineStr">
        <is>
          <t>Canonical Description→Label vocabulary</t>
        </is>
      </c>
    </row>
    <row r="2" ht="30" customHeight="1" s="199">
      <c r="A2" s="188" t="inlineStr">
        <is>
          <t>To add a new operator's descriptions: paste the exact text from their T12 description col B, set Label to the matching Analytics category, then paste new T12 data in T12 Input. Done.</t>
        </is>
      </c>
      <c r="AZ2" t="inlineStr">
        <is>
          <t>reference</t>
        </is>
      </c>
    </row>
    <row r="3" ht="6" customHeight="1" s="199">
      <c r="AZ3" t="inlineStr">
        <is>
          <t>visible</t>
        </is>
      </c>
    </row>
    <row r="4" ht="25.5" customHeight="1" s="199">
      <c r="A4" s="164" t="inlineStr">
        <is>
          <t>Description</t>
        </is>
      </c>
      <c r="B4" s="164" t="inlineStr">
        <is>
          <t>Label</t>
        </is>
      </c>
      <c r="C4" s="164" t="inlineStr">
        <is>
          <t>Section</t>
        </is>
      </c>
      <c r="D4" s="164" t="inlineStr">
        <is>
          <t>CareType</t>
        </is>
      </c>
      <c r="E4" s="164" t="inlineStr">
        <is>
          <t>Flag</t>
        </is>
      </c>
      <c r="AZ4" t="inlineStr">
        <is>
          <t>v0.2.7</t>
        </is>
      </c>
    </row>
    <row r="5" ht="15" customHeight="1" s="199">
      <c r="A5" s="165" t="inlineStr">
        <is>
          <t>AL Base Rate Income</t>
        </is>
      </c>
      <c r="B5" s="165" t="inlineStr">
        <is>
          <t>Base rent — AL</t>
        </is>
      </c>
      <c r="C5" s="165" t="inlineStr">
        <is>
          <t>Revenue</t>
        </is>
      </c>
      <c r="D5" s="165" t="inlineStr">
        <is>
          <t>AL</t>
        </is>
      </c>
      <c r="E5" s="165" t="n"/>
    </row>
    <row r="6" ht="15" customHeight="1" s="199">
      <c r="A6" s="165" t="inlineStr">
        <is>
          <t>AL Base Rate</t>
        </is>
      </c>
      <c r="B6" s="165" t="inlineStr">
        <is>
          <t>Base rent — AL</t>
        </is>
      </c>
      <c r="C6" s="165" t="inlineStr">
        <is>
          <t>Revenue</t>
        </is>
      </c>
      <c r="D6" s="165" t="inlineStr">
        <is>
          <t>AL</t>
        </is>
      </c>
      <c r="E6" s="165" t="n"/>
    </row>
    <row r="7" ht="15" customHeight="1" s="199">
      <c r="A7" s="165" t="inlineStr">
        <is>
          <t>Assisted Living Base Rate</t>
        </is>
      </c>
      <c r="B7" s="165" t="inlineStr">
        <is>
          <t>Base rent — AL</t>
        </is>
      </c>
      <c r="C7" s="165" t="inlineStr">
        <is>
          <t>Revenue</t>
        </is>
      </c>
      <c r="D7" s="165" t="inlineStr">
        <is>
          <t>AL</t>
        </is>
      </c>
      <c r="E7" s="165" t="n"/>
    </row>
    <row r="8" ht="15" customHeight="1" s="199">
      <c r="A8" s="165" t="inlineStr">
        <is>
          <t>Assisted Living Revenue</t>
        </is>
      </c>
      <c r="B8" s="165" t="inlineStr">
        <is>
          <t>Base rent — AL</t>
        </is>
      </c>
      <c r="C8" s="165" t="inlineStr">
        <is>
          <t>Revenue</t>
        </is>
      </c>
      <c r="D8" s="165" t="inlineStr">
        <is>
          <t>AL</t>
        </is>
      </c>
      <c r="E8" s="165" t="n"/>
    </row>
    <row r="9" ht="15" customHeight="1" s="199">
      <c r="A9" s="165" t="inlineStr">
        <is>
          <t>ALZ Base Rate Income</t>
        </is>
      </c>
      <c r="B9" s="165" t="inlineStr">
        <is>
          <t>Base rent — MC</t>
        </is>
      </c>
      <c r="C9" s="165" t="inlineStr">
        <is>
          <t>Revenue</t>
        </is>
      </c>
      <c r="D9" s="165" t="inlineStr">
        <is>
          <t>MC</t>
        </is>
      </c>
      <c r="E9" s="165" t="n"/>
    </row>
    <row r="10" ht="15" customHeight="1" s="199">
      <c r="A10" s="165" t="inlineStr">
        <is>
          <t>Memory Care Base Rate Income</t>
        </is>
      </c>
      <c r="B10" s="165" t="inlineStr">
        <is>
          <t>Base rent — MC</t>
        </is>
      </c>
      <c r="C10" s="165" t="inlineStr">
        <is>
          <t>Revenue</t>
        </is>
      </c>
      <c r="D10" s="165" t="inlineStr">
        <is>
          <t>MC</t>
        </is>
      </c>
      <c r="E10" s="165" t="n"/>
    </row>
    <row r="11" ht="15" customHeight="1" s="199">
      <c r="A11" s="165" t="inlineStr">
        <is>
          <t>MC Base Rate Income</t>
        </is>
      </c>
      <c r="B11" s="165" t="inlineStr">
        <is>
          <t>Base rent — MC</t>
        </is>
      </c>
      <c r="C11" s="165" t="inlineStr">
        <is>
          <t>Revenue</t>
        </is>
      </c>
      <c r="D11" s="165" t="inlineStr">
        <is>
          <t>MC</t>
        </is>
      </c>
      <c r="E11" s="165" t="n"/>
    </row>
    <row r="12" ht="15" customHeight="1" s="199">
      <c r="A12" s="165" t="inlineStr">
        <is>
          <t>Memory Care Revenue</t>
        </is>
      </c>
      <c r="B12" s="165" t="inlineStr">
        <is>
          <t>Base rent — MC</t>
        </is>
      </c>
      <c r="C12" s="165" t="inlineStr">
        <is>
          <t>Revenue</t>
        </is>
      </c>
      <c r="D12" s="165" t="inlineStr">
        <is>
          <t>MC</t>
        </is>
      </c>
      <c r="E12" s="165" t="n"/>
    </row>
    <row r="13" ht="15" customHeight="1" s="199">
      <c r="A13" s="165" t="inlineStr">
        <is>
          <t>IL Base Rate Income</t>
        </is>
      </c>
      <c r="B13" s="165" t="inlineStr">
        <is>
          <t>Base rent — IL</t>
        </is>
      </c>
      <c r="C13" s="165" t="inlineStr">
        <is>
          <t>Revenue</t>
        </is>
      </c>
      <c r="D13" s="165" t="inlineStr">
        <is>
          <t>IL</t>
        </is>
      </c>
      <c r="E13" s="165" t="n"/>
    </row>
    <row r="14" ht="15" customHeight="1" s="199">
      <c r="A14" s="165" t="inlineStr">
        <is>
          <t>Independent Living Base Rate</t>
        </is>
      </c>
      <c r="B14" s="165" t="inlineStr">
        <is>
          <t>Base rent — IL</t>
        </is>
      </c>
      <c r="C14" s="165" t="inlineStr">
        <is>
          <t>Revenue</t>
        </is>
      </c>
      <c r="D14" s="165" t="inlineStr">
        <is>
          <t>IL</t>
        </is>
      </c>
      <c r="E14" s="165" t="n"/>
    </row>
    <row r="15" ht="15" customHeight="1" s="199">
      <c r="A15" s="165" t="inlineStr">
        <is>
          <t>AL Care Rate Income</t>
        </is>
      </c>
      <c r="B15" s="165" t="inlineStr">
        <is>
          <t>LOC revenue — AL</t>
        </is>
      </c>
      <c r="C15" s="165" t="inlineStr">
        <is>
          <t>Revenue</t>
        </is>
      </c>
      <c r="D15" s="165" t="inlineStr">
        <is>
          <t>AL</t>
        </is>
      </c>
      <c r="E15" s="165" t="n"/>
    </row>
    <row r="16" ht="15" customHeight="1" s="199">
      <c r="A16" s="165" t="inlineStr">
        <is>
          <t>AL Level of Care Income</t>
        </is>
      </c>
      <c r="B16" s="165" t="inlineStr">
        <is>
          <t>LOC revenue — AL</t>
        </is>
      </c>
      <c r="C16" s="165" t="inlineStr">
        <is>
          <t>Revenue</t>
        </is>
      </c>
      <c r="D16" s="165" t="inlineStr">
        <is>
          <t>AL</t>
        </is>
      </c>
      <c r="E16" s="165" t="n"/>
    </row>
    <row r="17" ht="15" customHeight="1" s="199">
      <c r="A17" s="165" t="inlineStr">
        <is>
          <t>AL Care Level Income</t>
        </is>
      </c>
      <c r="B17" s="165" t="inlineStr">
        <is>
          <t>LOC revenue — AL</t>
        </is>
      </c>
      <c r="C17" s="165" t="inlineStr">
        <is>
          <t>Revenue</t>
        </is>
      </c>
      <c r="D17" s="165" t="inlineStr">
        <is>
          <t>AL</t>
        </is>
      </c>
      <c r="E17" s="165" t="n"/>
    </row>
    <row r="18" ht="15" customHeight="1" s="199">
      <c r="A18" s="165" t="inlineStr">
        <is>
          <t>ALZ Care Rate Income</t>
        </is>
      </c>
      <c r="B18" s="165" t="inlineStr">
        <is>
          <t>LOC revenue — MC</t>
        </is>
      </c>
      <c r="C18" s="165" t="inlineStr">
        <is>
          <t>Revenue</t>
        </is>
      </c>
      <c r="D18" s="165" t="inlineStr">
        <is>
          <t>MC</t>
        </is>
      </c>
      <c r="E18" s="165" t="n"/>
    </row>
    <row r="19" ht="15" customHeight="1" s="199">
      <c r="A19" s="165" t="inlineStr">
        <is>
          <t>Memory Care Level of Care</t>
        </is>
      </c>
      <c r="B19" s="165" t="inlineStr">
        <is>
          <t>LOC revenue — MC</t>
        </is>
      </c>
      <c r="C19" s="165" t="inlineStr">
        <is>
          <t>Revenue</t>
        </is>
      </c>
      <c r="D19" s="165" t="inlineStr">
        <is>
          <t>MC</t>
        </is>
      </c>
      <c r="E19" s="165" t="n"/>
    </row>
    <row r="20" ht="15" customHeight="1" s="199">
      <c r="A20" s="165" t="inlineStr">
        <is>
          <t>MC Care Rate Income</t>
        </is>
      </c>
      <c r="B20" s="165" t="inlineStr">
        <is>
          <t>LOC revenue — MC</t>
        </is>
      </c>
      <c r="C20" s="165" t="inlineStr">
        <is>
          <t>Revenue</t>
        </is>
      </c>
      <c r="D20" s="165" t="inlineStr">
        <is>
          <t>MC</t>
        </is>
      </c>
      <c r="E20" s="165" t="n"/>
    </row>
    <row r="21" ht="15" customHeight="1" s="199">
      <c r="A21" s="165" t="inlineStr">
        <is>
          <t>IL Care Rate Income</t>
        </is>
      </c>
      <c r="B21" s="165" t="inlineStr">
        <is>
          <t>LOC revenue — IL</t>
        </is>
      </c>
      <c r="C21" s="165" t="inlineStr">
        <is>
          <t>Revenue</t>
        </is>
      </c>
      <c r="D21" s="165" t="inlineStr">
        <is>
          <t>IL</t>
        </is>
      </c>
      <c r="E21" s="165" t="n"/>
    </row>
    <row r="22" ht="15" customHeight="1" s="199">
      <c r="A22" s="165" t="inlineStr">
        <is>
          <t>IL Level of Care Income</t>
        </is>
      </c>
      <c r="B22" s="165" t="inlineStr">
        <is>
          <t>LOC revenue — IL</t>
        </is>
      </c>
      <c r="C22" s="165" t="inlineStr">
        <is>
          <t>Revenue</t>
        </is>
      </c>
      <c r="D22" s="165" t="inlineStr">
        <is>
          <t>IL</t>
        </is>
      </c>
      <c r="E22" s="165" t="n"/>
    </row>
    <row r="23" ht="15" customHeight="1" s="199">
      <c r="A23" s="165" t="inlineStr">
        <is>
          <t>Respite Care Income</t>
        </is>
      </c>
      <c r="B23" s="165" t="inlineStr">
        <is>
          <t>Respite care</t>
        </is>
      </c>
      <c r="C23" s="165" t="inlineStr">
        <is>
          <t>Revenue</t>
        </is>
      </c>
      <c r="D23" s="165" t="inlineStr">
        <is>
          <t>-</t>
        </is>
      </c>
      <c r="E23" s="165" t="inlineStr">
        <is>
          <t>Volatile</t>
        </is>
      </c>
    </row>
    <row r="24" ht="15" customHeight="1" s="199">
      <c r="A24" s="165" t="inlineStr">
        <is>
          <t>Respite Care</t>
        </is>
      </c>
      <c r="B24" s="165" t="inlineStr">
        <is>
          <t>Respite care</t>
        </is>
      </c>
      <c r="C24" s="165" t="inlineStr">
        <is>
          <t>Revenue</t>
        </is>
      </c>
      <c r="D24" s="165" t="inlineStr">
        <is>
          <t>-</t>
        </is>
      </c>
      <c r="E24" s="165" t="inlineStr">
        <is>
          <t>Volatile</t>
        </is>
      </c>
    </row>
    <row r="25" ht="15" customHeight="1" s="199">
      <c r="A25" s="165" t="inlineStr">
        <is>
          <t>Community Fees</t>
        </is>
      </c>
      <c r="B25" s="165" t="inlineStr">
        <is>
          <t>Community / move-in fees</t>
        </is>
      </c>
      <c r="C25" s="165" t="inlineStr">
        <is>
          <t>Revenue</t>
        </is>
      </c>
      <c r="D25" s="165" t="inlineStr">
        <is>
          <t>-</t>
        </is>
      </c>
      <c r="E25" s="165" t="inlineStr">
        <is>
          <t>Normalize to $0</t>
        </is>
      </c>
    </row>
    <row r="26" ht="15" customHeight="1" s="199">
      <c r="A26" s="165" t="inlineStr">
        <is>
          <t>Move-In Fees</t>
        </is>
      </c>
      <c r="B26" s="165" t="inlineStr">
        <is>
          <t>Community / move-in fees</t>
        </is>
      </c>
      <c r="C26" s="165" t="inlineStr">
        <is>
          <t>Revenue</t>
        </is>
      </c>
      <c r="D26" s="165" t="inlineStr">
        <is>
          <t>-</t>
        </is>
      </c>
      <c r="E26" s="165" t="inlineStr">
        <is>
          <t>Normalize to $0</t>
        </is>
      </c>
    </row>
    <row r="27" ht="15" customHeight="1" s="199">
      <c r="A27" s="165" t="inlineStr">
        <is>
          <t>Concessions</t>
        </is>
      </c>
      <c r="B27" s="165" t="inlineStr">
        <is>
          <t>Concessions &amp; specials</t>
        </is>
      </c>
      <c r="C27" s="165" t="inlineStr">
        <is>
          <t>Revenue</t>
        </is>
      </c>
      <c r="D27" s="165" t="inlineStr">
        <is>
          <t>-</t>
        </is>
      </c>
      <c r="E27" s="165" t="inlineStr">
        <is>
          <t>Normalize to $0</t>
        </is>
      </c>
    </row>
    <row r="28" ht="15" customHeight="1" s="199">
      <c r="A28" s="165" t="inlineStr">
        <is>
          <t>Move In Specials and Discounts</t>
        </is>
      </c>
      <c r="B28" s="165" t="inlineStr">
        <is>
          <t>Concessions &amp; specials</t>
        </is>
      </c>
      <c r="C28" s="165" t="inlineStr">
        <is>
          <t>Revenue</t>
        </is>
      </c>
      <c r="D28" s="165" t="inlineStr">
        <is>
          <t>-</t>
        </is>
      </c>
      <c r="E28" s="165" t="inlineStr">
        <is>
          <t>Normalize to $0</t>
        </is>
      </c>
    </row>
    <row r="29" ht="15" customHeight="1" s="199">
      <c r="A29" s="165" t="inlineStr">
        <is>
          <t>Move-In Specials</t>
        </is>
      </c>
      <c r="B29" s="165" t="inlineStr">
        <is>
          <t>Concessions &amp; specials</t>
        </is>
      </c>
      <c r="C29" s="165" t="inlineStr">
        <is>
          <t>Revenue</t>
        </is>
      </c>
      <c r="D29" s="165" t="inlineStr">
        <is>
          <t>-</t>
        </is>
      </c>
      <c r="E29" s="165" t="inlineStr">
        <is>
          <t>Normalize to $0</t>
        </is>
      </c>
    </row>
    <row r="30" ht="15" customHeight="1" s="199">
      <c r="A30" s="165" t="inlineStr">
        <is>
          <t>Guest Meals</t>
        </is>
      </c>
      <c r="B30" s="165" t="inlineStr">
        <is>
          <t>Other community revenue</t>
        </is>
      </c>
      <c r="C30" s="165" t="inlineStr">
        <is>
          <t>Revenue</t>
        </is>
      </c>
      <c r="D30" s="165" t="inlineStr">
        <is>
          <t>-</t>
        </is>
      </c>
      <c r="E30" s="165" t="n"/>
    </row>
    <row r="31" ht="15" customHeight="1" s="199">
      <c r="A31" s="165" t="inlineStr">
        <is>
          <t>Beautician Income</t>
        </is>
      </c>
      <c r="B31" s="165" t="inlineStr">
        <is>
          <t>Other community revenue</t>
        </is>
      </c>
      <c r="C31" s="165" t="inlineStr">
        <is>
          <t>Revenue</t>
        </is>
      </c>
      <c r="D31" s="165" t="inlineStr">
        <is>
          <t>-</t>
        </is>
      </c>
      <c r="E31" s="165" t="n"/>
    </row>
    <row r="32" ht="15" customHeight="1" s="199">
      <c r="A32" s="165" t="inlineStr">
        <is>
          <t>Utility Income</t>
        </is>
      </c>
      <c r="B32" s="165" t="inlineStr">
        <is>
          <t>Other community revenue</t>
        </is>
      </c>
      <c r="C32" s="165" t="inlineStr">
        <is>
          <t>Revenue</t>
        </is>
      </c>
      <c r="D32" s="165" t="inlineStr">
        <is>
          <t>-</t>
        </is>
      </c>
      <c r="E32" s="165" t="n"/>
    </row>
    <row r="33" ht="15" customHeight="1" s="199">
      <c r="A33" s="165" t="inlineStr">
        <is>
          <t>Incontinence Supplies Income</t>
        </is>
      </c>
      <c r="B33" s="165" t="inlineStr">
        <is>
          <t>Other community revenue</t>
        </is>
      </c>
      <c r="C33" s="165" t="inlineStr">
        <is>
          <t>Revenue</t>
        </is>
      </c>
      <c r="D33" s="165" t="inlineStr">
        <is>
          <t>-</t>
        </is>
      </c>
      <c r="E33" s="165" t="n"/>
    </row>
    <row r="34" ht="15" customHeight="1" s="199">
      <c r="A34" s="165" t="inlineStr">
        <is>
          <t>Personal Purchases</t>
        </is>
      </c>
      <c r="B34" s="165" t="inlineStr">
        <is>
          <t>Other community revenue</t>
        </is>
      </c>
      <c r="C34" s="165" t="inlineStr">
        <is>
          <t>Revenue</t>
        </is>
      </c>
      <c r="D34" s="165" t="inlineStr">
        <is>
          <t>-</t>
        </is>
      </c>
      <c r="E34" s="165" t="n"/>
    </row>
    <row r="35" ht="15" customHeight="1" s="199">
      <c r="A35" s="165" t="inlineStr">
        <is>
          <t>Administrative Fees</t>
        </is>
      </c>
      <c r="B35" s="165" t="inlineStr">
        <is>
          <t>Other community revenue</t>
        </is>
      </c>
      <c r="C35" s="165" t="inlineStr">
        <is>
          <t>Revenue</t>
        </is>
      </c>
      <c r="D35" s="165" t="inlineStr">
        <is>
          <t>-</t>
        </is>
      </c>
      <c r="E35" s="165" t="n"/>
    </row>
    <row r="36" ht="15" customHeight="1" s="199">
      <c r="A36" s="165" t="inlineStr">
        <is>
          <t>Finance Charges Revenue</t>
        </is>
      </c>
      <c r="B36" s="165" t="inlineStr">
        <is>
          <t>Other community revenue</t>
        </is>
      </c>
      <c r="C36" s="165" t="inlineStr">
        <is>
          <t>Revenue</t>
        </is>
      </c>
      <c r="D36" s="165" t="inlineStr">
        <is>
          <t>-</t>
        </is>
      </c>
      <c r="E36" s="165" t="n"/>
    </row>
    <row r="37" ht="15" customHeight="1" s="199">
      <c r="A37" s="165" t="inlineStr">
        <is>
          <t>Care Staff Labor</t>
        </is>
      </c>
      <c r="B37" s="165" t="inlineStr">
        <is>
          <t>Care staff labor</t>
        </is>
      </c>
      <c r="C37" s="165" t="inlineStr">
        <is>
          <t>Labor</t>
        </is>
      </c>
      <c r="D37" s="165" t="inlineStr">
        <is>
          <t>-</t>
        </is>
      </c>
      <c r="E37" s="165" t="n"/>
    </row>
    <row r="38" ht="15" customHeight="1" s="199">
      <c r="A38" s="165" t="inlineStr">
        <is>
          <t>Direct Care Labor</t>
        </is>
      </c>
      <c r="B38" s="165" t="inlineStr">
        <is>
          <t>Care staff labor</t>
        </is>
      </c>
      <c r="C38" s="165" t="inlineStr">
        <is>
          <t>Labor</t>
        </is>
      </c>
      <c r="D38" s="165" t="inlineStr">
        <is>
          <t>-</t>
        </is>
      </c>
      <c r="E38" s="165" t="n"/>
    </row>
    <row r="39" ht="15" customHeight="1" s="199">
      <c r="A39" s="165" t="inlineStr">
        <is>
          <t>Other Labor</t>
        </is>
      </c>
      <c r="B39" s="165" t="inlineStr">
        <is>
          <t>Care staff labor</t>
        </is>
      </c>
      <c r="C39" s="165" t="inlineStr">
        <is>
          <t>Labor</t>
        </is>
      </c>
      <c r="D39" s="165" t="inlineStr">
        <is>
          <t>-</t>
        </is>
      </c>
      <c r="E39" s="165" t="n"/>
    </row>
    <row r="40" ht="15" customHeight="1" s="199">
      <c r="A40" s="165" t="inlineStr">
        <is>
          <t>Wellness/Care Coordinators Labor</t>
        </is>
      </c>
      <c r="B40" s="165" t="inlineStr">
        <is>
          <t>Wellness / care coordinators</t>
        </is>
      </c>
      <c r="C40" s="165" t="inlineStr">
        <is>
          <t>Labor</t>
        </is>
      </c>
      <c r="D40" s="165" t="inlineStr">
        <is>
          <t>-</t>
        </is>
      </c>
      <c r="E40" s="165" t="n"/>
    </row>
    <row r="41" ht="15" customHeight="1" s="199">
      <c r="A41" s="165" t="inlineStr">
        <is>
          <t>Wellness/Care Coordinator Labor</t>
        </is>
      </c>
      <c r="B41" s="165" t="inlineStr">
        <is>
          <t>Wellness / care coordinators</t>
        </is>
      </c>
      <c r="C41" s="165" t="inlineStr">
        <is>
          <t>Labor</t>
        </is>
      </c>
      <c r="D41" s="165" t="inlineStr">
        <is>
          <t>-</t>
        </is>
      </c>
      <c r="E41" s="165" t="n"/>
    </row>
    <row r="42" ht="15" customHeight="1" s="199">
      <c r="A42" s="165" t="inlineStr">
        <is>
          <t>Care Coordinator Labor</t>
        </is>
      </c>
      <c r="B42" s="165" t="inlineStr">
        <is>
          <t>Wellness / care coordinators</t>
        </is>
      </c>
      <c r="C42" s="165" t="inlineStr">
        <is>
          <t>Labor</t>
        </is>
      </c>
      <c r="D42" s="165" t="inlineStr">
        <is>
          <t>-</t>
        </is>
      </c>
      <c r="E42" s="165" t="n"/>
    </row>
    <row r="43" ht="15" customHeight="1" s="199">
      <c r="A43" s="165" t="inlineStr">
        <is>
          <t>Contract Labor - Care</t>
        </is>
      </c>
      <c r="B43" s="165" t="inlineStr">
        <is>
          <t>Contract / agency labor</t>
        </is>
      </c>
      <c r="C43" s="165" t="inlineStr">
        <is>
          <t>Labor</t>
        </is>
      </c>
      <c r="D43" s="165" t="inlineStr">
        <is>
          <t>-</t>
        </is>
      </c>
      <c r="E43" s="165" t="inlineStr">
        <is>
          <t>Normalize at stabilization</t>
        </is>
      </c>
    </row>
    <row r="44" ht="15" customHeight="1" s="199">
      <c r="A44" s="165" t="inlineStr">
        <is>
          <t>Contract Labor</t>
        </is>
      </c>
      <c r="B44" s="165" t="inlineStr">
        <is>
          <t>Contract / agency labor</t>
        </is>
      </c>
      <c r="C44" s="165" t="inlineStr">
        <is>
          <t>Labor</t>
        </is>
      </c>
      <c r="D44" s="165" t="inlineStr">
        <is>
          <t>-</t>
        </is>
      </c>
      <c r="E44" s="165" t="inlineStr">
        <is>
          <t>Normalize at stabilization</t>
        </is>
      </c>
    </row>
    <row r="45" ht="15" customHeight="1" s="199">
      <c r="A45" s="165" t="inlineStr">
        <is>
          <t>Agency Labor</t>
        </is>
      </c>
      <c r="B45" s="165" t="inlineStr">
        <is>
          <t>Contract / agency labor</t>
        </is>
      </c>
      <c r="C45" s="165" t="inlineStr">
        <is>
          <t>Labor</t>
        </is>
      </c>
      <c r="D45" s="165" t="inlineStr">
        <is>
          <t>-</t>
        </is>
      </c>
      <c r="E45" s="165" t="inlineStr">
        <is>
          <t>Normalize at stabilization</t>
        </is>
      </c>
    </row>
    <row r="46" ht="15" customHeight="1" s="199">
      <c r="A46" s="165" t="inlineStr">
        <is>
          <t>Activities Labor</t>
        </is>
      </c>
      <c r="B46" s="165" t="inlineStr">
        <is>
          <t>Activities labor</t>
        </is>
      </c>
      <c r="C46" s="165" t="inlineStr">
        <is>
          <t>Labor</t>
        </is>
      </c>
      <c r="D46" s="165" t="inlineStr">
        <is>
          <t>-</t>
        </is>
      </c>
      <c r="E46" s="165" t="n"/>
    </row>
    <row r="47" ht="15" customHeight="1" s="199">
      <c r="A47" s="165" t="inlineStr">
        <is>
          <t>Food Service Labor</t>
        </is>
      </c>
      <c r="B47" s="165" t="inlineStr">
        <is>
          <t>Dining / food service labor</t>
        </is>
      </c>
      <c r="C47" s="165" t="inlineStr">
        <is>
          <t>Labor</t>
        </is>
      </c>
      <c r="D47" s="165" t="inlineStr">
        <is>
          <t>-</t>
        </is>
      </c>
      <c r="E47" s="165" t="n"/>
    </row>
    <row r="48" ht="15" customHeight="1" s="199">
      <c r="A48" s="165" t="inlineStr">
        <is>
          <t>Dietary Labor</t>
        </is>
      </c>
      <c r="B48" s="165" t="inlineStr">
        <is>
          <t>Dining / food service labor</t>
        </is>
      </c>
      <c r="C48" s="165" t="inlineStr">
        <is>
          <t>Labor</t>
        </is>
      </c>
      <c r="D48" s="165" t="inlineStr">
        <is>
          <t>-</t>
        </is>
      </c>
      <c r="E48" s="165" t="n"/>
    </row>
    <row r="49" ht="15" customHeight="1" s="199">
      <c r="A49" s="165" t="inlineStr">
        <is>
          <t>Dining Labor</t>
        </is>
      </c>
      <c r="B49" s="165" t="inlineStr">
        <is>
          <t>Dining / food service labor</t>
        </is>
      </c>
      <c r="C49" s="165" t="inlineStr">
        <is>
          <t>Labor</t>
        </is>
      </c>
      <c r="D49" s="165" t="inlineStr">
        <is>
          <t>-</t>
        </is>
      </c>
      <c r="E49" s="165" t="n"/>
    </row>
    <row r="50" ht="15" customHeight="1" s="199">
      <c r="A50" s="165" t="inlineStr">
        <is>
          <t>Maintenance/Housekeeping Labor</t>
        </is>
      </c>
      <c r="B50" s="165" t="inlineStr">
        <is>
          <t>Maint. &amp; housekeeping labor</t>
        </is>
      </c>
      <c r="C50" s="165" t="inlineStr">
        <is>
          <t>Labor</t>
        </is>
      </c>
      <c r="D50" s="165" t="inlineStr">
        <is>
          <t>-</t>
        </is>
      </c>
      <c r="E50" s="165" t="n"/>
    </row>
    <row r="51" ht="15" customHeight="1" s="199">
      <c r="A51" s="165" t="inlineStr">
        <is>
          <t>Maintenance Labor</t>
        </is>
      </c>
      <c r="B51" s="165" t="inlineStr">
        <is>
          <t>Maint. &amp; housekeeping labor</t>
        </is>
      </c>
      <c r="C51" s="165" t="inlineStr">
        <is>
          <t>Labor</t>
        </is>
      </c>
      <c r="D51" s="165" t="inlineStr">
        <is>
          <t>-</t>
        </is>
      </c>
      <c r="E51" s="165" t="n"/>
    </row>
    <row r="52" ht="15" customHeight="1" s="199">
      <c r="A52" s="165" t="inlineStr">
        <is>
          <t>Housekeeping Labor</t>
        </is>
      </c>
      <c r="B52" s="165" t="inlineStr">
        <is>
          <t>Maint. &amp; housekeeping labor</t>
        </is>
      </c>
      <c r="C52" s="165" t="inlineStr">
        <is>
          <t>Labor</t>
        </is>
      </c>
      <c r="D52" s="165" t="inlineStr">
        <is>
          <t>-</t>
        </is>
      </c>
      <c r="E52" s="165" t="n"/>
    </row>
    <row r="53" ht="15" customHeight="1" s="199">
      <c r="A53" s="165" t="inlineStr">
        <is>
          <t>Administration Labor</t>
        </is>
      </c>
      <c r="B53" s="165" t="inlineStr">
        <is>
          <t>Administrative labor</t>
        </is>
      </c>
      <c r="C53" s="165" t="inlineStr">
        <is>
          <t>Labor</t>
        </is>
      </c>
      <c r="D53" s="165" t="inlineStr">
        <is>
          <t>-</t>
        </is>
      </c>
      <c r="E53" s="165" t="n"/>
    </row>
    <row r="54" ht="15" customHeight="1" s="199">
      <c r="A54" s="165" t="inlineStr">
        <is>
          <t>Administrative Labor</t>
        </is>
      </c>
      <c r="B54" s="165" t="inlineStr">
        <is>
          <t>Administrative labor</t>
        </is>
      </c>
      <c r="C54" s="165" t="inlineStr">
        <is>
          <t>Labor</t>
        </is>
      </c>
      <c r="D54" s="165" t="inlineStr">
        <is>
          <t>-</t>
        </is>
      </c>
      <c r="E54" s="165" t="n"/>
    </row>
    <row r="55" ht="15" customHeight="1" s="199">
      <c r="A55" s="165" t="inlineStr">
        <is>
          <t>Bonus Wages</t>
        </is>
      </c>
      <c r="B55" s="165" t="inlineStr">
        <is>
          <t>Bonus wages</t>
        </is>
      </c>
      <c r="C55" s="165" t="inlineStr">
        <is>
          <t>Labor</t>
        </is>
      </c>
      <c r="D55" s="165" t="inlineStr">
        <is>
          <t>-</t>
        </is>
      </c>
      <c r="E55" s="165" t="inlineStr">
        <is>
          <t>Stabilize annually</t>
        </is>
      </c>
    </row>
    <row r="56" ht="15" customHeight="1" s="199">
      <c r="A56" s="165" t="inlineStr">
        <is>
          <t>Overtime</t>
        </is>
      </c>
      <c r="B56" s="165" t="inlineStr">
        <is>
          <t>Overtime wages</t>
        </is>
      </c>
      <c r="C56" s="165" t="inlineStr">
        <is>
          <t>Labor</t>
        </is>
      </c>
      <c r="D56" s="165" t="inlineStr">
        <is>
          <t>-</t>
        </is>
      </c>
      <c r="E56" s="165" t="inlineStr">
        <is>
          <t>Flag if &gt;5% of wages</t>
        </is>
      </c>
    </row>
    <row r="57" ht="15" customHeight="1" s="199">
      <c r="A57" s="165" t="inlineStr">
        <is>
          <t>Overtime Wages</t>
        </is>
      </c>
      <c r="B57" s="165" t="inlineStr">
        <is>
          <t>Overtime wages</t>
        </is>
      </c>
      <c r="C57" s="165" t="inlineStr">
        <is>
          <t>Labor</t>
        </is>
      </c>
      <c r="D57" s="165" t="inlineStr">
        <is>
          <t>-</t>
        </is>
      </c>
      <c r="E57" s="165" t="inlineStr">
        <is>
          <t>Flag if &gt;5% of wages</t>
        </is>
      </c>
    </row>
    <row r="58" ht="15" customHeight="1" s="199">
      <c r="A58" s="165" t="inlineStr">
        <is>
          <t>OT Wages</t>
        </is>
      </c>
      <c r="B58" s="165" t="inlineStr">
        <is>
          <t>Overtime wages</t>
        </is>
      </c>
      <c r="C58" s="165" t="inlineStr">
        <is>
          <t>Labor</t>
        </is>
      </c>
      <c r="D58" s="165" t="inlineStr">
        <is>
          <t>-</t>
        </is>
      </c>
      <c r="E58" s="165" t="inlineStr">
        <is>
          <t>Flag if &gt;5% of wages</t>
        </is>
      </c>
    </row>
    <row r="59" ht="15" customHeight="1" s="199">
      <c r="A59" s="165" t="inlineStr">
        <is>
          <t>PTO Wages</t>
        </is>
      </c>
      <c r="B59" s="165" t="inlineStr">
        <is>
          <t>PTO wages</t>
        </is>
      </c>
      <c r="C59" s="165" t="inlineStr">
        <is>
          <t>Labor</t>
        </is>
      </c>
      <c r="D59" s="165" t="inlineStr">
        <is>
          <t>-</t>
        </is>
      </c>
      <c r="E59" s="165" t="inlineStr">
        <is>
          <t>Annualize</t>
        </is>
      </c>
    </row>
    <row r="60" ht="15" customHeight="1" s="199">
      <c r="A60" s="165" t="inlineStr">
        <is>
          <t>PTO</t>
        </is>
      </c>
      <c r="B60" s="165" t="inlineStr">
        <is>
          <t>PTO wages</t>
        </is>
      </c>
      <c r="C60" s="165" t="inlineStr">
        <is>
          <t>Labor</t>
        </is>
      </c>
      <c r="D60" s="165" t="inlineStr">
        <is>
          <t>-</t>
        </is>
      </c>
      <c r="E60" s="165" t="inlineStr">
        <is>
          <t>Annualize</t>
        </is>
      </c>
    </row>
    <row r="61" ht="15" customHeight="1" s="199">
      <c r="A61" s="165" t="inlineStr">
        <is>
          <t>Payroll Taxes</t>
        </is>
      </c>
      <c r="B61" s="165" t="inlineStr">
        <is>
          <t>Payroll taxes</t>
        </is>
      </c>
      <c r="C61" s="165" t="inlineStr">
        <is>
          <t>Labor</t>
        </is>
      </c>
      <c r="D61" s="165" t="inlineStr">
        <is>
          <t>-</t>
        </is>
      </c>
      <c r="E61" s="165" t="n"/>
    </row>
    <row r="62" ht="15" customHeight="1" s="199">
      <c r="A62" s="165" t="inlineStr">
        <is>
          <t>Employee Benefits - Insurance</t>
        </is>
      </c>
      <c r="B62" s="165" t="inlineStr">
        <is>
          <t>Employee benefits</t>
        </is>
      </c>
      <c r="C62" s="165" t="inlineStr">
        <is>
          <t>Labor</t>
        </is>
      </c>
      <c r="D62" s="165" t="inlineStr">
        <is>
          <t>-</t>
        </is>
      </c>
      <c r="E62" s="165" t="n"/>
    </row>
    <row r="63" ht="15" customHeight="1" s="199">
      <c r="A63" s="165" t="inlineStr">
        <is>
          <t>Employee Benefits</t>
        </is>
      </c>
      <c r="B63" s="165" t="inlineStr">
        <is>
          <t>Employee benefits</t>
        </is>
      </c>
      <c r="C63" s="165" t="inlineStr">
        <is>
          <t>Labor</t>
        </is>
      </c>
      <c r="D63" s="165" t="inlineStr">
        <is>
          <t>-</t>
        </is>
      </c>
      <c r="E63" s="165" t="n"/>
    </row>
    <row r="64" ht="15" customHeight="1" s="199">
      <c r="A64" s="165" t="inlineStr">
        <is>
          <t>Worker's Comp Insurance</t>
        </is>
      </c>
      <c r="B64" s="165" t="inlineStr">
        <is>
          <t>Workers' comp insurance</t>
        </is>
      </c>
      <c r="C64" s="165" t="inlineStr">
        <is>
          <t>Labor</t>
        </is>
      </c>
      <c r="D64" s="165" t="inlineStr">
        <is>
          <t>-</t>
        </is>
      </c>
      <c r="E64" s="165" t="n"/>
    </row>
    <row r="65" ht="15" customHeight="1" s="199">
      <c r="A65" s="165" t="inlineStr">
        <is>
          <t>Workers Comp Insurance</t>
        </is>
      </c>
      <c r="B65" s="165" t="inlineStr">
        <is>
          <t>Workers' comp insurance</t>
        </is>
      </c>
      <c r="C65" s="165" t="inlineStr">
        <is>
          <t>Labor</t>
        </is>
      </c>
      <c r="D65" s="165" t="inlineStr">
        <is>
          <t>-</t>
        </is>
      </c>
      <c r="E65" s="165" t="n"/>
    </row>
    <row r="66" ht="15" customHeight="1" s="199">
      <c r="A66" s="165" t="inlineStr">
        <is>
          <t>Workers' Compensation</t>
        </is>
      </c>
      <c r="B66" s="165" t="inlineStr">
        <is>
          <t>Workers' comp insurance</t>
        </is>
      </c>
      <c r="C66" s="165" t="inlineStr">
        <is>
          <t>Labor</t>
        </is>
      </c>
      <c r="D66" s="165" t="inlineStr">
        <is>
          <t>-</t>
        </is>
      </c>
      <c r="E66" s="165" t="n"/>
    </row>
    <row r="67" ht="15" customHeight="1" s="199">
      <c r="A67" s="165" t="inlineStr">
        <is>
          <t>Employee 401(K)</t>
        </is>
      </c>
      <c r="B67" s="165" t="inlineStr">
        <is>
          <t>Employee 401(k)</t>
        </is>
      </c>
      <c r="C67" s="165" t="inlineStr">
        <is>
          <t>Labor</t>
        </is>
      </c>
      <c r="D67" s="165" t="inlineStr">
        <is>
          <t>-</t>
        </is>
      </c>
      <c r="E67" s="165" t="n"/>
    </row>
    <row r="68" ht="15" customHeight="1" s="199">
      <c r="A68" s="165" t="inlineStr">
        <is>
          <t>Employee 401(k)</t>
        </is>
      </c>
      <c r="B68" s="165" t="inlineStr">
        <is>
          <t>Employee 401(k)</t>
        </is>
      </c>
      <c r="C68" s="165" t="inlineStr">
        <is>
          <t>Labor</t>
        </is>
      </c>
      <c r="D68" s="165" t="inlineStr">
        <is>
          <t>-</t>
        </is>
      </c>
      <c r="E68" s="165" t="n"/>
    </row>
    <row r="69" ht="15" customHeight="1" s="199">
      <c r="A69" s="165" t="inlineStr">
        <is>
          <t>Food Cost</t>
        </is>
      </c>
      <c r="B69" s="165" t="inlineStr">
        <is>
          <t>Food cost</t>
        </is>
      </c>
      <c r="C69" s="165" t="inlineStr">
        <is>
          <t>Non-Labor</t>
        </is>
      </c>
      <c r="D69" s="165" t="inlineStr">
        <is>
          <t>-</t>
        </is>
      </c>
      <c r="E69" s="165" t="n"/>
    </row>
    <row r="70" ht="15" customHeight="1" s="199">
      <c r="A70" s="165" t="inlineStr">
        <is>
          <t>Dietary Supplies</t>
        </is>
      </c>
      <c r="B70" s="165" t="inlineStr">
        <is>
          <t>Dining &amp; kitchen supplies</t>
        </is>
      </c>
      <c r="C70" s="165" t="inlineStr">
        <is>
          <t>Non-Labor</t>
        </is>
      </c>
      <c r="D70" s="165" t="inlineStr">
        <is>
          <t>-</t>
        </is>
      </c>
      <c r="E70" s="165" t="n"/>
    </row>
    <row r="71" ht="15" customHeight="1" s="199">
      <c r="A71" s="165" t="inlineStr">
        <is>
          <t>Nursing Supplies</t>
        </is>
      </c>
      <c r="B71" s="165" t="inlineStr">
        <is>
          <t>Nursing &amp; care supplies</t>
        </is>
      </c>
      <c r="C71" s="165" t="inlineStr">
        <is>
          <t>Non-Labor</t>
        </is>
      </c>
      <c r="D71" s="165" t="inlineStr">
        <is>
          <t>-</t>
        </is>
      </c>
      <c r="E71" s="165" t="n"/>
    </row>
    <row r="72" ht="15" customHeight="1" s="199">
      <c r="A72" s="165" t="inlineStr">
        <is>
          <t>Recreation Supplies</t>
        </is>
      </c>
      <c r="B72" s="165" t="inlineStr">
        <is>
          <t>Recreation &amp; activity suppl.</t>
        </is>
      </c>
      <c r="C72" s="165" t="inlineStr">
        <is>
          <t>Non-Labor</t>
        </is>
      </c>
      <c r="D72" s="165" t="inlineStr">
        <is>
          <t>-</t>
        </is>
      </c>
      <c r="E72" s="165" t="n"/>
    </row>
    <row r="73" ht="15" customHeight="1" s="199">
      <c r="A73" s="165" t="inlineStr">
        <is>
          <t>R &amp; M-Fixed</t>
        </is>
      </c>
      <c r="B73" s="165" t="inlineStr">
        <is>
          <t>R&amp;M fixed</t>
        </is>
      </c>
      <c r="C73" s="165" t="inlineStr">
        <is>
          <t>Non-Labor</t>
        </is>
      </c>
      <c r="D73" s="165" t="inlineStr">
        <is>
          <t>-</t>
        </is>
      </c>
      <c r="E73" s="165" t="n"/>
    </row>
    <row r="74" ht="15" customHeight="1" s="199">
      <c r="A74" s="165" t="inlineStr">
        <is>
          <t>R&amp;M-Fixed</t>
        </is>
      </c>
      <c r="B74" s="165" t="inlineStr">
        <is>
          <t>R&amp;M fixed</t>
        </is>
      </c>
      <c r="C74" s="165" t="inlineStr">
        <is>
          <t>Non-Labor</t>
        </is>
      </c>
      <c r="D74" s="165" t="inlineStr">
        <is>
          <t>-</t>
        </is>
      </c>
      <c r="E74" s="165" t="n"/>
    </row>
    <row r="75" ht="15" customHeight="1" s="199">
      <c r="A75" s="165" t="inlineStr">
        <is>
          <t>Maintenance Supplies</t>
        </is>
      </c>
      <c r="B75" s="165" t="inlineStr">
        <is>
          <t>R&amp;M fixed</t>
        </is>
      </c>
      <c r="C75" s="165" t="inlineStr">
        <is>
          <t>Non-Labor</t>
        </is>
      </c>
      <c r="D75" s="165" t="inlineStr">
        <is>
          <t>-</t>
        </is>
      </c>
      <c r="E75" s="165" t="n"/>
    </row>
    <row r="76" ht="15" customHeight="1" s="199">
      <c r="A76" s="165" t="inlineStr">
        <is>
          <t>R &amp; M-Variable</t>
        </is>
      </c>
      <c r="B76" s="165" t="inlineStr">
        <is>
          <t>R&amp;M variable</t>
        </is>
      </c>
      <c r="C76" s="165" t="inlineStr">
        <is>
          <t>Non-Labor</t>
        </is>
      </c>
      <c r="D76" s="165" t="inlineStr">
        <is>
          <t>-</t>
        </is>
      </c>
      <c r="E76" s="165" t="n"/>
    </row>
    <row r="77" ht="15" customHeight="1" s="199">
      <c r="A77" s="165" t="inlineStr">
        <is>
          <t>R&amp;M-Variable</t>
        </is>
      </c>
      <c r="B77" s="165" t="inlineStr">
        <is>
          <t>R&amp;M variable</t>
        </is>
      </c>
      <c r="C77" s="165" t="inlineStr">
        <is>
          <t>Non-Labor</t>
        </is>
      </c>
      <c r="D77" s="165" t="inlineStr">
        <is>
          <t>-</t>
        </is>
      </c>
      <c r="E77" s="165" t="n"/>
    </row>
    <row r="78" ht="15" customHeight="1" s="199">
      <c r="A78" s="165" t="inlineStr">
        <is>
          <t>Housekeeping Supplies</t>
        </is>
      </c>
      <c r="B78" s="165" t="inlineStr">
        <is>
          <t>HK &amp; laundry supplies</t>
        </is>
      </c>
      <c r="C78" s="165" t="inlineStr">
        <is>
          <t>Non-Labor</t>
        </is>
      </c>
      <c r="D78" s="165" t="inlineStr">
        <is>
          <t>-</t>
        </is>
      </c>
      <c r="E78" s="165" t="n"/>
    </row>
    <row r="79" ht="15" customHeight="1" s="199">
      <c r="A79" s="165" t="inlineStr">
        <is>
          <t>Laundry Supplies</t>
        </is>
      </c>
      <c r="B79" s="165" t="inlineStr">
        <is>
          <t>HK &amp; laundry supplies</t>
        </is>
      </c>
      <c r="C79" s="165" t="inlineStr">
        <is>
          <t>Non-Labor</t>
        </is>
      </c>
      <c r="D79" s="165" t="inlineStr">
        <is>
          <t>-</t>
        </is>
      </c>
      <c r="E79" s="165" t="n"/>
    </row>
    <row r="80" ht="15" customHeight="1" s="199">
      <c r="A80" s="165" t="inlineStr">
        <is>
          <t>Advertising and Promotion</t>
        </is>
      </c>
      <c r="B80" s="165" t="inlineStr">
        <is>
          <t>Sales, adv. &amp; marketing</t>
        </is>
      </c>
      <c r="C80" s="165" t="inlineStr">
        <is>
          <t>Non-Labor</t>
        </is>
      </c>
      <c r="D80" s="165" t="inlineStr">
        <is>
          <t>-</t>
        </is>
      </c>
      <c r="E80" s="165" t="n"/>
    </row>
    <row r="81" ht="15" customHeight="1" s="199">
      <c r="A81" s="165" t="inlineStr">
        <is>
          <t>Advertising &amp; Promotion</t>
        </is>
      </c>
      <c r="B81" s="165" t="inlineStr">
        <is>
          <t>Sales, adv. &amp; marketing</t>
        </is>
      </c>
      <c r="C81" s="165" t="inlineStr">
        <is>
          <t>Non-Labor</t>
        </is>
      </c>
      <c r="D81" s="165" t="inlineStr">
        <is>
          <t>-</t>
        </is>
      </c>
      <c r="E81" s="165" t="n"/>
    </row>
    <row r="82" ht="15" customHeight="1" s="199">
      <c r="A82" s="165" t="inlineStr">
        <is>
          <t>Referral Fees</t>
        </is>
      </c>
      <c r="B82" s="165" t="inlineStr">
        <is>
          <t>Referral fees</t>
        </is>
      </c>
      <c r="C82" s="165" t="inlineStr">
        <is>
          <t>Non-Labor</t>
        </is>
      </c>
      <c r="D82" s="165" t="inlineStr">
        <is>
          <t>-</t>
        </is>
      </c>
      <c r="E82" s="165" t="inlineStr">
        <is>
          <t>Normalize at stabilization</t>
        </is>
      </c>
    </row>
    <row r="83" ht="15" customHeight="1" s="199">
      <c r="A83" s="165" t="inlineStr">
        <is>
          <t>Utilities</t>
        </is>
      </c>
      <c r="B83" s="165" t="inlineStr">
        <is>
          <t>Utilities</t>
        </is>
      </c>
      <c r="C83" s="165" t="inlineStr">
        <is>
          <t>Non-Labor</t>
        </is>
      </c>
      <c r="D83" s="165" t="inlineStr">
        <is>
          <t>-</t>
        </is>
      </c>
      <c r="E83" s="165" t="n"/>
    </row>
    <row r="84" ht="15" customHeight="1" s="199">
      <c r="A84" s="165" t="inlineStr">
        <is>
          <t>Telephone/IT</t>
        </is>
      </c>
      <c r="B84" s="165" t="inlineStr">
        <is>
          <t>Telephone / IT</t>
        </is>
      </c>
      <c r="C84" s="165" t="inlineStr">
        <is>
          <t>Non-Labor</t>
        </is>
      </c>
      <c r="D84" s="165" t="inlineStr">
        <is>
          <t>-</t>
        </is>
      </c>
      <c r="E84" s="165" t="n"/>
    </row>
    <row r="85" ht="15" customHeight="1" s="199">
      <c r="A85" s="165" t="inlineStr">
        <is>
          <t>Telephone Reimbursement</t>
        </is>
      </c>
      <c r="B85" s="165" t="inlineStr">
        <is>
          <t>Telephone / IT</t>
        </is>
      </c>
      <c r="C85" s="165" t="inlineStr">
        <is>
          <t>Non-Labor</t>
        </is>
      </c>
      <c r="D85" s="165" t="inlineStr">
        <is>
          <t>-</t>
        </is>
      </c>
      <c r="E85" s="165" t="n"/>
    </row>
    <row r="86" ht="15" customHeight="1" s="199">
      <c r="A86" s="165" t="inlineStr">
        <is>
          <t>Bundled Insurance Poilicies</t>
        </is>
      </c>
      <c r="B86" s="165" t="inlineStr">
        <is>
          <t>P&amp;C insurance (bundled)</t>
        </is>
      </c>
      <c r="C86" s="165" t="inlineStr">
        <is>
          <t>Non-Labor</t>
        </is>
      </c>
      <c r="D86" s="165" t="inlineStr">
        <is>
          <t>-</t>
        </is>
      </c>
      <c r="E86" s="165" t="n"/>
    </row>
    <row r="87" ht="15" customHeight="1" s="199">
      <c r="A87" s="165" t="inlineStr">
        <is>
          <t>Bundled Insurance Policies</t>
        </is>
      </c>
      <c r="B87" s="165" t="inlineStr">
        <is>
          <t>P&amp;C insurance (bundled)</t>
        </is>
      </c>
      <c r="C87" s="165" t="inlineStr">
        <is>
          <t>Non-Labor</t>
        </is>
      </c>
      <c r="D87" s="165" t="inlineStr">
        <is>
          <t>-</t>
        </is>
      </c>
      <c r="E87" s="165" t="n"/>
    </row>
    <row r="88" ht="15" customHeight="1" s="199">
      <c r="A88" s="165" t="inlineStr">
        <is>
          <t>EPLI Insurance</t>
        </is>
      </c>
      <c r="B88" s="165" t="inlineStr">
        <is>
          <t>P&amp;C insurance (bundled)</t>
        </is>
      </c>
      <c r="C88" s="165" t="inlineStr">
        <is>
          <t>Non-Labor</t>
        </is>
      </c>
      <c r="D88" s="165" t="inlineStr">
        <is>
          <t>-</t>
        </is>
      </c>
      <c r="E88" s="165" t="n"/>
    </row>
    <row r="89" ht="15" customHeight="1" s="199">
      <c r="A89" s="165" t="inlineStr">
        <is>
          <t>Auto Insurance</t>
        </is>
      </c>
      <c r="B89" s="165" t="inlineStr">
        <is>
          <t>Auto insurance</t>
        </is>
      </c>
      <c r="C89" s="165" t="inlineStr">
        <is>
          <t>Non-Labor</t>
        </is>
      </c>
      <c r="D89" s="165" t="inlineStr">
        <is>
          <t>-</t>
        </is>
      </c>
      <c r="E89" s="165" t="n"/>
    </row>
    <row r="90" ht="15" customHeight="1" s="199">
      <c r="A90" s="165" t="inlineStr">
        <is>
          <t>Fire/Security Monitoring</t>
        </is>
      </c>
      <c r="B90" s="165" t="inlineStr">
        <is>
          <t>Fire / security monitoring</t>
        </is>
      </c>
      <c r="C90" s="165" t="inlineStr">
        <is>
          <t>Non-Labor</t>
        </is>
      </c>
      <c r="D90" s="165" t="inlineStr">
        <is>
          <t>-</t>
        </is>
      </c>
      <c r="E90" s="165" t="n"/>
    </row>
    <row r="91" ht="15" customHeight="1" s="199">
      <c r="A91" s="165" t="inlineStr">
        <is>
          <t>Pest Elimination</t>
        </is>
      </c>
      <c r="B91" s="165" t="inlineStr">
        <is>
          <t>Pest elimination</t>
        </is>
      </c>
      <c r="C91" s="165" t="inlineStr">
        <is>
          <t>Non-Labor</t>
        </is>
      </c>
      <c r="D91" s="165" t="inlineStr">
        <is>
          <t>-</t>
        </is>
      </c>
      <c r="E91" s="165" t="n"/>
    </row>
    <row r="92" ht="15" customHeight="1" s="199">
      <c r="A92" s="165" t="inlineStr">
        <is>
          <t>Property Tax Expense</t>
        </is>
      </c>
      <c r="B92" s="165" t="inlineStr">
        <is>
          <t>Real estate taxes</t>
        </is>
      </c>
      <c r="C92" s="165" t="inlineStr">
        <is>
          <t>Non-Labor</t>
        </is>
      </c>
      <c r="D92" s="165" t="inlineStr">
        <is>
          <t>-</t>
        </is>
      </c>
      <c r="E92" s="165" t="inlineStr">
        <is>
          <t>Verify assessed value</t>
        </is>
      </c>
    </row>
    <row r="93" ht="15" customHeight="1" s="199">
      <c r="A93" s="165" t="inlineStr">
        <is>
          <t>Real Estate Taxes</t>
        </is>
      </c>
      <c r="B93" s="165" t="inlineStr">
        <is>
          <t>Real estate taxes</t>
        </is>
      </c>
      <c r="C93" s="165" t="inlineStr">
        <is>
          <t>Non-Labor</t>
        </is>
      </c>
      <c r="D93" s="165" t="inlineStr">
        <is>
          <t>-</t>
        </is>
      </c>
      <c r="E93" s="165" t="inlineStr">
        <is>
          <t>Verify assessed value</t>
        </is>
      </c>
    </row>
    <row r="94" ht="15" customHeight="1" s="199">
      <c r="A94" s="165" t="inlineStr">
        <is>
          <t>Personal Property Tax Expense</t>
        </is>
      </c>
      <c r="B94" s="165" t="inlineStr">
        <is>
          <t>Personal property taxes</t>
        </is>
      </c>
      <c r="C94" s="165" t="inlineStr">
        <is>
          <t>Non-Labor</t>
        </is>
      </c>
      <c r="D94" s="165" t="inlineStr">
        <is>
          <t>-</t>
        </is>
      </c>
      <c r="E94" s="165" t="n"/>
    </row>
    <row r="95" ht="15" customHeight="1" s="199">
      <c r="A95" s="165" t="inlineStr">
        <is>
          <t>Personal Property Taxes</t>
        </is>
      </c>
      <c r="B95" s="165" t="inlineStr">
        <is>
          <t>Personal property taxes</t>
        </is>
      </c>
      <c r="C95" s="165" t="inlineStr">
        <is>
          <t>Non-Labor</t>
        </is>
      </c>
      <c r="D95" s="165" t="inlineStr">
        <is>
          <t>-</t>
        </is>
      </c>
      <c r="E95" s="165" t="n"/>
    </row>
    <row r="96" ht="15" customHeight="1" s="199">
      <c r="A96" s="165" t="inlineStr">
        <is>
          <t>Legal Expense</t>
        </is>
      </c>
      <c r="B96" s="165" t="inlineStr">
        <is>
          <t>Legal expenses</t>
        </is>
      </c>
      <c r="C96" s="165" t="inlineStr">
        <is>
          <t>Non-Labor</t>
        </is>
      </c>
      <c r="D96" s="165" t="inlineStr">
        <is>
          <t>-</t>
        </is>
      </c>
      <c r="E96" s="165" t="n"/>
    </row>
    <row r="97" ht="15" customHeight="1" s="199">
      <c r="A97" s="165" t="inlineStr">
        <is>
          <t>Legal Expenses</t>
        </is>
      </c>
      <c r="B97" s="165" t="inlineStr">
        <is>
          <t>Legal expenses</t>
        </is>
      </c>
      <c r="C97" s="165" t="inlineStr">
        <is>
          <t>Non-Labor</t>
        </is>
      </c>
      <c r="D97" s="165" t="inlineStr">
        <is>
          <t>-</t>
        </is>
      </c>
      <c r="E97" s="165" t="n"/>
    </row>
    <row r="98" ht="15" customHeight="1" s="199">
      <c r="A98" s="165" t="inlineStr">
        <is>
          <t>Professional Services</t>
        </is>
      </c>
      <c r="B98" s="165" t="inlineStr">
        <is>
          <t>Professional services</t>
        </is>
      </c>
      <c r="C98" s="165" t="inlineStr">
        <is>
          <t>Non-Labor</t>
        </is>
      </c>
      <c r="D98" s="165" t="inlineStr">
        <is>
          <t>-</t>
        </is>
      </c>
      <c r="E98" s="165" t="n"/>
    </row>
    <row r="99" ht="15" customHeight="1" s="199">
      <c r="A99" s="165" t="inlineStr">
        <is>
          <t>Bad Debt Expense</t>
        </is>
      </c>
      <c r="B99" s="165" t="inlineStr">
        <is>
          <t>Bad debt expense</t>
        </is>
      </c>
      <c r="C99" s="165" t="inlineStr">
        <is>
          <t>Non-Labor</t>
        </is>
      </c>
      <c r="D99" s="165" t="inlineStr">
        <is>
          <t>-</t>
        </is>
      </c>
      <c r="E99" s="165" t="inlineStr">
        <is>
          <t>Normalize to 1-2%</t>
        </is>
      </c>
    </row>
    <row r="100" ht="15" customHeight="1" s="199">
      <c r="A100" s="165" t="inlineStr">
        <is>
          <t>Permits and Licenses</t>
        </is>
      </c>
      <c r="B100" s="165" t="inlineStr">
        <is>
          <t>Permits, licenses &amp; dues</t>
        </is>
      </c>
      <c r="C100" s="165" t="inlineStr">
        <is>
          <t>Non-Labor</t>
        </is>
      </c>
      <c r="D100" s="165" t="inlineStr">
        <is>
          <t>-</t>
        </is>
      </c>
      <c r="E100" s="165" t="n"/>
    </row>
    <row r="101" ht="15" customHeight="1" s="199">
      <c r="A101" s="165" t="inlineStr">
        <is>
          <t>Dues and Subscriptions</t>
        </is>
      </c>
      <c r="B101" s="165" t="inlineStr">
        <is>
          <t>Permits, licenses &amp; dues</t>
        </is>
      </c>
      <c r="C101" s="165" t="inlineStr">
        <is>
          <t>Non-Labor</t>
        </is>
      </c>
      <c r="D101" s="165" t="inlineStr">
        <is>
          <t>-</t>
        </is>
      </c>
      <c r="E101" s="165" t="n"/>
    </row>
    <row r="102" ht="15" customHeight="1" s="199">
      <c r="A102" s="165" t="inlineStr">
        <is>
          <t>Association Dues</t>
        </is>
      </c>
      <c r="B102" s="165" t="inlineStr">
        <is>
          <t>Permits, licenses &amp; dues</t>
        </is>
      </c>
      <c r="C102" s="165" t="inlineStr">
        <is>
          <t>Non-Labor</t>
        </is>
      </c>
      <c r="D102" s="165" t="inlineStr">
        <is>
          <t>-</t>
        </is>
      </c>
      <c r="E102" s="165" t="n"/>
    </row>
    <row r="103" ht="15" customHeight="1" s="199">
      <c r="A103" s="165" t="inlineStr">
        <is>
          <t>Payroll Admin Fee</t>
        </is>
      </c>
      <c r="B103" s="165" t="inlineStr">
        <is>
          <t>Office, admin &amp; G&amp;A</t>
        </is>
      </c>
      <c r="C103" s="165" t="inlineStr">
        <is>
          <t>Non-Labor</t>
        </is>
      </c>
      <c r="D103" s="165" t="inlineStr">
        <is>
          <t>-</t>
        </is>
      </c>
      <c r="E103" s="165" t="n"/>
    </row>
    <row r="104" ht="15" customHeight="1" s="199">
      <c r="A104" s="165" t="inlineStr">
        <is>
          <t>Postage</t>
        </is>
      </c>
      <c r="B104" s="165" t="inlineStr">
        <is>
          <t>Office, admin &amp; G&amp;A</t>
        </is>
      </c>
      <c r="C104" s="165" t="inlineStr">
        <is>
          <t>Non-Labor</t>
        </is>
      </c>
      <c r="D104" s="165" t="inlineStr">
        <is>
          <t>-</t>
        </is>
      </c>
      <c r="E104" s="165" t="n"/>
    </row>
    <row r="105" ht="15" customHeight="1" s="199">
      <c r="A105" s="165" t="inlineStr">
        <is>
          <t>Beautician Expense</t>
        </is>
      </c>
      <c r="B105" s="165" t="inlineStr">
        <is>
          <t>Office, admin &amp; G&amp;A</t>
        </is>
      </c>
      <c r="C105" s="165" t="inlineStr">
        <is>
          <t>Non-Labor</t>
        </is>
      </c>
      <c r="D105" s="165" t="inlineStr">
        <is>
          <t>-</t>
        </is>
      </c>
      <c r="E105" s="165" t="n"/>
    </row>
    <row r="106" ht="15" customHeight="1" s="199">
      <c r="A106" s="165" t="inlineStr">
        <is>
          <t>Copier/Equipment Lease</t>
        </is>
      </c>
      <c r="B106" s="165" t="inlineStr">
        <is>
          <t>Office, admin &amp; G&amp;A</t>
        </is>
      </c>
      <c r="C106" s="165" t="inlineStr">
        <is>
          <t>Non-Labor</t>
        </is>
      </c>
      <c r="D106" s="165" t="inlineStr">
        <is>
          <t>-</t>
        </is>
      </c>
      <c r="E106" s="165" t="n"/>
    </row>
    <row r="107" ht="15" customHeight="1" s="199">
      <c r="A107" s="165" t="inlineStr">
        <is>
          <t>Training/Continuing Education</t>
        </is>
      </c>
      <c r="B107" s="165" t="inlineStr">
        <is>
          <t>Office, admin &amp; G&amp;A</t>
        </is>
      </c>
      <c r="C107" s="165" t="inlineStr">
        <is>
          <t>Non-Labor</t>
        </is>
      </c>
      <c r="D107" s="165" t="inlineStr">
        <is>
          <t>-</t>
        </is>
      </c>
      <c r="E107" s="165" t="n"/>
    </row>
    <row r="108" ht="15" customHeight="1" s="199">
      <c r="A108" s="165" t="inlineStr">
        <is>
          <t>Travel</t>
        </is>
      </c>
      <c r="B108" s="165" t="inlineStr">
        <is>
          <t>Office, admin &amp; G&amp;A</t>
        </is>
      </c>
      <c r="C108" s="165" t="inlineStr">
        <is>
          <t>Non-Labor</t>
        </is>
      </c>
      <c r="D108" s="165" t="inlineStr">
        <is>
          <t>-</t>
        </is>
      </c>
      <c r="E108" s="165" t="n"/>
    </row>
    <row r="109" ht="15" customHeight="1" s="199">
      <c r="A109" s="165" t="inlineStr">
        <is>
          <t>Gas/Mileage</t>
        </is>
      </c>
      <c r="B109" s="165" t="inlineStr">
        <is>
          <t>Office, admin &amp; G&amp;A</t>
        </is>
      </c>
      <c r="C109" s="165" t="inlineStr">
        <is>
          <t>Non-Labor</t>
        </is>
      </c>
      <c r="D109" s="165" t="inlineStr">
        <is>
          <t>-</t>
        </is>
      </c>
      <c r="E109" s="165" t="n"/>
    </row>
    <row r="110" ht="15" customHeight="1" s="199">
      <c r="A110" s="165" t="inlineStr">
        <is>
          <t>Conference Attendance</t>
        </is>
      </c>
      <c r="B110" s="165" t="inlineStr">
        <is>
          <t>Office, admin &amp; G&amp;A</t>
        </is>
      </c>
      <c r="C110" s="165" t="inlineStr">
        <is>
          <t>Non-Labor</t>
        </is>
      </c>
      <c r="D110" s="165" t="inlineStr">
        <is>
          <t>-</t>
        </is>
      </c>
      <c r="E110" s="165" t="n"/>
    </row>
    <row r="111" ht="15" customHeight="1" s="199">
      <c r="A111" s="165" t="inlineStr">
        <is>
          <t>Credit Card Processing Fees</t>
        </is>
      </c>
      <c r="B111" s="165" t="inlineStr">
        <is>
          <t>Office, admin &amp; G&amp;A</t>
        </is>
      </c>
      <c r="C111" s="165" t="inlineStr">
        <is>
          <t>Non-Labor</t>
        </is>
      </c>
      <c r="D111" s="165" t="inlineStr">
        <is>
          <t>-</t>
        </is>
      </c>
      <c r="E111" s="165" t="n"/>
    </row>
    <row r="112" ht="15" customHeight="1" s="199">
      <c r="A112" s="165" t="inlineStr">
        <is>
          <t>Office Supplies</t>
        </is>
      </c>
      <c r="B112" s="165" t="inlineStr">
        <is>
          <t>Office, admin &amp; G&amp;A</t>
        </is>
      </c>
      <c r="C112" s="165" t="inlineStr">
        <is>
          <t>Non-Labor</t>
        </is>
      </c>
      <c r="D112" s="165" t="inlineStr">
        <is>
          <t>-</t>
        </is>
      </c>
      <c r="E112" s="165" t="n"/>
    </row>
    <row r="113" ht="15" customHeight="1" s="199">
      <c r="A113" s="165" t="inlineStr">
        <is>
          <t>Uniforms and Linen</t>
        </is>
      </c>
      <c r="B113" s="165" t="inlineStr">
        <is>
          <t>Office, admin &amp; G&amp;A</t>
        </is>
      </c>
      <c r="C113" s="165" t="inlineStr">
        <is>
          <t>Non-Labor</t>
        </is>
      </c>
      <c r="D113" s="165" t="inlineStr">
        <is>
          <t>-</t>
        </is>
      </c>
      <c r="E113" s="165" t="n"/>
    </row>
    <row r="114" ht="15" customHeight="1" s="199">
      <c r="A114" s="165" t="inlineStr">
        <is>
          <t>Printing Expense</t>
        </is>
      </c>
      <c r="B114" s="165" t="inlineStr">
        <is>
          <t>Office, admin &amp; G&amp;A</t>
        </is>
      </c>
      <c r="C114" s="165" t="inlineStr">
        <is>
          <t>Non-Labor</t>
        </is>
      </c>
      <c r="D114" s="165" t="inlineStr">
        <is>
          <t>-</t>
        </is>
      </c>
      <c r="E114" s="165" t="n"/>
    </row>
    <row r="115" ht="15" customHeight="1" s="199">
      <c r="A115" s="165" t="inlineStr">
        <is>
          <t>Bank Charges/Penalties</t>
        </is>
      </c>
      <c r="B115" s="165" t="inlineStr">
        <is>
          <t>Office, admin &amp; G&amp;A</t>
        </is>
      </c>
      <c r="C115" s="165" t="inlineStr">
        <is>
          <t>Non-Labor</t>
        </is>
      </c>
      <c r="D115" s="165" t="inlineStr">
        <is>
          <t>-</t>
        </is>
      </c>
      <c r="E115" s="165" t="n"/>
    </row>
    <row r="116" ht="15" customHeight="1" s="199">
      <c r="A116" s="165" t="inlineStr">
        <is>
          <t>Pre-Employment Expense</t>
        </is>
      </c>
      <c r="B116" s="165" t="inlineStr">
        <is>
          <t>Office, admin &amp; G&amp;A</t>
        </is>
      </c>
      <c r="C116" s="165" t="inlineStr">
        <is>
          <t>Non-Labor</t>
        </is>
      </c>
      <c r="D116" s="165" t="inlineStr">
        <is>
          <t>-</t>
        </is>
      </c>
      <c r="E116" s="165" t="n"/>
    </row>
    <row r="117" ht="15" customHeight="1" s="199">
      <c r="A117" s="165" t="inlineStr">
        <is>
          <t>Reimbursable Supplies</t>
        </is>
      </c>
      <c r="B117" s="165" t="inlineStr">
        <is>
          <t>Other / miscellaneous</t>
        </is>
      </c>
      <c r="C117" s="165" t="inlineStr">
        <is>
          <t>Non-Labor</t>
        </is>
      </c>
      <c r="D117" s="165" t="inlineStr">
        <is>
          <t>-</t>
        </is>
      </c>
      <c r="E117" s="165" t="n"/>
    </row>
    <row r="118" ht="15" customHeight="1" s="199">
      <c r="A118" s="165" t="inlineStr">
        <is>
          <t>Building (Bird/Fish) Supplies</t>
        </is>
      </c>
      <c r="B118" s="165" t="inlineStr">
        <is>
          <t>Other / miscellaneous</t>
        </is>
      </c>
      <c r="C118" s="165" t="inlineStr">
        <is>
          <t>Non-Labor</t>
        </is>
      </c>
      <c r="D118" s="165" t="inlineStr">
        <is>
          <t>-</t>
        </is>
      </c>
      <c r="E118" s="165" t="n"/>
    </row>
    <row r="119" ht="15" customHeight="1" s="199">
      <c r="A119" s="165" t="inlineStr">
        <is>
          <t>Evacuation Expense</t>
        </is>
      </c>
      <c r="B119" s="165" t="inlineStr">
        <is>
          <t>Other / miscellaneous</t>
        </is>
      </c>
      <c r="C119" s="165" t="inlineStr">
        <is>
          <t>Non-Labor</t>
        </is>
      </c>
      <c r="D119" s="165" t="inlineStr">
        <is>
          <t>-</t>
        </is>
      </c>
      <c r="E119" s="165" t="n"/>
    </row>
    <row r="120" ht="15" customHeight="1" s="199">
      <c r="A120" s="165" t="inlineStr">
        <is>
          <t>Personal purchases for Residen</t>
        </is>
      </c>
      <c r="B120" s="165" t="inlineStr">
        <is>
          <t>Other / miscellaneous</t>
        </is>
      </c>
      <c r="C120" s="165" t="inlineStr">
        <is>
          <t>Non-Labor</t>
        </is>
      </c>
      <c r="D120" s="165" t="inlineStr">
        <is>
          <t>-</t>
        </is>
      </c>
      <c r="E120" s="165" t="n"/>
    </row>
    <row r="121" ht="15" customHeight="1" s="199">
      <c r="A121" s="165" t="inlineStr">
        <is>
          <t>Resident Gifts/Benefits</t>
        </is>
      </c>
      <c r="B121" s="165" t="inlineStr">
        <is>
          <t>Other / miscellaneous</t>
        </is>
      </c>
      <c r="C121" s="165" t="inlineStr">
        <is>
          <t>Non-Labor</t>
        </is>
      </c>
      <c r="D121" s="165" t="inlineStr">
        <is>
          <t>-</t>
        </is>
      </c>
      <c r="E121" s="165" t="n"/>
    </row>
    <row r="122" ht="15" customHeight="1" s="199">
      <c r="A122" s="165" t="inlineStr">
        <is>
          <t>Management Fees</t>
        </is>
      </c>
      <c r="B122" s="165" t="inlineStr">
        <is>
          <t>Management fee</t>
        </is>
      </c>
      <c r="C122" s="165" t="inlineStr">
        <is>
          <t>Non-Labor</t>
        </is>
      </c>
      <c r="D122" s="165" t="inlineStr">
        <is>
          <t>-</t>
        </is>
      </c>
      <c r="E122" s="165" t="n"/>
    </row>
    <row r="123" ht="15" customHeight="1" s="199">
      <c r="A123" s="165" t="inlineStr">
        <is>
          <t>Management Fee</t>
        </is>
      </c>
      <c r="B123" s="165" t="inlineStr">
        <is>
          <t>Management fee</t>
        </is>
      </c>
      <c r="C123" s="165" t="inlineStr">
        <is>
          <t>Non-Labor</t>
        </is>
      </c>
      <c r="D123" s="165" t="inlineStr">
        <is>
          <t>-</t>
        </is>
      </c>
      <c r="E123" s="165" t="n"/>
    </row>
    <row r="124" ht="15" customHeight="1" s="199">
      <c r="A124" s="165" t="inlineStr">
        <is>
          <t>Depreciation Expense</t>
        </is>
      </c>
      <c r="B124" s="165" t="inlineStr">
        <is>
          <t>Depreciation — EXCLUDED</t>
        </is>
      </c>
      <c r="C124" s="165" t="inlineStr">
        <is>
          <t>Excluded</t>
        </is>
      </c>
      <c r="D124" s="165" t="inlineStr">
        <is>
          <t>-</t>
        </is>
      </c>
      <c r="E124" s="165" t="n"/>
    </row>
    <row r="125" ht="15" customHeight="1" s="199">
      <c r="A125" t="inlineStr">
        <is>
          <t>Auto Expenses</t>
        </is>
      </c>
      <c r="B125" t="inlineStr">
        <is>
          <t>Auto Expense</t>
        </is>
      </c>
      <c r="C125" t="inlineStr">
        <is>
          <t>Non-Labor</t>
        </is>
      </c>
    </row>
    <row r="126" ht="15" customHeight="1" s="199">
      <c r="A126" s="165" t="inlineStr">
        <is>
          <t>Second Occupant Fee</t>
        </is>
      </c>
      <c r="B126" s="165" t="inlineStr">
        <is>
          <t>Base rent — IL</t>
        </is>
      </c>
      <c r="C126" s="165" t="inlineStr">
        <is>
          <t>Revenue</t>
        </is>
      </c>
      <c r="D126" s="165" t="inlineStr">
        <is>
          <t>IL</t>
        </is>
      </c>
      <c r="E126" s="165" t="n"/>
    </row>
    <row r="127" ht="15" customHeight="1" s="199">
      <c r="A127" s="165" t="inlineStr">
        <is>
          <t>Second Person Fee</t>
        </is>
      </c>
      <c r="B127" s="165" t="inlineStr">
        <is>
          <t>Base rent — IL</t>
        </is>
      </c>
      <c r="C127" s="165" t="inlineStr">
        <is>
          <t>Revenue</t>
        </is>
      </c>
      <c r="D127" s="165" t="inlineStr">
        <is>
          <t>IL</t>
        </is>
      </c>
      <c r="E127" s="165" t="n"/>
    </row>
    <row r="128" ht="15" customHeight="1" s="199">
      <c r="A128" s="165" t="inlineStr">
        <is>
          <t>Second Resident Fee</t>
        </is>
      </c>
      <c r="B128" s="165" t="inlineStr">
        <is>
          <t>Base rent — IL</t>
        </is>
      </c>
      <c r="C128" s="165" t="inlineStr">
        <is>
          <t>Revenue</t>
        </is>
      </c>
      <c r="D128" s="165" t="inlineStr">
        <is>
          <t>IL</t>
        </is>
      </c>
      <c r="E128" s="165" t="n"/>
    </row>
    <row r="129" ht="15" customHeight="1" s="199">
      <c r="A129" s="165" t="inlineStr">
        <is>
          <t>Independent Living Fees</t>
        </is>
      </c>
      <c r="B129" s="165" t="inlineStr">
        <is>
          <t>Base rent — IL</t>
        </is>
      </c>
      <c r="C129" s="165" t="inlineStr">
        <is>
          <t>Revenue</t>
        </is>
      </c>
      <c r="D129" s="165" t="inlineStr">
        <is>
          <t>IL</t>
        </is>
      </c>
      <c r="E129" s="165" t="n"/>
    </row>
    <row r="130" ht="15" customHeight="1" s="199">
      <c r="A130" s="165" t="inlineStr">
        <is>
          <t>Monthly Service Fee</t>
        </is>
      </c>
      <c r="B130" s="165" t="inlineStr">
        <is>
          <t>Base rent — IL</t>
        </is>
      </c>
      <c r="C130" s="165" t="inlineStr">
        <is>
          <t>Revenue</t>
        </is>
      </c>
      <c r="D130" s="165" t="inlineStr">
        <is>
          <t>IL</t>
        </is>
      </c>
      <c r="E130" s="165" t="n"/>
    </row>
    <row r="131" ht="15" customHeight="1" s="199">
      <c r="A131" s="165" t="inlineStr">
        <is>
          <t>Memory Care Program Fee</t>
        </is>
      </c>
      <c r="B131" s="165" t="inlineStr">
        <is>
          <t>Base rent — MC</t>
        </is>
      </c>
      <c r="C131" s="165" t="inlineStr">
        <is>
          <t>Revenue</t>
        </is>
      </c>
      <c r="D131" s="165" t="inlineStr">
        <is>
          <t>MC</t>
        </is>
      </c>
      <c r="E131" s="165" t="n"/>
    </row>
    <row r="132" ht="15" customHeight="1" s="199">
      <c r="A132" s="165" t="inlineStr">
        <is>
          <t>Secured Unit Fee</t>
        </is>
      </c>
      <c r="B132" s="165" t="inlineStr">
        <is>
          <t>Base rent — MC</t>
        </is>
      </c>
      <c r="C132" s="165" t="inlineStr">
        <is>
          <t>Revenue</t>
        </is>
      </c>
      <c r="D132" s="165" t="inlineStr">
        <is>
          <t>MC</t>
        </is>
      </c>
      <c r="E132" s="165" t="n"/>
    </row>
    <row r="133" ht="15" customHeight="1" s="199">
      <c r="A133" s="165" t="inlineStr">
        <is>
          <t>Dementia Care Fee</t>
        </is>
      </c>
      <c r="B133" s="165" t="inlineStr">
        <is>
          <t>Base rent — MC</t>
        </is>
      </c>
      <c r="C133" s="165" t="inlineStr">
        <is>
          <t>Revenue</t>
        </is>
      </c>
      <c r="D133" s="165" t="inlineStr">
        <is>
          <t>MC</t>
        </is>
      </c>
      <c r="E133" s="165" t="n"/>
    </row>
    <row r="134" ht="15" customHeight="1" s="199">
      <c r="A134" s="165" t="inlineStr">
        <is>
          <t>Memory Care Base</t>
        </is>
      </c>
      <c r="B134" s="165" t="inlineStr">
        <is>
          <t>Base rent — MC</t>
        </is>
      </c>
      <c r="C134" s="165" t="inlineStr">
        <is>
          <t>Revenue</t>
        </is>
      </c>
      <c r="D134" s="165" t="inlineStr">
        <is>
          <t>MC</t>
        </is>
      </c>
      <c r="E134" s="165" t="n"/>
    </row>
    <row r="135" ht="15" customHeight="1" s="199">
      <c r="A135" s="165" t="inlineStr">
        <is>
          <t>Therapy Revenue</t>
        </is>
      </c>
      <c r="B135" s="165" t="inlineStr">
        <is>
          <t>Other community revenue</t>
        </is>
      </c>
      <c r="C135" s="165" t="inlineStr">
        <is>
          <t>Revenue</t>
        </is>
      </c>
      <c r="D135" s="165" t="inlineStr">
        <is>
          <t>-</t>
        </is>
      </c>
      <c r="E135" s="165" t="n"/>
    </row>
    <row r="136" ht="15" customHeight="1" s="199">
      <c r="A136" s="165" t="inlineStr">
        <is>
          <t>PT/OT Revenue</t>
        </is>
      </c>
      <c r="B136" s="165" t="inlineStr">
        <is>
          <t>Other community revenue</t>
        </is>
      </c>
      <c r="C136" s="165" t="inlineStr">
        <is>
          <t>Revenue</t>
        </is>
      </c>
      <c r="D136" s="165" t="inlineStr">
        <is>
          <t>-</t>
        </is>
      </c>
      <c r="E136" s="165" t="n"/>
    </row>
    <row r="137" ht="15" customHeight="1" s="199">
      <c r="A137" s="165" t="inlineStr">
        <is>
          <t>Physical Therapy Revenue</t>
        </is>
      </c>
      <c r="B137" s="165" t="inlineStr">
        <is>
          <t>Other community revenue</t>
        </is>
      </c>
      <c r="C137" s="165" t="inlineStr">
        <is>
          <t>Revenue</t>
        </is>
      </c>
      <c r="D137" s="165" t="inlineStr">
        <is>
          <t>-</t>
        </is>
      </c>
      <c r="E137" s="165" t="n"/>
    </row>
    <row r="138" ht="15" customHeight="1" s="199">
      <c r="A138" s="165" t="inlineStr">
        <is>
          <t>Transportation Revenue</t>
        </is>
      </c>
      <c r="B138" s="165" t="inlineStr">
        <is>
          <t>Other community revenue</t>
        </is>
      </c>
      <c r="C138" s="165" t="inlineStr">
        <is>
          <t>Revenue</t>
        </is>
      </c>
      <c r="D138" s="165" t="inlineStr">
        <is>
          <t>-</t>
        </is>
      </c>
      <c r="E138" s="165" t="n"/>
    </row>
    <row r="139" ht="15" customHeight="1" s="199">
      <c r="A139" s="165" t="inlineStr">
        <is>
          <t>Transportation Income</t>
        </is>
      </c>
      <c r="B139" s="165" t="inlineStr">
        <is>
          <t>Other community revenue</t>
        </is>
      </c>
      <c r="C139" s="165" t="inlineStr">
        <is>
          <t>Revenue</t>
        </is>
      </c>
      <c r="D139" s="165" t="inlineStr">
        <is>
          <t>-</t>
        </is>
      </c>
      <c r="E139" s="165" t="n"/>
    </row>
    <row r="140" ht="15" customHeight="1" s="199">
      <c r="A140" s="165" t="inlineStr">
        <is>
          <t>Cable TV Income</t>
        </is>
      </c>
      <c r="B140" s="165" t="inlineStr">
        <is>
          <t>Other community revenue</t>
        </is>
      </c>
      <c r="C140" s="165" t="inlineStr">
        <is>
          <t>Revenue</t>
        </is>
      </c>
      <c r="D140" s="165" t="inlineStr">
        <is>
          <t>-</t>
        </is>
      </c>
      <c r="E140" s="165" t="n"/>
    </row>
    <row r="141" ht="15" customHeight="1" s="199">
      <c r="A141" s="165" t="inlineStr">
        <is>
          <t>Television Income</t>
        </is>
      </c>
      <c r="B141" s="165" t="inlineStr">
        <is>
          <t>Other community revenue</t>
        </is>
      </c>
      <c r="C141" s="165" t="inlineStr">
        <is>
          <t>Revenue</t>
        </is>
      </c>
      <c r="D141" s="165" t="inlineStr">
        <is>
          <t>-</t>
        </is>
      </c>
      <c r="E141" s="165" t="n"/>
    </row>
    <row r="142" ht="15" customHeight="1" s="199">
      <c r="A142" s="165" t="inlineStr">
        <is>
          <t>Late Fee Income</t>
        </is>
      </c>
      <c r="B142" s="165" t="inlineStr">
        <is>
          <t>Other community revenue</t>
        </is>
      </c>
      <c r="C142" s="165" t="inlineStr">
        <is>
          <t>Revenue</t>
        </is>
      </c>
      <c r="D142" s="165" t="inlineStr">
        <is>
          <t>-</t>
        </is>
      </c>
      <c r="E142" s="165" t="n"/>
    </row>
    <row r="143" ht="15" customHeight="1" s="199">
      <c r="A143" s="165" t="inlineStr">
        <is>
          <t>Late Charges</t>
        </is>
      </c>
      <c r="B143" s="165" t="inlineStr">
        <is>
          <t>Other community revenue</t>
        </is>
      </c>
      <c r="C143" s="165" t="inlineStr">
        <is>
          <t>Revenue</t>
        </is>
      </c>
      <c r="D143" s="165" t="inlineStr">
        <is>
          <t>-</t>
        </is>
      </c>
      <c r="E143" s="165" t="n"/>
    </row>
    <row r="144" ht="15" customHeight="1" s="199">
      <c r="A144" s="165" t="inlineStr">
        <is>
          <t>Beauty / Salon Revenue</t>
        </is>
      </c>
      <c r="B144" s="165" t="inlineStr">
        <is>
          <t>Other community revenue</t>
        </is>
      </c>
      <c r="C144" s="165" t="inlineStr">
        <is>
          <t>Revenue</t>
        </is>
      </c>
      <c r="D144" s="165" t="inlineStr">
        <is>
          <t>-</t>
        </is>
      </c>
      <c r="E144" s="165" t="n"/>
    </row>
    <row r="145" ht="15" customHeight="1" s="199">
      <c r="A145" s="165" t="inlineStr">
        <is>
          <t>Salon Income</t>
        </is>
      </c>
      <c r="B145" s="165" t="inlineStr">
        <is>
          <t>Other community revenue</t>
        </is>
      </c>
      <c r="C145" s="165" t="inlineStr">
        <is>
          <t>Revenue</t>
        </is>
      </c>
      <c r="D145" s="165" t="inlineStr">
        <is>
          <t>-</t>
        </is>
      </c>
      <c r="E145" s="165" t="n"/>
    </row>
    <row r="146" ht="15" customHeight="1" s="199">
      <c r="A146" s="165" t="inlineStr">
        <is>
          <t>Guest Room Revenue</t>
        </is>
      </c>
      <c r="B146" s="165" t="inlineStr">
        <is>
          <t>Other community revenue</t>
        </is>
      </c>
      <c r="C146" s="165" t="inlineStr">
        <is>
          <t>Revenue</t>
        </is>
      </c>
      <c r="D146" s="165" t="inlineStr">
        <is>
          <t>-</t>
        </is>
      </c>
      <c r="E146" s="165" t="n"/>
    </row>
    <row r="147" ht="15" customHeight="1" s="199">
      <c r="A147" s="165" t="inlineStr">
        <is>
          <t>Guest Suite Revenue</t>
        </is>
      </c>
      <c r="B147" s="165" t="inlineStr">
        <is>
          <t>Other community revenue</t>
        </is>
      </c>
      <c r="C147" s="165" t="inlineStr">
        <is>
          <t>Revenue</t>
        </is>
      </c>
      <c r="D147" s="165" t="inlineStr">
        <is>
          <t>-</t>
        </is>
      </c>
      <c r="E147" s="165" t="n"/>
    </row>
    <row r="148" ht="15" customHeight="1" s="199">
      <c r="A148" s="165" t="inlineStr">
        <is>
          <t>Unemployment Insurance</t>
        </is>
      </c>
      <c r="B148" s="165" t="inlineStr">
        <is>
          <t>Payroll taxes</t>
        </is>
      </c>
      <c r="C148" s="165" t="inlineStr">
        <is>
          <t>Labor</t>
        </is>
      </c>
      <c r="D148" s="165" t="inlineStr">
        <is>
          <t>-</t>
        </is>
      </c>
      <c r="E148" s="165" t="n"/>
    </row>
    <row r="149" ht="15" customHeight="1" s="199">
      <c r="A149" s="165" t="inlineStr">
        <is>
          <t>Unemployment Tax</t>
        </is>
      </c>
      <c r="B149" s="165" t="inlineStr">
        <is>
          <t>Payroll taxes</t>
        </is>
      </c>
      <c r="C149" s="165" t="inlineStr">
        <is>
          <t>Labor</t>
        </is>
      </c>
      <c r="D149" s="165" t="inlineStr">
        <is>
          <t>-</t>
        </is>
      </c>
      <c r="E149" s="165" t="n"/>
    </row>
    <row r="150" ht="15" customHeight="1" s="199">
      <c r="A150" s="165" t="inlineStr">
        <is>
          <t>FUTA</t>
        </is>
      </c>
      <c r="B150" s="165" t="inlineStr">
        <is>
          <t>Payroll taxes</t>
        </is>
      </c>
      <c r="C150" s="165" t="inlineStr">
        <is>
          <t>Labor</t>
        </is>
      </c>
      <c r="D150" s="165" t="inlineStr">
        <is>
          <t>-</t>
        </is>
      </c>
      <c r="E150" s="165" t="n"/>
    </row>
    <row r="151" ht="15" customHeight="1" s="199">
      <c r="A151" s="165" t="inlineStr">
        <is>
          <t>SUTA</t>
        </is>
      </c>
      <c r="B151" s="165" t="inlineStr">
        <is>
          <t>Payroll taxes</t>
        </is>
      </c>
      <c r="C151" s="165" t="inlineStr">
        <is>
          <t>Labor</t>
        </is>
      </c>
      <c r="D151" s="165" t="inlineStr">
        <is>
          <t>-</t>
        </is>
      </c>
      <c r="E151" s="165" t="n"/>
    </row>
    <row r="152" ht="15" customHeight="1" s="199">
      <c r="A152" s="165" t="inlineStr">
        <is>
          <t>Vehicle Expenses</t>
        </is>
      </c>
      <c r="B152" s="165" t="inlineStr">
        <is>
          <t>Office, admin &amp; G&amp;A</t>
        </is>
      </c>
      <c r="C152" s="165" t="inlineStr">
        <is>
          <t>Non-Labor</t>
        </is>
      </c>
      <c r="D152" s="165" t="inlineStr">
        <is>
          <t>-</t>
        </is>
      </c>
      <c r="E152" s="165" t="n"/>
    </row>
    <row r="153" ht="15" customHeight="1" s="199">
      <c r="A153" s="165" t="inlineStr">
        <is>
          <t>Staff Recognition</t>
        </is>
      </c>
      <c r="B153" s="165" t="inlineStr">
        <is>
          <t>Office, admin &amp; G&amp;A</t>
        </is>
      </c>
      <c r="C153" s="165" t="inlineStr">
        <is>
          <t>Non-Labor</t>
        </is>
      </c>
      <c r="D153" s="165" t="inlineStr">
        <is>
          <t>-</t>
        </is>
      </c>
      <c r="E153" s="165" t="n"/>
    </row>
    <row r="154" ht="15" customHeight="1" s="199">
      <c r="A154" s="165" t="inlineStr">
        <is>
          <t>Employee Appreciation</t>
        </is>
      </c>
      <c r="B154" s="165" t="inlineStr">
        <is>
          <t>Office, admin &amp; G&amp;A</t>
        </is>
      </c>
      <c r="C154" s="165" t="inlineStr">
        <is>
          <t>Non-Labor</t>
        </is>
      </c>
      <c r="D154" s="165" t="inlineStr">
        <is>
          <t>-</t>
        </is>
      </c>
      <c r="E154" s="165" t="n"/>
    </row>
    <row r="155" ht="15" customHeight="1" s="199">
      <c r="A155" s="165" t="inlineStr">
        <is>
          <t>Technology</t>
        </is>
      </c>
      <c r="B155" s="165" t="inlineStr">
        <is>
          <t>Telephone / IT</t>
        </is>
      </c>
      <c r="C155" s="165" t="inlineStr">
        <is>
          <t>Non-Labor</t>
        </is>
      </c>
      <c r="D155" s="165" t="inlineStr">
        <is>
          <t>-</t>
        </is>
      </c>
      <c r="E155" s="165" t="n"/>
    </row>
    <row r="156" ht="15" customHeight="1" s="199">
      <c r="A156" s="165" t="inlineStr">
        <is>
          <t>EHR Software</t>
        </is>
      </c>
      <c r="B156" s="165" t="inlineStr">
        <is>
          <t>Telephone / IT</t>
        </is>
      </c>
      <c r="C156" s="165" t="inlineStr">
        <is>
          <t>Non-Labor</t>
        </is>
      </c>
      <c r="D156" s="165" t="inlineStr">
        <is>
          <t>-</t>
        </is>
      </c>
      <c r="E156" s="165" t="n"/>
    </row>
    <row r="157" ht="15" customHeight="1" s="199">
      <c r="A157" s="165" t="inlineStr">
        <is>
          <t>EMR Software</t>
        </is>
      </c>
      <c r="B157" s="165" t="inlineStr">
        <is>
          <t>Telephone / IT</t>
        </is>
      </c>
      <c r="C157" s="165" t="inlineStr">
        <is>
          <t>Non-Labor</t>
        </is>
      </c>
      <c r="D157" s="165" t="inlineStr">
        <is>
          <t>-</t>
        </is>
      </c>
      <c r="E157" s="165" t="n"/>
    </row>
    <row r="158" ht="15" customHeight="1" s="199">
      <c r="A158" s="165" t="inlineStr">
        <is>
          <t>Software Subscriptions</t>
        </is>
      </c>
      <c r="B158" s="165" t="inlineStr">
        <is>
          <t>Telephone / IT</t>
        </is>
      </c>
      <c r="C158" s="165" t="inlineStr">
        <is>
          <t>Non-Labor</t>
        </is>
      </c>
      <c r="D158" s="165" t="inlineStr">
        <is>
          <t>-</t>
        </is>
      </c>
      <c r="E158" s="165" t="n"/>
    </row>
    <row r="159" ht="15" customHeight="1" s="199">
      <c r="A159" s="165" t="inlineStr">
        <is>
          <t>Internet</t>
        </is>
      </c>
      <c r="B159" s="165" t="inlineStr">
        <is>
          <t>Telephone / IT</t>
        </is>
      </c>
      <c r="C159" s="165" t="inlineStr">
        <is>
          <t>Non-Labor</t>
        </is>
      </c>
      <c r="D159" s="165" t="inlineStr">
        <is>
          <t>-</t>
        </is>
      </c>
      <c r="E159" s="165" t="n"/>
    </row>
    <row r="160" ht="15" customHeight="1" s="199">
      <c r="A160" s="165" t="inlineStr">
        <is>
          <t>WiFi</t>
        </is>
      </c>
      <c r="B160" s="165" t="inlineStr">
        <is>
          <t>Telephone / IT</t>
        </is>
      </c>
      <c r="C160" s="165" t="inlineStr">
        <is>
          <t>Non-Labor</t>
        </is>
      </c>
      <c r="D160" s="165" t="inlineStr">
        <is>
          <t>-</t>
        </is>
      </c>
      <c r="E160" s="165" t="n"/>
    </row>
    <row r="161" ht="15" customHeight="1" s="199">
      <c r="A161" s="165" t="inlineStr">
        <is>
          <t>Dietary Consultant</t>
        </is>
      </c>
      <c r="B161" s="165" t="inlineStr">
        <is>
          <t>Professional services</t>
        </is>
      </c>
      <c r="C161" s="165" t="inlineStr">
        <is>
          <t>Non-Labor</t>
        </is>
      </c>
      <c r="D161" s="165" t="inlineStr">
        <is>
          <t>-</t>
        </is>
      </c>
      <c r="E161" s="165" t="n"/>
    </row>
    <row r="162" ht="15" customHeight="1" s="199">
      <c r="A162" s="165" t="inlineStr">
        <is>
          <t>Nutrition Consultant</t>
        </is>
      </c>
      <c r="B162" s="165" t="inlineStr">
        <is>
          <t>Professional services</t>
        </is>
      </c>
      <c r="C162" s="165" t="inlineStr">
        <is>
          <t>Non-Labor</t>
        </is>
      </c>
      <c r="D162" s="165" t="inlineStr">
        <is>
          <t>-</t>
        </is>
      </c>
      <c r="E162" s="165" t="n"/>
    </row>
    <row r="163" ht="15" customHeight="1" s="199">
      <c r="A163" s="165" t="inlineStr">
        <is>
          <t>Grounds Maintenance</t>
        </is>
      </c>
      <c r="B163" s="165" t="inlineStr">
        <is>
          <t>R&amp;M variable</t>
        </is>
      </c>
      <c r="C163" s="165" t="inlineStr">
        <is>
          <t>Non-Labor</t>
        </is>
      </c>
      <c r="D163" s="165" t="inlineStr">
        <is>
          <t>-</t>
        </is>
      </c>
      <c r="E163" s="165" t="n"/>
    </row>
    <row r="164" ht="15" customHeight="1" s="199">
      <c r="A164" s="165" t="inlineStr">
        <is>
          <t>Landscaping</t>
        </is>
      </c>
      <c r="B164" s="165" t="inlineStr">
        <is>
          <t>R&amp;M variable</t>
        </is>
      </c>
      <c r="C164" s="165" t="inlineStr">
        <is>
          <t>Non-Labor</t>
        </is>
      </c>
      <c r="D164" s="165" t="inlineStr">
        <is>
          <t>-</t>
        </is>
      </c>
      <c r="E164" s="165" t="n"/>
    </row>
    <row r="165" ht="15" customHeight="1" s="199">
      <c r="A165" s="165" t="inlineStr">
        <is>
          <t>Grounds</t>
        </is>
      </c>
      <c r="B165" s="165" t="inlineStr">
        <is>
          <t>R&amp;M variable</t>
        </is>
      </c>
      <c r="C165" s="165" t="inlineStr">
        <is>
          <t>Non-Labor</t>
        </is>
      </c>
      <c r="D165" s="165" t="inlineStr">
        <is>
          <t>-</t>
        </is>
      </c>
      <c r="E165" s="165" t="n"/>
    </row>
    <row r="166" ht="15" customHeight="1" s="199">
      <c r="A166" s="165" t="inlineStr">
        <is>
          <t>Lawn Care</t>
        </is>
      </c>
      <c r="B166" s="165" t="inlineStr">
        <is>
          <t>R&amp;M variable</t>
        </is>
      </c>
      <c r="C166" s="165" t="inlineStr">
        <is>
          <t>Non-Labor</t>
        </is>
      </c>
      <c r="D166" s="165" t="inlineStr">
        <is>
          <t>-</t>
        </is>
      </c>
      <c r="E166" s="165" t="n"/>
    </row>
    <row r="167" ht="15" customHeight="1" s="199">
      <c r="A167" s="165" t="inlineStr">
        <is>
          <t>Snow Removal</t>
        </is>
      </c>
      <c r="B167" s="165" t="inlineStr">
        <is>
          <t>R&amp;M variable</t>
        </is>
      </c>
      <c r="C167" s="165" t="inlineStr">
        <is>
          <t>Non-Labor</t>
        </is>
      </c>
      <c r="D167" s="165" t="inlineStr">
        <is>
          <t>-</t>
        </is>
      </c>
      <c r="E167" s="165" t="n"/>
    </row>
    <row r="168" ht="15" customHeight="1" s="199">
      <c r="A168" s="165" t="inlineStr">
        <is>
          <t>Elevator Maintenance</t>
        </is>
      </c>
      <c r="B168" s="165" t="inlineStr">
        <is>
          <t>R&amp;M fixed</t>
        </is>
      </c>
      <c r="C168" s="165" t="inlineStr">
        <is>
          <t>Non-Labor</t>
        </is>
      </c>
      <c r="D168" s="165" t="inlineStr">
        <is>
          <t>-</t>
        </is>
      </c>
      <c r="E168" s="165" t="n"/>
    </row>
    <row r="169" ht="15" customHeight="1" s="199">
      <c r="A169" s="165" t="inlineStr">
        <is>
          <t>HVAC Maintenance</t>
        </is>
      </c>
      <c r="B169" s="165" t="inlineStr">
        <is>
          <t>R&amp;M fixed</t>
        </is>
      </c>
      <c r="C169" s="165" t="inlineStr">
        <is>
          <t>Non-Labor</t>
        </is>
      </c>
      <c r="D169" s="165" t="inlineStr">
        <is>
          <t>-</t>
        </is>
      </c>
      <c r="E169" s="165" t="n"/>
    </row>
    <row r="170" ht="15" customHeight="1" s="199">
      <c r="A170" s="165" t="inlineStr">
        <is>
          <t>HVAC Service</t>
        </is>
      </c>
      <c r="B170" s="165" t="inlineStr">
        <is>
          <t>R&amp;M fixed</t>
        </is>
      </c>
      <c r="C170" s="165" t="inlineStr">
        <is>
          <t>Non-Labor</t>
        </is>
      </c>
      <c r="D170" s="165" t="inlineStr">
        <is>
          <t>-</t>
        </is>
      </c>
      <c r="E170" s="165" t="n"/>
    </row>
    <row r="171" ht="15" customHeight="1" s="199">
      <c r="A171" s="165" t="inlineStr">
        <is>
          <t>HVAC Service Contract</t>
        </is>
      </c>
      <c r="B171" s="165" t="inlineStr">
        <is>
          <t>R&amp;M fixed</t>
        </is>
      </c>
      <c r="C171" s="165" t="inlineStr">
        <is>
          <t>Non-Labor</t>
        </is>
      </c>
      <c r="D171" s="165" t="inlineStr">
        <is>
          <t>-</t>
        </is>
      </c>
      <c r="E171" s="165" t="n"/>
    </row>
    <row r="172" ht="15" customHeight="1" s="199">
      <c r="A172" s="165" t="inlineStr">
        <is>
          <t>Generator Maintenance</t>
        </is>
      </c>
      <c r="B172" s="165" t="inlineStr">
        <is>
          <t>R&amp;M fixed</t>
        </is>
      </c>
      <c r="C172" s="165" t="inlineStr">
        <is>
          <t>Non-Labor</t>
        </is>
      </c>
      <c r="D172" s="165" t="inlineStr">
        <is>
          <t>-</t>
        </is>
      </c>
      <c r="E172" s="165" t="n"/>
    </row>
    <row r="173" ht="15" customHeight="1" s="199">
      <c r="A173" s="165" t="inlineStr">
        <is>
          <t>Emergency Generator</t>
        </is>
      </c>
      <c r="B173" s="165" t="inlineStr">
        <is>
          <t>R&amp;M fixed</t>
        </is>
      </c>
      <c r="C173" s="165" t="inlineStr">
        <is>
          <t>Non-Labor</t>
        </is>
      </c>
      <c r="D173" s="165" t="inlineStr">
        <is>
          <t>-</t>
        </is>
      </c>
      <c r="E173" s="165" t="n"/>
    </row>
    <row r="174" ht="15" customHeight="1" s="199">
      <c r="A174" s="165" t="inlineStr">
        <is>
          <t>Trash Service</t>
        </is>
      </c>
      <c r="B174" s="165" t="inlineStr">
        <is>
          <t>Utilities</t>
        </is>
      </c>
      <c r="C174" s="165" t="inlineStr">
        <is>
          <t>Non-Labor</t>
        </is>
      </c>
      <c r="D174" s="165" t="inlineStr">
        <is>
          <t>-</t>
        </is>
      </c>
      <c r="E174" s="165" t="n"/>
    </row>
    <row r="175" ht="15" customHeight="1" s="199">
      <c r="A175" s="165" t="inlineStr">
        <is>
          <t>Water and Sewer</t>
        </is>
      </c>
      <c r="B175" s="165" t="inlineStr">
        <is>
          <t>Utilities</t>
        </is>
      </c>
      <c r="C175" s="165" t="inlineStr">
        <is>
          <t>Non-Labor</t>
        </is>
      </c>
      <c r="D175" s="165" t="inlineStr">
        <is>
          <t>-</t>
        </is>
      </c>
      <c r="E175" s="165" t="n"/>
    </row>
    <row r="176" ht="15" customHeight="1" s="199">
      <c r="A176" s="165" t="inlineStr">
        <is>
          <t>Water</t>
        </is>
      </c>
      <c r="B176" s="165" t="inlineStr">
        <is>
          <t>Utilities</t>
        </is>
      </c>
      <c r="C176" s="165" t="inlineStr">
        <is>
          <t>Non-Labor</t>
        </is>
      </c>
      <c r="D176" s="165" t="inlineStr">
        <is>
          <t>-</t>
        </is>
      </c>
      <c r="E176" s="165" t="n"/>
    </row>
    <row r="177" ht="15" customHeight="1" s="199">
      <c r="A177" s="165" t="inlineStr">
        <is>
          <t>Sewer</t>
        </is>
      </c>
      <c r="B177" s="165" t="inlineStr">
        <is>
          <t>Utilities</t>
        </is>
      </c>
      <c r="C177" s="165" t="inlineStr">
        <is>
          <t>Non-Labor</t>
        </is>
      </c>
      <c r="D177" s="165" t="inlineStr">
        <is>
          <t>-</t>
        </is>
      </c>
      <c r="E177" s="165" t="n"/>
    </row>
    <row r="178" ht="15" customHeight="1" s="199">
      <c r="A178" s="165" t="inlineStr">
        <is>
          <t>Electric</t>
        </is>
      </c>
      <c r="B178" s="165" t="inlineStr">
        <is>
          <t>Utilities</t>
        </is>
      </c>
      <c r="C178" s="165" t="inlineStr">
        <is>
          <t>Non-Labor</t>
        </is>
      </c>
      <c r="D178" s="165" t="inlineStr">
        <is>
          <t>-</t>
        </is>
      </c>
      <c r="E178" s="165" t="n"/>
    </row>
    <row r="179" ht="15" customHeight="1" s="199">
      <c r="A179" s="165" t="inlineStr">
        <is>
          <t>Electricity</t>
        </is>
      </c>
      <c r="B179" s="165" t="inlineStr">
        <is>
          <t>Utilities</t>
        </is>
      </c>
      <c r="C179" s="165" t="inlineStr">
        <is>
          <t>Non-Labor</t>
        </is>
      </c>
      <c r="D179" s="165" t="inlineStr">
        <is>
          <t>-</t>
        </is>
      </c>
      <c r="E179" s="165" t="n"/>
    </row>
    <row r="180" ht="15" customHeight="1" s="199">
      <c r="A180" s="165" t="inlineStr">
        <is>
          <t>Natural Gas</t>
        </is>
      </c>
      <c r="B180" s="165" t="inlineStr">
        <is>
          <t>Utilities</t>
        </is>
      </c>
      <c r="C180" s="165" t="inlineStr">
        <is>
          <t>Non-Labor</t>
        </is>
      </c>
      <c r="D180" s="165" t="inlineStr">
        <is>
          <t>-</t>
        </is>
      </c>
      <c r="E180" s="165" t="n"/>
    </row>
    <row r="181" ht="15" customHeight="1" s="199">
      <c r="A181" s="165" t="inlineStr">
        <is>
          <t>Gas</t>
        </is>
      </c>
      <c r="B181" s="165" t="inlineStr">
        <is>
          <t>Utilities</t>
        </is>
      </c>
      <c r="C181" s="165" t="inlineStr">
        <is>
          <t>Non-Labor</t>
        </is>
      </c>
      <c r="D181" s="165" t="inlineStr">
        <is>
          <t>-</t>
        </is>
      </c>
      <c r="E181" s="165" t="n"/>
    </row>
    <row r="182" ht="15" customHeight="1" s="199">
      <c r="A182" s="165" t="inlineStr">
        <is>
          <t>Linen Service</t>
        </is>
      </c>
      <c r="B182" s="165" t="inlineStr">
        <is>
          <t>HK &amp; laundry supplies</t>
        </is>
      </c>
      <c r="C182" s="165" t="inlineStr">
        <is>
          <t>Non-Labor</t>
        </is>
      </c>
      <c r="D182" s="165" t="inlineStr">
        <is>
          <t>-</t>
        </is>
      </c>
      <c r="E182" s="165" t="n"/>
    </row>
    <row r="183" ht="15" customHeight="1" s="199">
      <c r="A183" s="165" t="inlineStr">
        <is>
          <t>Laundry Service</t>
        </is>
      </c>
      <c r="B183" s="165" t="inlineStr">
        <is>
          <t>HK &amp; laundry supplies</t>
        </is>
      </c>
      <c r="C183" s="165" t="inlineStr">
        <is>
          <t>Non-Labor</t>
        </is>
      </c>
      <c r="D183" s="165" t="inlineStr">
        <is>
          <t>-</t>
        </is>
      </c>
      <c r="E183" s="165" t="n"/>
    </row>
    <row r="184" ht="15" customHeight="1" s="199">
      <c r="A184" s="165" t="inlineStr">
        <is>
          <t>Linen Rental</t>
        </is>
      </c>
      <c r="B184" s="165" t="inlineStr">
        <is>
          <t>HK &amp; laundry supplies</t>
        </is>
      </c>
      <c r="C184" s="165" t="inlineStr">
        <is>
          <t>Non-Labor</t>
        </is>
      </c>
      <c r="D184" s="165" t="inlineStr">
        <is>
          <t>-</t>
        </is>
      </c>
      <c r="E184" s="165" t="n"/>
    </row>
    <row r="185" ht="15" customHeight="1" s="199">
      <c r="A185" s="165" t="inlineStr">
        <is>
          <t>Infection Control Supplies</t>
        </is>
      </c>
      <c r="B185" s="165" t="inlineStr">
        <is>
          <t>Nursing &amp; care supplies</t>
        </is>
      </c>
      <c r="C185" s="165" t="inlineStr">
        <is>
          <t>Non-Labor</t>
        </is>
      </c>
      <c r="D185" s="165" t="inlineStr">
        <is>
          <t>-</t>
        </is>
      </c>
      <c r="E185" s="165" t="n"/>
    </row>
    <row r="186" ht="15" customHeight="1" s="199">
      <c r="A186" s="165" t="inlineStr">
        <is>
          <t>PPE Supplies</t>
        </is>
      </c>
      <c r="B186" s="165" t="inlineStr">
        <is>
          <t>Nursing &amp; care supplies</t>
        </is>
      </c>
      <c r="C186" s="165" t="inlineStr">
        <is>
          <t>Non-Labor</t>
        </is>
      </c>
      <c r="D186" s="165" t="inlineStr">
        <is>
          <t>-</t>
        </is>
      </c>
      <c r="E186" s="165" t="n"/>
    </row>
    <row r="187" ht="15" customHeight="1" s="199">
      <c r="A187" s="165" t="inlineStr">
        <is>
          <t>Personal Protective Equipment</t>
        </is>
      </c>
      <c r="B187" s="165" t="inlineStr">
        <is>
          <t>Nursing &amp; care supplies</t>
        </is>
      </c>
      <c r="C187" s="165" t="inlineStr">
        <is>
          <t>Non-Labor</t>
        </is>
      </c>
      <c r="D187" s="165" t="inlineStr">
        <is>
          <t>-</t>
        </is>
      </c>
      <c r="E187" s="165" t="n"/>
    </row>
    <row r="188" ht="15" customHeight="1" s="199">
      <c r="A188" s="165" t="inlineStr">
        <is>
          <t>State Survey</t>
        </is>
      </c>
      <c r="B188" s="165" t="inlineStr">
        <is>
          <t>Permits, licenses &amp; dues</t>
        </is>
      </c>
      <c r="C188" s="165" t="inlineStr">
        <is>
          <t>Non-Labor</t>
        </is>
      </c>
      <c r="D188" s="165" t="inlineStr">
        <is>
          <t>-</t>
        </is>
      </c>
      <c r="E188" s="165" t="n"/>
    </row>
    <row r="189" ht="15" customHeight="1" s="199">
      <c r="A189" s="165" t="inlineStr">
        <is>
          <t>DOH Fees</t>
        </is>
      </c>
      <c r="B189" s="165" t="inlineStr">
        <is>
          <t>Permits, licenses &amp; dues</t>
        </is>
      </c>
      <c r="C189" s="165" t="inlineStr">
        <is>
          <t>Non-Labor</t>
        </is>
      </c>
      <c r="D189" s="165" t="inlineStr">
        <is>
          <t>-</t>
        </is>
      </c>
      <c r="E189" s="165" t="n"/>
    </row>
    <row r="190" ht="15" customHeight="1" s="199">
      <c r="A190" s="165" t="inlineStr">
        <is>
          <t>Inspection Fees</t>
        </is>
      </c>
      <c r="B190" s="165" t="inlineStr">
        <is>
          <t>Permits, licenses &amp; dues</t>
        </is>
      </c>
      <c r="C190" s="165" t="inlineStr">
        <is>
          <t>Non-Labor</t>
        </is>
      </c>
      <c r="D190" s="165" t="inlineStr">
        <is>
          <t>-</t>
        </is>
      </c>
      <c r="E190" s="165" t="n"/>
    </row>
    <row r="191" ht="15" customHeight="1" s="199">
      <c r="A191" s="165" t="inlineStr">
        <is>
          <t>License Renewal</t>
        </is>
      </c>
      <c r="B191" s="165" t="inlineStr">
        <is>
          <t>Permits, licenses &amp; dues</t>
        </is>
      </c>
      <c r="C191" s="165" t="inlineStr">
        <is>
          <t>Non-Labor</t>
        </is>
      </c>
      <c r="D191" s="165" t="inlineStr">
        <is>
          <t>-</t>
        </is>
      </c>
      <c r="E191" s="165" t="n"/>
    </row>
    <row r="192" ht="15" customHeight="1" s="199">
      <c r="A192" s="165" t="inlineStr">
        <is>
          <t>Lease Expense</t>
        </is>
      </c>
      <c r="B192" s="165" t="inlineStr">
        <is>
          <t>Lease / ground lease</t>
        </is>
      </c>
      <c r="C192" s="165" t="inlineStr">
        <is>
          <t>Non-Labor</t>
        </is>
      </c>
      <c r="D192" s="165" t="inlineStr">
        <is>
          <t>-</t>
        </is>
      </c>
      <c r="E192" s="165" t="n"/>
    </row>
    <row r="193" ht="15" customHeight="1" s="199">
      <c r="A193" s="165" t="inlineStr">
        <is>
          <t>Ground Lease</t>
        </is>
      </c>
      <c r="B193" s="165" t="inlineStr">
        <is>
          <t>Lease / ground lease</t>
        </is>
      </c>
      <c r="C193" s="165" t="inlineStr">
        <is>
          <t>Non-Labor</t>
        </is>
      </c>
      <c r="D193" s="165" t="inlineStr">
        <is>
          <t>-</t>
        </is>
      </c>
      <c r="E193" s="165" t="n"/>
    </row>
    <row r="194" ht="15" customHeight="1" s="199">
      <c r="A194" s="165" t="inlineStr">
        <is>
          <t>Land Lease</t>
        </is>
      </c>
      <c r="B194" s="165" t="inlineStr">
        <is>
          <t>Lease / ground lease</t>
        </is>
      </c>
      <c r="C194" s="165" t="inlineStr">
        <is>
          <t>Non-Labor</t>
        </is>
      </c>
      <c r="D194" s="165" t="inlineStr">
        <is>
          <t>-</t>
        </is>
      </c>
      <c r="E194" s="165" t="n"/>
    </row>
    <row r="195" ht="15" customHeight="1" s="199">
      <c r="A195" s="165" t="inlineStr">
        <is>
          <t>Facility Lease</t>
        </is>
      </c>
      <c r="B195" s="165" t="inlineStr">
        <is>
          <t>Lease / ground lease</t>
        </is>
      </c>
      <c r="C195" s="165" t="inlineStr">
        <is>
          <t>Non-Labor</t>
        </is>
      </c>
      <c r="D195" s="165" t="inlineStr">
        <is>
          <t>-</t>
        </is>
      </c>
      <c r="E195" s="165" t="n"/>
    </row>
    <row r="196" ht="15" customHeight="1" s="199">
      <c r="A196" s="165" t="inlineStr">
        <is>
          <t>Building Lease</t>
        </is>
      </c>
      <c r="B196" s="165" t="inlineStr">
        <is>
          <t>Lease / ground lease</t>
        </is>
      </c>
      <c r="C196" s="165" t="inlineStr">
        <is>
          <t>Non-Labor</t>
        </is>
      </c>
      <c r="D196" s="165" t="inlineStr">
        <is>
          <t>-</t>
        </is>
      </c>
      <c r="E196" s="165" t="n"/>
    </row>
    <row r="197" ht="15" customHeight="1" s="199">
      <c r="A197" s="165" t="inlineStr">
        <is>
          <t>Rent Expense</t>
        </is>
      </c>
      <c r="B197" s="165" t="inlineStr">
        <is>
          <t>Lease / ground lease</t>
        </is>
      </c>
      <c r="C197" s="165" t="inlineStr">
        <is>
          <t>Non-Labor</t>
        </is>
      </c>
      <c r="D197" s="165" t="inlineStr">
        <is>
          <t>-</t>
        </is>
      </c>
      <c r="E197" s="165" t="n"/>
    </row>
    <row r="198" ht="15" customHeight="1" s="199">
      <c r="A198" s="166" t="inlineStr">
        <is>
          <t>Gross Potential Rent</t>
        </is>
      </c>
      <c r="B198" s="166" t="inlineStr">
        <is>
          <t>Gross Rent Revenue</t>
        </is>
      </c>
      <c r="C198" s="167" t="inlineStr">
        <is>
          <t>Revenue</t>
        </is>
      </c>
      <c r="D198" s="167" t="inlineStr">
        <is>
          <t>-</t>
        </is>
      </c>
      <c r="E198" s="166" t="n"/>
    </row>
    <row r="199" ht="15" customHeight="1" s="199">
      <c r="A199" s="166" t="inlineStr">
        <is>
          <t>Gross Rent Revenue</t>
        </is>
      </c>
      <c r="B199" s="166" t="inlineStr">
        <is>
          <t>Gross Rent Revenue</t>
        </is>
      </c>
      <c r="C199" s="167" t="inlineStr">
        <is>
          <t>Revenue</t>
        </is>
      </c>
      <c r="D199" s="167" t="inlineStr">
        <is>
          <t>-</t>
        </is>
      </c>
      <c r="E199" s="166" t="n"/>
    </row>
    <row r="200" ht="15" customHeight="1" s="199">
      <c r="A200" s="166" t="inlineStr">
        <is>
          <t>Gross Rent</t>
        </is>
      </c>
      <c r="B200" s="166" t="inlineStr">
        <is>
          <t>Gross Rent Revenue</t>
        </is>
      </c>
      <c r="C200" s="167" t="inlineStr">
        <is>
          <t>Revenue</t>
        </is>
      </c>
      <c r="D200" s="167" t="inlineStr">
        <is>
          <t>-</t>
        </is>
      </c>
      <c r="E200" s="166" t="n"/>
    </row>
    <row r="201" ht="15" customHeight="1" s="199">
      <c r="A201" s="166" t="inlineStr">
        <is>
          <t>Market Rate Revenue</t>
        </is>
      </c>
      <c r="B201" s="166" t="inlineStr">
        <is>
          <t>Gross Rent Revenue</t>
        </is>
      </c>
      <c r="C201" s="167" t="inlineStr">
        <is>
          <t>Revenue</t>
        </is>
      </c>
      <c r="D201" s="167" t="inlineStr">
        <is>
          <t>-</t>
        </is>
      </c>
      <c r="E201" s="166" t="n"/>
    </row>
    <row r="202" ht="15" customHeight="1" s="199">
      <c r="A202" s="166" t="inlineStr">
        <is>
          <t>Market Rent Revenue</t>
        </is>
      </c>
      <c r="B202" s="166" t="inlineStr">
        <is>
          <t>Gross Rent Revenue</t>
        </is>
      </c>
      <c r="C202" s="167" t="inlineStr">
        <is>
          <t>Revenue</t>
        </is>
      </c>
      <c r="D202" s="167" t="inlineStr">
        <is>
          <t>-</t>
        </is>
      </c>
      <c r="E202" s="166" t="n"/>
    </row>
    <row r="203" ht="15" customHeight="1" s="199">
      <c r="A203" s="166" t="inlineStr">
        <is>
          <t>Potential Rental Income</t>
        </is>
      </c>
      <c r="B203" s="166" t="inlineStr">
        <is>
          <t>Gross Rent Revenue</t>
        </is>
      </c>
      <c r="C203" s="167" t="inlineStr">
        <is>
          <t>Revenue</t>
        </is>
      </c>
      <c r="D203" s="167" t="inlineStr">
        <is>
          <t>-</t>
        </is>
      </c>
      <c r="E203" s="166" t="n"/>
    </row>
    <row r="204" ht="15" customHeight="1" s="199">
      <c r="A204" s="166" t="inlineStr">
        <is>
          <t>Potential Rent Revenue</t>
        </is>
      </c>
      <c r="B204" s="166" t="inlineStr">
        <is>
          <t>Gross Rent Revenue</t>
        </is>
      </c>
      <c r="C204" s="167" t="inlineStr">
        <is>
          <t>Revenue</t>
        </is>
      </c>
      <c r="D204" s="167" t="inlineStr">
        <is>
          <t>-</t>
        </is>
      </c>
      <c r="E204" s="166" t="n"/>
    </row>
    <row r="205" ht="15" customHeight="1" s="199">
      <c r="A205" s="166" t="inlineStr">
        <is>
          <t>Gross Potential Revenue</t>
        </is>
      </c>
      <c r="B205" s="166" t="inlineStr">
        <is>
          <t>Gross Rent Revenue</t>
        </is>
      </c>
      <c r="C205" s="167" t="inlineStr">
        <is>
          <t>Revenue</t>
        </is>
      </c>
      <c r="D205" s="167" t="inlineStr">
        <is>
          <t>-</t>
        </is>
      </c>
      <c r="E205" s="166" t="n"/>
    </row>
    <row r="206" ht="15" customHeight="1" s="199">
      <c r="A206" s="166" t="inlineStr">
        <is>
          <t>Total Market Rent</t>
        </is>
      </c>
      <c r="B206" s="166" t="inlineStr">
        <is>
          <t>Gross Rent Revenue</t>
        </is>
      </c>
      <c r="C206" s="167" t="inlineStr">
        <is>
          <t>Revenue</t>
        </is>
      </c>
      <c r="D206" s="167" t="inlineStr">
        <is>
          <t>-</t>
        </is>
      </c>
      <c r="E206" s="166" t="n"/>
    </row>
    <row r="207" ht="15" customHeight="1" s="199">
      <c r="A207" s="166" t="inlineStr">
        <is>
          <t>Potential Rent</t>
        </is>
      </c>
      <c r="B207" s="166" t="inlineStr">
        <is>
          <t>Gross Rent Revenue</t>
        </is>
      </c>
      <c r="C207" s="167" t="inlineStr">
        <is>
          <t>Revenue</t>
        </is>
      </c>
      <c r="D207" s="167" t="inlineStr">
        <is>
          <t>-</t>
        </is>
      </c>
      <c r="E207" s="166" t="n"/>
    </row>
    <row r="208" ht="15" customHeight="1" s="199">
      <c r="A208" s="166" t="inlineStr">
        <is>
          <t>Gross Market Rent</t>
        </is>
      </c>
      <c r="B208" s="166" t="inlineStr">
        <is>
          <t>Gross Rent Revenue</t>
        </is>
      </c>
      <c r="C208" s="167" t="inlineStr">
        <is>
          <t>Revenue</t>
        </is>
      </c>
      <c r="D208" s="167" t="inlineStr">
        <is>
          <t>-</t>
        </is>
      </c>
      <c r="E208" s="166" t="n"/>
    </row>
    <row r="209" ht="15" customHeight="1" s="199">
      <c r="A209" s="166" t="inlineStr">
        <is>
          <t>GPR</t>
        </is>
      </c>
      <c r="B209" s="166" t="inlineStr">
        <is>
          <t>Gross Rent Revenue</t>
        </is>
      </c>
      <c r="C209" s="167" t="inlineStr">
        <is>
          <t>Revenue</t>
        </is>
      </c>
      <c r="D209" s="167" t="inlineStr">
        <is>
          <t>-</t>
        </is>
      </c>
      <c r="E209" s="166" t="n"/>
    </row>
    <row r="210" ht="15" customHeight="1" s="199">
      <c r="A210" s="166" t="inlineStr">
        <is>
          <t>Vacancy</t>
        </is>
      </c>
      <c r="B210" s="166" t="inlineStr">
        <is>
          <t>Physical Vacancy</t>
        </is>
      </c>
      <c r="C210" s="167" t="inlineStr">
        <is>
          <t>Revenue</t>
        </is>
      </c>
      <c r="D210" s="167" t="inlineStr">
        <is>
          <t>-</t>
        </is>
      </c>
      <c r="E210" s="166" t="n"/>
    </row>
    <row r="211" ht="15" customHeight="1" s="199">
      <c r="A211" s="166" t="inlineStr">
        <is>
          <t>Physical Vacancy</t>
        </is>
      </c>
      <c r="B211" s="166" t="inlineStr">
        <is>
          <t>Physical Vacancy</t>
        </is>
      </c>
      <c r="C211" s="167" t="inlineStr">
        <is>
          <t>Revenue</t>
        </is>
      </c>
      <c r="D211" s="167" t="inlineStr">
        <is>
          <t>-</t>
        </is>
      </c>
      <c r="E211" s="166" t="n"/>
    </row>
    <row r="212" ht="15" customHeight="1" s="199">
      <c r="A212" s="166" t="inlineStr">
        <is>
          <t>Physical Vacancy Loss</t>
        </is>
      </c>
      <c r="B212" s="166" t="inlineStr">
        <is>
          <t>Physical Vacancy</t>
        </is>
      </c>
      <c r="C212" s="167" t="inlineStr">
        <is>
          <t>Revenue</t>
        </is>
      </c>
      <c r="D212" s="167" t="inlineStr">
        <is>
          <t>-</t>
        </is>
      </c>
      <c r="E212" s="166" t="n"/>
    </row>
    <row r="213" ht="15" customHeight="1" s="199">
      <c r="A213" s="166" t="inlineStr">
        <is>
          <t>Vacancy Loss</t>
        </is>
      </c>
      <c r="B213" s="166" t="inlineStr">
        <is>
          <t>Physical Vacancy</t>
        </is>
      </c>
      <c r="C213" s="167" t="inlineStr">
        <is>
          <t>Revenue</t>
        </is>
      </c>
      <c r="D213" s="167" t="inlineStr">
        <is>
          <t>-</t>
        </is>
      </c>
      <c r="E213" s="166" t="n"/>
    </row>
    <row r="214" ht="15" customHeight="1" s="199">
      <c r="A214" s="166" t="inlineStr">
        <is>
          <t>Rent Loss - Vacancy</t>
        </is>
      </c>
      <c r="B214" s="166" t="inlineStr">
        <is>
          <t>Physical Vacancy</t>
        </is>
      </c>
      <c r="C214" s="167" t="inlineStr">
        <is>
          <t>Revenue</t>
        </is>
      </c>
      <c r="D214" s="167" t="inlineStr">
        <is>
          <t>-</t>
        </is>
      </c>
      <c r="E214" s="166" t="n"/>
    </row>
    <row r="215" ht="15" customHeight="1" s="199">
      <c r="A215" s="166" t="inlineStr">
        <is>
          <t>Rental Loss - Vacancy</t>
        </is>
      </c>
      <c r="B215" s="166" t="inlineStr">
        <is>
          <t>Physical Vacancy</t>
        </is>
      </c>
      <c r="C215" s="167" t="inlineStr">
        <is>
          <t>Revenue</t>
        </is>
      </c>
      <c r="D215" s="167" t="inlineStr">
        <is>
          <t>-</t>
        </is>
      </c>
      <c r="E215" s="166" t="n"/>
    </row>
    <row r="216" ht="15" customHeight="1" s="199">
      <c r="A216" s="166" t="inlineStr">
        <is>
          <t>Vacancy and Credit Loss</t>
        </is>
      </c>
      <c r="B216" s="166" t="inlineStr">
        <is>
          <t>Physical Vacancy</t>
        </is>
      </c>
      <c r="C216" s="167" t="inlineStr">
        <is>
          <t>Revenue</t>
        </is>
      </c>
      <c r="D216" s="167" t="inlineStr">
        <is>
          <t>-</t>
        </is>
      </c>
      <c r="E216" s="166" t="n"/>
    </row>
    <row r="217" ht="15" customHeight="1" s="199">
      <c r="A217" s="166" t="inlineStr">
        <is>
          <t>Occupancy Loss</t>
        </is>
      </c>
      <c r="B217" s="166" t="inlineStr">
        <is>
          <t>Physical Vacancy</t>
        </is>
      </c>
      <c r="C217" s="167" t="inlineStr">
        <is>
          <t>Revenue</t>
        </is>
      </c>
      <c r="D217" s="167" t="inlineStr">
        <is>
          <t>-</t>
        </is>
      </c>
      <c r="E217" s="166" t="n"/>
    </row>
    <row r="218" ht="15" customHeight="1" s="199">
      <c r="A218" s="166" t="inlineStr">
        <is>
          <t>Vacant Unit Loss</t>
        </is>
      </c>
      <c r="B218" s="166" t="inlineStr">
        <is>
          <t>Physical Vacancy</t>
        </is>
      </c>
      <c r="C218" s="167" t="inlineStr">
        <is>
          <t>Revenue</t>
        </is>
      </c>
      <c r="D218" s="167" t="inlineStr">
        <is>
          <t>-</t>
        </is>
      </c>
      <c r="E218" s="166" t="n"/>
    </row>
    <row r="219" ht="15" customHeight="1" s="199">
      <c r="A219" s="166" t="inlineStr">
        <is>
          <t>Unoccupied Units</t>
        </is>
      </c>
      <c r="B219" s="166" t="inlineStr">
        <is>
          <t>Physical Vacancy</t>
        </is>
      </c>
      <c r="C219" s="167" t="inlineStr">
        <is>
          <t>Revenue</t>
        </is>
      </c>
      <c r="D219" s="167" t="inlineStr">
        <is>
          <t>-</t>
        </is>
      </c>
      <c r="E219" s="166" t="n"/>
    </row>
    <row r="220" ht="15" customHeight="1" s="199">
      <c r="A220" s="166" t="inlineStr">
        <is>
          <t>Vacancy Reserve</t>
        </is>
      </c>
      <c r="B220" s="166" t="inlineStr">
        <is>
          <t>Physical Vacancy</t>
        </is>
      </c>
      <c r="C220" s="167" t="inlineStr">
        <is>
          <t>Revenue</t>
        </is>
      </c>
      <c r="D220" s="167" t="inlineStr">
        <is>
          <t>-</t>
        </is>
      </c>
      <c r="E220" s="166" t="n"/>
    </row>
    <row r="221" ht="15" customHeight="1" s="199">
      <c r="A221" s="166" t="inlineStr">
        <is>
          <t>Economic Vacancy</t>
        </is>
      </c>
      <c r="B221" s="166" t="inlineStr">
        <is>
          <t>Physical Vacancy</t>
        </is>
      </c>
      <c r="C221" s="167" t="inlineStr">
        <is>
          <t>Revenue</t>
        </is>
      </c>
      <c r="D221" s="167" t="inlineStr">
        <is>
          <t>-</t>
        </is>
      </c>
      <c r="E221" s="166" t="n"/>
    </row>
    <row r="222" ht="15" customHeight="1" s="199">
      <c r="A222" s="166" t="inlineStr">
        <is>
          <t>Vacancy Adjustment</t>
        </is>
      </c>
      <c r="B222" s="166" t="inlineStr">
        <is>
          <t>Physical Vacancy</t>
        </is>
      </c>
      <c r="C222" s="167" t="inlineStr">
        <is>
          <t>Revenue</t>
        </is>
      </c>
      <c r="D222" s="167" t="inlineStr">
        <is>
          <t>-</t>
        </is>
      </c>
      <c r="E222" s="166" t="n"/>
    </row>
    <row r="223" ht="15" customHeight="1" s="199">
      <c r="A223" s="166" t="inlineStr">
        <is>
          <t>Loss to Lease</t>
        </is>
      </c>
      <c r="B223" s="166" t="inlineStr">
        <is>
          <t>Loss to Lease</t>
        </is>
      </c>
      <c r="C223" s="167" t="inlineStr">
        <is>
          <t>Revenue</t>
        </is>
      </c>
      <c r="D223" s="167" t="inlineStr">
        <is>
          <t>-</t>
        </is>
      </c>
      <c r="E223" s="166" t="n"/>
    </row>
    <row r="224" ht="15" customHeight="1" s="199">
      <c r="A224" s="166" t="inlineStr">
        <is>
          <t>Market Rent Adjustments</t>
        </is>
      </c>
      <c r="B224" s="166" t="inlineStr">
        <is>
          <t>Loss to Lease</t>
        </is>
      </c>
      <c r="C224" s="167" t="inlineStr">
        <is>
          <t>Revenue</t>
        </is>
      </c>
      <c r="D224" s="167" t="inlineStr">
        <is>
          <t>-</t>
        </is>
      </c>
      <c r="E224" s="166" t="n"/>
    </row>
    <row r="225" ht="15" customHeight="1" s="199">
      <c r="A225" s="166" t="inlineStr">
        <is>
          <t>Market Rent Adjustment</t>
        </is>
      </c>
      <c r="B225" s="166" t="inlineStr">
        <is>
          <t>Loss to Lease</t>
        </is>
      </c>
      <c r="C225" s="167" t="inlineStr">
        <is>
          <t>Revenue</t>
        </is>
      </c>
      <c r="D225" s="167" t="inlineStr">
        <is>
          <t>-</t>
        </is>
      </c>
      <c r="E225" s="166" t="n"/>
    </row>
    <row r="226" ht="15" customHeight="1" s="199">
      <c r="A226" s="166" t="inlineStr">
        <is>
          <t>Market Rate Adjustments</t>
        </is>
      </c>
      <c r="B226" s="166" t="inlineStr">
        <is>
          <t>Loss to Lease</t>
        </is>
      </c>
      <c r="C226" s="167" t="inlineStr">
        <is>
          <t>Revenue</t>
        </is>
      </c>
      <c r="D226" s="167" t="inlineStr">
        <is>
          <t>-</t>
        </is>
      </c>
      <c r="E226" s="166" t="n"/>
    </row>
    <row r="227" ht="15" customHeight="1" s="199">
      <c r="A227" s="166" t="inlineStr">
        <is>
          <t>Below Market Rents</t>
        </is>
      </c>
      <c r="B227" s="166" t="inlineStr">
        <is>
          <t>Loss to Lease</t>
        </is>
      </c>
      <c r="C227" s="167" t="inlineStr">
        <is>
          <t>Revenue</t>
        </is>
      </c>
      <c r="D227" s="167" t="inlineStr">
        <is>
          <t>-</t>
        </is>
      </c>
      <c r="E227" s="166" t="n"/>
    </row>
    <row r="228" ht="15" customHeight="1" s="199">
      <c r="A228" s="166" t="inlineStr">
        <is>
          <t>Rental Rate Variance</t>
        </is>
      </c>
      <c r="B228" s="166" t="inlineStr">
        <is>
          <t>Loss to Lease</t>
        </is>
      </c>
      <c r="C228" s="167" t="inlineStr">
        <is>
          <t>Revenue</t>
        </is>
      </c>
      <c r="D228" s="167" t="inlineStr">
        <is>
          <t>-</t>
        </is>
      </c>
      <c r="E228" s="166" t="n"/>
    </row>
    <row r="229" ht="15" customHeight="1" s="199">
      <c r="A229" s="166" t="inlineStr">
        <is>
          <t>Rate Discount</t>
        </is>
      </c>
      <c r="B229" s="166" t="inlineStr">
        <is>
          <t>Loss to Lease</t>
        </is>
      </c>
      <c r="C229" s="167" t="inlineStr">
        <is>
          <t>Revenue</t>
        </is>
      </c>
      <c r="D229" s="167" t="inlineStr">
        <is>
          <t>-</t>
        </is>
      </c>
      <c r="E229" s="166" t="n"/>
    </row>
    <row r="230" ht="15" customHeight="1" s="199">
      <c r="A230" s="166" t="inlineStr">
        <is>
          <t>Concession Loss</t>
        </is>
      </c>
      <c r="B230" s="166" t="inlineStr">
        <is>
          <t>Loss to Lease</t>
        </is>
      </c>
      <c r="C230" s="167" t="inlineStr">
        <is>
          <t>Revenue</t>
        </is>
      </c>
      <c r="D230" s="167" t="inlineStr">
        <is>
          <t>-</t>
        </is>
      </c>
      <c r="E230" s="166" t="n"/>
    </row>
    <row r="231" ht="15" customHeight="1" s="199">
      <c r="A231" s="166" t="inlineStr">
        <is>
          <t>Revenue Discount</t>
        </is>
      </c>
      <c r="B231" s="166" t="inlineStr">
        <is>
          <t>Loss to Lease</t>
        </is>
      </c>
      <c r="C231" s="167" t="inlineStr">
        <is>
          <t>Revenue</t>
        </is>
      </c>
      <c r="D231" s="167" t="inlineStr">
        <is>
          <t>-</t>
        </is>
      </c>
      <c r="E231" s="166" t="n"/>
    </row>
    <row r="232" ht="15" customHeight="1" s="199">
      <c r="A232" s="166" t="inlineStr">
        <is>
          <t>Below Market Discount</t>
        </is>
      </c>
      <c r="B232" s="166" t="inlineStr">
        <is>
          <t>Loss to Lease</t>
        </is>
      </c>
      <c r="C232" s="167" t="inlineStr">
        <is>
          <t>Revenue</t>
        </is>
      </c>
      <c r="D232" s="167" t="inlineStr">
        <is>
          <t>-</t>
        </is>
      </c>
      <c r="E232" s="166" t="n"/>
    </row>
    <row r="233" ht="15" customHeight="1" s="199">
      <c r="A233" s="166" t="inlineStr">
        <is>
          <t>Rent Concession</t>
        </is>
      </c>
      <c r="B233" s="166" t="inlineStr">
        <is>
          <t>Loss to Lease</t>
        </is>
      </c>
      <c r="C233" s="167" t="inlineStr">
        <is>
          <t>Revenue</t>
        </is>
      </c>
      <c r="D233" s="167" t="inlineStr">
        <is>
          <t>-</t>
        </is>
      </c>
      <c r="E233" s="166" t="n"/>
    </row>
    <row r="234" ht="15" customHeight="1" s="199">
      <c r="A234" s="165" t="inlineStr">
        <is>
          <t>Rental Revenue - MC</t>
        </is>
      </c>
      <c r="B234" s="165" t="inlineStr">
        <is>
          <t>Base rent — MC</t>
        </is>
      </c>
      <c r="C234" s="165" t="inlineStr">
        <is>
          <t>Revenue</t>
        </is>
      </c>
      <c r="D234" s="165" t="inlineStr">
        <is>
          <t>MC</t>
        </is>
      </c>
      <c r="E234" s="165" t="n"/>
    </row>
    <row r="235">
      <c r="A235" s="165" t="inlineStr">
        <is>
          <t>Rental Revenue - Respite Care</t>
        </is>
      </c>
      <c r="B235" s="165" t="inlineStr">
        <is>
          <t>Respite care</t>
        </is>
      </c>
      <c r="C235" s="165" t="inlineStr">
        <is>
          <t>Revenue</t>
        </is>
      </c>
      <c r="D235" s="165" t="inlineStr">
        <is>
          <t>MC</t>
        </is>
      </c>
      <c r="E235" s="165" t="n"/>
    </row>
    <row r="236">
      <c r="A236" s="165" t="inlineStr">
        <is>
          <t>Concessions - Residential</t>
        </is>
      </c>
      <c r="B236" s="165" t="inlineStr">
        <is>
          <t>Concessions &amp; specials</t>
        </is>
      </c>
      <c r="C236" s="165" t="inlineStr">
        <is>
          <t>Revenue</t>
        </is>
      </c>
      <c r="D236" s="165" t="inlineStr">
        <is>
          <t>-</t>
        </is>
      </c>
      <c r="E236" s="165" t="n"/>
    </row>
    <row r="237">
      <c r="A237" s="165" t="inlineStr">
        <is>
          <t>Other Rental Adjustments</t>
        </is>
      </c>
      <c r="B237" s="165" t="inlineStr">
        <is>
          <t>Loss to Lease</t>
        </is>
      </c>
      <c r="C237" s="165" t="inlineStr">
        <is>
          <t>Revenue</t>
        </is>
      </c>
      <c r="D237" s="165" t="inlineStr">
        <is>
          <t>-</t>
        </is>
      </c>
      <c r="E237" s="165" t="n"/>
    </row>
    <row r="238">
      <c r="A238" s="165" t="inlineStr">
        <is>
          <t>Administration Fees</t>
        </is>
      </c>
      <c r="B238" s="165" t="inlineStr">
        <is>
          <t>Community / move-in fees</t>
        </is>
      </c>
      <c r="C238" s="165" t="inlineStr">
        <is>
          <t>Revenue</t>
        </is>
      </c>
      <c r="D238" s="165" t="inlineStr">
        <is>
          <t>-</t>
        </is>
      </c>
      <c r="E238" s="165" t="n"/>
    </row>
    <row r="239">
      <c r="A239" s="165" t="inlineStr">
        <is>
          <t>Resident Chargebacks</t>
        </is>
      </c>
      <c r="B239" s="165" t="inlineStr">
        <is>
          <t>Other community revenue</t>
        </is>
      </c>
      <c r="C239" s="165" t="inlineStr">
        <is>
          <t>Revenue</t>
        </is>
      </c>
      <c r="D239" s="165" t="inlineStr">
        <is>
          <t>-</t>
        </is>
      </c>
      <c r="E239" s="165" t="n"/>
    </row>
    <row r="240">
      <c r="A240" s="165" t="inlineStr">
        <is>
          <t>Revenue - Space Rental</t>
        </is>
      </c>
      <c r="B240" s="165" t="inlineStr">
        <is>
          <t>Other community revenue</t>
        </is>
      </c>
      <c r="C240" s="165" t="inlineStr">
        <is>
          <t>Revenue</t>
        </is>
      </c>
      <c r="D240" s="165" t="inlineStr">
        <is>
          <t>-</t>
        </is>
      </c>
      <c r="E240" s="165" t="n"/>
    </row>
    <row r="241">
      <c r="A241" s="165" t="inlineStr">
        <is>
          <t>Community Service Fee</t>
        </is>
      </c>
      <c r="B241" s="165" t="inlineStr">
        <is>
          <t>Other community revenue</t>
        </is>
      </c>
      <c r="C241" s="165" t="inlineStr">
        <is>
          <t>Revenue</t>
        </is>
      </c>
      <c r="D241" s="165" t="inlineStr">
        <is>
          <t>-</t>
        </is>
      </c>
      <c r="E241" s="165" t="n"/>
    </row>
    <row r="242">
      <c r="A242" s="165" t="inlineStr">
        <is>
          <t>Auto and Mileage Expense</t>
        </is>
      </c>
      <c r="B242" s="165" t="inlineStr">
        <is>
          <t>Auto Expense</t>
        </is>
      </c>
      <c r="C242" s="165" t="inlineStr">
        <is>
          <t>Non-Labor</t>
        </is>
      </c>
      <c r="D242" s="165" t="inlineStr">
        <is>
          <t>-</t>
        </is>
      </c>
      <c r="E242" s="165" t="n"/>
    </row>
    <row r="243">
      <c r="A243" s="165" t="inlineStr">
        <is>
          <t>Bank Charges</t>
        </is>
      </c>
      <c r="B243" s="165" t="inlineStr">
        <is>
          <t>Office, admin &amp; G&amp;A</t>
        </is>
      </c>
      <c r="C243" s="165" t="inlineStr">
        <is>
          <t>Non-Labor</t>
        </is>
      </c>
      <c r="D243" s="165" t="inlineStr">
        <is>
          <t>-</t>
        </is>
      </c>
      <c r="E243" s="165" t="n"/>
    </row>
    <row r="244">
      <c r="A244" s="165" t="inlineStr">
        <is>
          <t>Computer Hardware</t>
        </is>
      </c>
      <c r="B244" s="165" t="inlineStr">
        <is>
          <t>Telephone / IT</t>
        </is>
      </c>
      <c r="C244" s="165" t="inlineStr">
        <is>
          <t>Non-Labor</t>
        </is>
      </c>
      <c r="D244" s="165" t="inlineStr">
        <is>
          <t>-</t>
        </is>
      </c>
      <c r="E244" s="165" t="n"/>
    </row>
    <row r="245">
      <c r="A245" s="165" t="inlineStr">
        <is>
          <t>Computer Software</t>
        </is>
      </c>
      <c r="B245" s="165" t="inlineStr">
        <is>
          <t>Telephone / IT</t>
        </is>
      </c>
      <c r="C245" s="165" t="inlineStr">
        <is>
          <t>Non-Labor</t>
        </is>
      </c>
      <c r="D245" s="165" t="inlineStr">
        <is>
          <t>-</t>
        </is>
      </c>
      <c r="E245" s="165" t="n"/>
    </row>
    <row r="246">
      <c r="A246" s="165" t="inlineStr">
        <is>
          <t>Dues And Subscriptions</t>
        </is>
      </c>
      <c r="B246" s="165" t="inlineStr">
        <is>
          <t>Permits, licenses &amp; dues</t>
        </is>
      </c>
      <c r="C246" s="165" t="inlineStr">
        <is>
          <t>Non-Labor</t>
        </is>
      </c>
      <c r="D246" s="165" t="inlineStr">
        <is>
          <t>-</t>
        </is>
      </c>
      <c r="E246" s="165" t="n"/>
    </row>
    <row r="247">
      <c r="A247" s="165" t="inlineStr">
        <is>
          <t>License Expenses</t>
        </is>
      </c>
      <c r="B247" s="165" t="inlineStr">
        <is>
          <t>Permits, licenses &amp; dues</t>
        </is>
      </c>
      <c r="C247" s="165" t="inlineStr">
        <is>
          <t>Non-Labor</t>
        </is>
      </c>
      <c r="D247" s="165" t="inlineStr">
        <is>
          <t>-</t>
        </is>
      </c>
      <c r="E247" s="165" t="n"/>
    </row>
    <row r="248">
      <c r="A248" s="165" t="inlineStr">
        <is>
          <t>Office Equipment</t>
        </is>
      </c>
      <c r="B248" s="165" t="inlineStr">
        <is>
          <t>Office, admin &amp; G&amp;A</t>
        </is>
      </c>
      <c r="C248" s="165" t="inlineStr">
        <is>
          <t>Non-Labor</t>
        </is>
      </c>
      <c r="D248" s="165" t="inlineStr">
        <is>
          <t>-</t>
        </is>
      </c>
      <c r="E248" s="165" t="n"/>
    </row>
    <row r="249">
      <c r="A249" s="165" t="inlineStr">
        <is>
          <t>Office Supplies &amp; Expense</t>
        </is>
      </c>
      <c r="B249" s="165" t="inlineStr">
        <is>
          <t>Office, admin &amp; G&amp;A</t>
        </is>
      </c>
      <c r="C249" s="165" t="inlineStr">
        <is>
          <t>Non-Labor</t>
        </is>
      </c>
      <c r="D249" s="165" t="inlineStr">
        <is>
          <t>-</t>
        </is>
      </c>
      <c r="E249" s="165" t="n"/>
    </row>
    <row r="250">
      <c r="A250" s="165" t="inlineStr">
        <is>
          <t>Postage/Express Mailings</t>
        </is>
      </c>
      <c r="B250" s="165" t="inlineStr">
        <is>
          <t>Office, admin &amp; G&amp;A</t>
        </is>
      </c>
      <c r="C250" s="165" t="inlineStr">
        <is>
          <t>Non-Labor</t>
        </is>
      </c>
      <c r="D250" s="165" t="inlineStr">
        <is>
          <t>-</t>
        </is>
      </c>
      <c r="E250" s="165" t="n"/>
    </row>
    <row r="251">
      <c r="A251" s="165" t="inlineStr">
        <is>
          <t>Professional Fees - Legal</t>
        </is>
      </c>
      <c r="B251" s="165" t="inlineStr">
        <is>
          <t>Legal expenses</t>
        </is>
      </c>
      <c r="C251" s="165" t="inlineStr">
        <is>
          <t>Non-Labor</t>
        </is>
      </c>
      <c r="D251" s="165" t="inlineStr">
        <is>
          <t>-</t>
        </is>
      </c>
      <c r="E251" s="165" t="n"/>
    </row>
    <row r="252">
      <c r="A252" s="165" t="inlineStr">
        <is>
          <t>Professional Fees - Other</t>
        </is>
      </c>
      <c r="B252" s="165" t="inlineStr">
        <is>
          <t>Professional services</t>
        </is>
      </c>
      <c r="C252" s="165" t="inlineStr">
        <is>
          <t>Non-Labor</t>
        </is>
      </c>
      <c r="D252" s="165" t="inlineStr">
        <is>
          <t>-</t>
        </is>
      </c>
      <c r="E252" s="165" t="n"/>
    </row>
    <row r="253">
      <c r="A253" s="165" t="inlineStr">
        <is>
          <t>Recruiting</t>
        </is>
      </c>
      <c r="B253" s="165" t="inlineStr">
        <is>
          <t>Office, admin &amp; G&amp;A</t>
        </is>
      </c>
      <c r="C253" s="165" t="inlineStr">
        <is>
          <t>Non-Labor</t>
        </is>
      </c>
      <c r="D253" s="165" t="inlineStr">
        <is>
          <t>-</t>
        </is>
      </c>
      <c r="E253" s="165" t="n"/>
    </row>
    <row r="254">
      <c r="A254" s="165" t="inlineStr">
        <is>
          <t>Staff Training/Expense</t>
        </is>
      </c>
      <c r="B254" s="165" t="inlineStr">
        <is>
          <t>Office, admin &amp; G&amp;A</t>
        </is>
      </c>
      <c r="C254" s="165" t="inlineStr">
        <is>
          <t>Non-Labor</t>
        </is>
      </c>
      <c r="D254" s="165" t="inlineStr">
        <is>
          <t>-</t>
        </is>
      </c>
      <c r="E254" s="165" t="n"/>
    </row>
    <row r="255">
      <c r="A255" s="165" t="inlineStr">
        <is>
          <t>Storage Rental Expense</t>
        </is>
      </c>
      <c r="B255" s="165" t="inlineStr">
        <is>
          <t>Office, admin &amp; G&amp;A</t>
        </is>
      </c>
      <c r="C255" s="165" t="inlineStr">
        <is>
          <t>Non-Labor</t>
        </is>
      </c>
      <c r="D255" s="165" t="inlineStr">
        <is>
          <t>-</t>
        </is>
      </c>
      <c r="E255" s="165" t="n"/>
    </row>
    <row r="256">
      <c r="A256" s="165" t="inlineStr">
        <is>
          <t>Telephone</t>
        </is>
      </c>
      <c r="B256" s="165" t="inlineStr">
        <is>
          <t>Telephone / IT</t>
        </is>
      </c>
      <c r="C256" s="165" t="inlineStr">
        <is>
          <t>Non-Labor</t>
        </is>
      </c>
      <c r="D256" s="165" t="inlineStr">
        <is>
          <t>-</t>
        </is>
      </c>
      <c r="E256" s="165" t="n"/>
    </row>
    <row r="257">
      <c r="A257" s="165" t="inlineStr">
        <is>
          <t>T&amp;E - Meals</t>
        </is>
      </c>
      <c r="B257" s="165" t="inlineStr">
        <is>
          <t>Office, admin &amp; G&amp;A</t>
        </is>
      </c>
      <c r="C257" s="165" t="inlineStr">
        <is>
          <t>Non-Labor</t>
        </is>
      </c>
      <c r="D257" s="165" t="inlineStr">
        <is>
          <t>-</t>
        </is>
      </c>
      <c r="E257" s="165" t="n"/>
    </row>
    <row r="258">
      <c r="A258" s="165" t="inlineStr">
        <is>
          <t>T&amp;E - Non-Meals</t>
        </is>
      </c>
      <c r="B258" s="165" t="inlineStr">
        <is>
          <t>Office, admin &amp; G&amp;A</t>
        </is>
      </c>
      <c r="C258" s="165" t="inlineStr">
        <is>
          <t>Non-Labor</t>
        </is>
      </c>
      <c r="D258" s="165" t="inlineStr">
        <is>
          <t>-</t>
        </is>
      </c>
      <c r="E258" s="165" t="n"/>
    </row>
    <row r="259">
      <c r="A259" s="165" t="inlineStr">
        <is>
          <t>Uniforms</t>
        </is>
      </c>
      <c r="B259" s="165" t="inlineStr">
        <is>
          <t>Office, admin &amp; G&amp;A</t>
        </is>
      </c>
      <c r="C259" s="165" t="inlineStr">
        <is>
          <t>Non-Labor</t>
        </is>
      </c>
      <c r="D259" s="165" t="inlineStr">
        <is>
          <t>-</t>
        </is>
      </c>
      <c r="E259" s="165" t="n"/>
    </row>
    <row r="260">
      <c r="A260" s="165" t="inlineStr">
        <is>
          <t>Employee Relations</t>
        </is>
      </c>
      <c r="B260" s="165" t="inlineStr">
        <is>
          <t>Office, admin &amp; G&amp;A</t>
        </is>
      </c>
      <c r="C260" s="165" t="inlineStr">
        <is>
          <t>Non-Labor</t>
        </is>
      </c>
      <c r="D260" s="165" t="inlineStr">
        <is>
          <t>-</t>
        </is>
      </c>
      <c r="E260" s="165" t="n"/>
    </row>
    <row r="261">
      <c r="A261" s="165" t="inlineStr">
        <is>
          <t>Bad Debt Writeoff</t>
        </is>
      </c>
      <c r="B261" s="165" t="inlineStr">
        <is>
          <t>Bad debt expense</t>
        </is>
      </c>
      <c r="C261" s="165" t="inlineStr">
        <is>
          <t>Non-Labor</t>
        </is>
      </c>
      <c r="D261" s="165" t="inlineStr">
        <is>
          <t>-</t>
        </is>
      </c>
      <c r="E261" s="165" t="n"/>
    </row>
    <row r="262">
      <c r="A262" s="165" t="inlineStr">
        <is>
          <t>Misc Admin Expense</t>
        </is>
      </c>
      <c r="B262" s="165" t="inlineStr">
        <is>
          <t>Other / miscellaneous</t>
        </is>
      </c>
      <c r="C262" s="165" t="inlineStr">
        <is>
          <t>Non-Labor</t>
        </is>
      </c>
      <c r="D262" s="165" t="inlineStr">
        <is>
          <t>-</t>
        </is>
      </c>
      <c r="E262" s="165" t="n"/>
    </row>
    <row r="263">
      <c r="A263" s="165" t="inlineStr">
        <is>
          <t>Property Mgmt Fees</t>
        </is>
      </c>
      <c r="B263" s="165" t="inlineStr">
        <is>
          <t>Management fee</t>
        </is>
      </c>
      <c r="C263" s="165" t="inlineStr">
        <is>
          <t>Non-Labor</t>
        </is>
      </c>
      <c r="D263" s="165" t="inlineStr">
        <is>
          <t>-</t>
        </is>
      </c>
      <c r="E263" s="165" t="n"/>
    </row>
    <row r="264">
      <c r="A264" s="165" t="inlineStr">
        <is>
          <t>Advertising Electronic Media</t>
        </is>
      </c>
      <c r="B264" s="165" t="inlineStr">
        <is>
          <t>Sales, adv. &amp; marketing</t>
        </is>
      </c>
      <c r="C264" s="165" t="inlineStr">
        <is>
          <t>Non-Labor</t>
        </is>
      </c>
      <c r="D264" s="165" t="inlineStr">
        <is>
          <t>-</t>
        </is>
      </c>
      <c r="E264" s="165" t="n"/>
    </row>
    <row r="265">
      <c r="A265" s="165" t="inlineStr">
        <is>
          <t>Public Relations</t>
        </is>
      </c>
      <c r="B265" s="165" t="inlineStr">
        <is>
          <t>Sales, adv. &amp; marketing</t>
        </is>
      </c>
      <c r="C265" s="165" t="inlineStr">
        <is>
          <t>Non-Labor</t>
        </is>
      </c>
      <c r="D265" s="165" t="inlineStr">
        <is>
          <t>-</t>
        </is>
      </c>
      <c r="E265" s="165" t="n"/>
    </row>
    <row r="266">
      <c r="A266" s="165" t="inlineStr">
        <is>
          <t>Printing - Marketing Materials</t>
        </is>
      </c>
      <c r="B266" s="165" t="inlineStr">
        <is>
          <t>Sales, adv. &amp; marketing</t>
        </is>
      </c>
      <c r="C266" s="165" t="inlineStr">
        <is>
          <t>Non-Labor</t>
        </is>
      </c>
      <c r="D266" s="165" t="inlineStr">
        <is>
          <t>-</t>
        </is>
      </c>
      <c r="E266" s="165" t="n"/>
    </row>
    <row r="267">
      <c r="A267" s="165" t="inlineStr">
        <is>
          <t>Resident Functions &amp; Parties</t>
        </is>
      </c>
      <c r="B267" s="165" t="inlineStr">
        <is>
          <t>Recreation &amp; activity suppl.</t>
        </is>
      </c>
      <c r="C267" s="165" t="inlineStr">
        <is>
          <t>Non-Labor</t>
        </is>
      </c>
      <c r="D267" s="165" t="inlineStr">
        <is>
          <t>-</t>
        </is>
      </c>
      <c r="E267" s="165" t="n"/>
    </row>
    <row r="268">
      <c r="A268" s="165" t="inlineStr">
        <is>
          <t>MarketingServices</t>
        </is>
      </c>
      <c r="B268" s="165" t="inlineStr">
        <is>
          <t>Sales, adv. &amp; marketing</t>
        </is>
      </c>
      <c r="C268" s="165" t="inlineStr">
        <is>
          <t>Non-Labor</t>
        </is>
      </c>
      <c r="D268" s="165" t="inlineStr">
        <is>
          <t>-</t>
        </is>
      </c>
      <c r="E268" s="165" t="n"/>
    </row>
    <row r="269">
      <c r="A269" s="165" t="inlineStr">
        <is>
          <t>Salaries - G&amp;A</t>
        </is>
      </c>
      <c r="B269" s="165" t="inlineStr">
        <is>
          <t>Administrative labor</t>
        </is>
      </c>
      <c r="C269" s="165" t="inlineStr">
        <is>
          <t>Labor</t>
        </is>
      </c>
      <c r="D269" s="165" t="inlineStr">
        <is>
          <t>-</t>
        </is>
      </c>
      <c r="E269" s="165" t="n"/>
    </row>
    <row r="270">
      <c r="A270" s="165" t="inlineStr">
        <is>
          <t>Salaries - Food &amp; Bev</t>
        </is>
      </c>
      <c r="B270" s="165" t="inlineStr">
        <is>
          <t>Dining / food service labor</t>
        </is>
      </c>
      <c r="C270" s="165" t="inlineStr">
        <is>
          <t>Labor</t>
        </is>
      </c>
      <c r="D270" s="165" t="inlineStr">
        <is>
          <t>-</t>
        </is>
      </c>
      <c r="E270" s="165" t="n"/>
    </row>
    <row r="271">
      <c r="A271" s="165" t="inlineStr">
        <is>
          <t>Salaries - Housekeeping</t>
        </is>
      </c>
      <c r="B271" s="165" t="inlineStr">
        <is>
          <t>Maint. &amp; housekeeping labor</t>
        </is>
      </c>
      <c r="C271" s="165" t="inlineStr">
        <is>
          <t>Labor</t>
        </is>
      </c>
      <c r="D271" s="165" t="inlineStr">
        <is>
          <t>-</t>
        </is>
      </c>
      <c r="E271" s="165" t="n"/>
    </row>
    <row r="272">
      <c r="A272" s="165" t="inlineStr">
        <is>
          <t>Salaries - Maintenance</t>
        </is>
      </c>
      <c r="B272" s="165" t="inlineStr">
        <is>
          <t>Maint. &amp; housekeeping labor</t>
        </is>
      </c>
      <c r="C272" s="165" t="inlineStr">
        <is>
          <t>Labor</t>
        </is>
      </c>
      <c r="D272" s="165" t="inlineStr">
        <is>
          <t>-</t>
        </is>
      </c>
      <c r="E272" s="165" t="n"/>
    </row>
    <row r="273">
      <c r="A273" s="165" t="inlineStr">
        <is>
          <t>Salaries - Activities</t>
        </is>
      </c>
      <c r="B273" s="165" t="inlineStr">
        <is>
          <t>Activities labor</t>
        </is>
      </c>
      <c r="C273" s="165" t="inlineStr">
        <is>
          <t>Labor</t>
        </is>
      </c>
      <c r="D273" s="165" t="inlineStr">
        <is>
          <t>-</t>
        </is>
      </c>
      <c r="E273" s="165" t="n"/>
    </row>
    <row r="274">
      <c r="A274" s="165" t="inlineStr">
        <is>
          <t>Salaries - Nursing</t>
        </is>
      </c>
      <c r="B274" s="165" t="inlineStr">
        <is>
          <t>Care staff labor</t>
        </is>
      </c>
      <c r="C274" s="165" t="inlineStr">
        <is>
          <t>Labor</t>
        </is>
      </c>
      <c r="D274" s="165" t="inlineStr">
        <is>
          <t>-</t>
        </is>
      </c>
      <c r="E274" s="165" t="n"/>
    </row>
    <row r="275">
      <c r="A275" s="165" t="inlineStr">
        <is>
          <t>Salaries - Marketing</t>
        </is>
      </c>
      <c r="B275" s="165" t="inlineStr">
        <is>
          <t>Administrative labor</t>
        </is>
      </c>
      <c r="C275" s="165" t="inlineStr">
        <is>
          <t>Labor</t>
        </is>
      </c>
      <c r="D275" s="165" t="inlineStr">
        <is>
          <t>-</t>
        </is>
      </c>
      <c r="E275" s="165" t="n"/>
    </row>
    <row r="276">
      <c r="A276" s="165" t="inlineStr">
        <is>
          <t>Overtime - G&amp;A</t>
        </is>
      </c>
      <c r="B276" s="165" t="inlineStr">
        <is>
          <t>Overtime wages</t>
        </is>
      </c>
      <c r="C276" s="165" t="inlineStr">
        <is>
          <t>Labor</t>
        </is>
      </c>
      <c r="D276" s="165" t="inlineStr">
        <is>
          <t>-</t>
        </is>
      </c>
      <c r="E276" s="165" t="n"/>
    </row>
    <row r="277">
      <c r="A277" s="165" t="inlineStr">
        <is>
          <t>Overtime - Food &amp; Bev</t>
        </is>
      </c>
      <c r="B277" s="165" t="inlineStr">
        <is>
          <t>Overtime wages</t>
        </is>
      </c>
      <c r="C277" s="165" t="inlineStr">
        <is>
          <t>Labor</t>
        </is>
      </c>
      <c r="D277" s="165" t="inlineStr">
        <is>
          <t>-</t>
        </is>
      </c>
      <c r="E277" s="165" t="n"/>
    </row>
    <row r="278">
      <c r="A278" s="165" t="inlineStr">
        <is>
          <t>Overtime - Housekeeping</t>
        </is>
      </c>
      <c r="B278" s="165" t="inlineStr">
        <is>
          <t>Overtime wages</t>
        </is>
      </c>
      <c r="C278" s="165" t="inlineStr">
        <is>
          <t>Labor</t>
        </is>
      </c>
      <c r="D278" s="165" t="inlineStr">
        <is>
          <t>-</t>
        </is>
      </c>
      <c r="E278" s="165" t="n"/>
    </row>
    <row r="279">
      <c r="A279" s="165" t="inlineStr">
        <is>
          <t>Overtime - Maintenance</t>
        </is>
      </c>
      <c r="B279" s="165" t="inlineStr">
        <is>
          <t>Overtime wages</t>
        </is>
      </c>
      <c r="C279" s="165" t="inlineStr">
        <is>
          <t>Labor</t>
        </is>
      </c>
      <c r="D279" s="165" t="inlineStr">
        <is>
          <t>-</t>
        </is>
      </c>
      <c r="E279" s="165" t="n"/>
    </row>
    <row r="280">
      <c r="A280" s="165" t="inlineStr">
        <is>
          <t>Overtime - Activities</t>
        </is>
      </c>
      <c r="B280" s="165" t="inlineStr">
        <is>
          <t>Overtime wages</t>
        </is>
      </c>
      <c r="C280" s="165" t="inlineStr">
        <is>
          <t>Labor</t>
        </is>
      </c>
      <c r="D280" s="165" t="inlineStr">
        <is>
          <t>-</t>
        </is>
      </c>
      <c r="E280" s="165" t="n"/>
    </row>
    <row r="281">
      <c r="A281" s="165" t="inlineStr">
        <is>
          <t>Overtime - Nursing</t>
        </is>
      </c>
      <c r="B281" s="165" t="inlineStr">
        <is>
          <t>Overtime wages</t>
        </is>
      </c>
      <c r="C281" s="165" t="inlineStr">
        <is>
          <t>Labor</t>
        </is>
      </c>
      <c r="D281" s="165" t="inlineStr">
        <is>
          <t>-</t>
        </is>
      </c>
      <c r="E281" s="165" t="n"/>
    </row>
    <row r="282">
      <c r="A282" s="165" t="inlineStr">
        <is>
          <t>Overtime - Marketing</t>
        </is>
      </c>
      <c r="B282" s="165" t="inlineStr">
        <is>
          <t>Overtime wages</t>
        </is>
      </c>
      <c r="C282" s="165" t="inlineStr">
        <is>
          <t>Labor</t>
        </is>
      </c>
      <c r="D282" s="165" t="inlineStr">
        <is>
          <t>-</t>
        </is>
      </c>
      <c r="E282" s="165" t="n"/>
    </row>
    <row r="283">
      <c r="A283" s="165" t="inlineStr">
        <is>
          <t>Holiday - G&amp;A</t>
        </is>
      </c>
      <c r="B283" s="165" t="inlineStr">
        <is>
          <t>Overtime wages</t>
        </is>
      </c>
      <c r="C283" s="165" t="inlineStr">
        <is>
          <t>Labor</t>
        </is>
      </c>
      <c r="D283" s="165" t="inlineStr">
        <is>
          <t>-</t>
        </is>
      </c>
      <c r="E283" s="165" t="n"/>
    </row>
    <row r="284">
      <c r="A284" s="165" t="inlineStr">
        <is>
          <t>PTO - G&amp;A</t>
        </is>
      </c>
      <c r="B284" s="165" t="inlineStr">
        <is>
          <t>PTO wages</t>
        </is>
      </c>
      <c r="C284" s="165" t="inlineStr">
        <is>
          <t>Labor</t>
        </is>
      </c>
      <c r="D284" s="165" t="inlineStr">
        <is>
          <t>-</t>
        </is>
      </c>
      <c r="E284" s="165" t="n"/>
    </row>
    <row r="285">
      <c r="A285" s="165" t="inlineStr">
        <is>
          <t>Bonus - G&amp;A</t>
        </is>
      </c>
      <c r="B285" s="165" t="inlineStr">
        <is>
          <t>Bonus wages</t>
        </is>
      </c>
      <c r="C285" s="165" t="inlineStr">
        <is>
          <t>Labor</t>
        </is>
      </c>
      <c r="D285" s="165" t="inlineStr">
        <is>
          <t>-</t>
        </is>
      </c>
      <c r="E285" s="165" t="n"/>
    </row>
    <row r="286">
      <c r="A286" s="165" t="inlineStr">
        <is>
          <t>Bonus - Marketing</t>
        </is>
      </c>
      <c r="B286" s="165" t="inlineStr">
        <is>
          <t>Bonus wages</t>
        </is>
      </c>
      <c r="C286" s="165" t="inlineStr">
        <is>
          <t>Labor</t>
        </is>
      </c>
      <c r="D286" s="165" t="inlineStr">
        <is>
          <t>-</t>
        </is>
      </c>
      <c r="E286" s="165" t="n"/>
    </row>
    <row r="287">
      <c r="A287" s="165" t="inlineStr">
        <is>
          <t>Contract Labor - Food &amp; Bev</t>
        </is>
      </c>
      <c r="B287" s="165" t="inlineStr">
        <is>
          <t>Contract / agency labor</t>
        </is>
      </c>
      <c r="C287" s="165" t="inlineStr">
        <is>
          <t>Labor</t>
        </is>
      </c>
      <c r="D287" s="165" t="inlineStr">
        <is>
          <t>-</t>
        </is>
      </c>
      <c r="E287" s="165" t="n"/>
    </row>
    <row r="288">
      <c r="A288" s="165" t="inlineStr">
        <is>
          <t>Contract Labor - Nursing</t>
        </is>
      </c>
      <c r="B288" s="165" t="inlineStr">
        <is>
          <t>Contract / agency labor</t>
        </is>
      </c>
      <c r="C288" s="165" t="inlineStr">
        <is>
          <t>Labor</t>
        </is>
      </c>
      <c r="D288" s="165" t="inlineStr">
        <is>
          <t>-</t>
        </is>
      </c>
      <c r="E288" s="165" t="n"/>
    </row>
    <row r="289">
      <c r="A289" s="165" t="inlineStr">
        <is>
          <t>Health Insurance</t>
        </is>
      </c>
      <c r="B289" s="165" t="inlineStr">
        <is>
          <t>Employee benefits</t>
        </is>
      </c>
      <c r="C289" s="165" t="inlineStr">
        <is>
          <t>Labor</t>
        </is>
      </c>
      <c r="D289" s="165" t="inlineStr">
        <is>
          <t>-</t>
        </is>
      </c>
      <c r="E289" s="165" t="n"/>
    </row>
    <row r="290">
      <c r="A290" s="165" t="inlineStr">
        <is>
          <t>Life Insurance</t>
        </is>
      </c>
      <c r="B290" s="165" t="inlineStr">
        <is>
          <t>Employee benefits</t>
        </is>
      </c>
      <c r="C290" s="165" t="inlineStr">
        <is>
          <t>Labor</t>
        </is>
      </c>
      <c r="D290" s="165" t="inlineStr">
        <is>
          <t>-</t>
        </is>
      </c>
      <c r="E290" s="165" t="n"/>
    </row>
    <row r="291">
      <c r="A291" s="165" t="inlineStr">
        <is>
          <t>Other Employee Expenses</t>
        </is>
      </c>
      <c r="B291" s="165" t="inlineStr">
        <is>
          <t>Employee benefits</t>
        </is>
      </c>
      <c r="C291" s="165" t="inlineStr">
        <is>
          <t>Labor</t>
        </is>
      </c>
      <c r="D291" s="165" t="inlineStr">
        <is>
          <t>-</t>
        </is>
      </c>
      <c r="E291" s="165" t="n"/>
    </row>
    <row r="292">
      <c r="A292" s="165" t="inlineStr">
        <is>
          <t>Building Repair</t>
        </is>
      </c>
      <c r="B292" s="165" t="inlineStr">
        <is>
          <t>R&amp;M fixed</t>
        </is>
      </c>
      <c r="C292" s="165" t="inlineStr">
        <is>
          <t>Non-Labor</t>
        </is>
      </c>
      <c r="D292" s="165" t="inlineStr">
        <is>
          <t>-</t>
        </is>
      </c>
      <c r="E292" s="165" t="n"/>
    </row>
    <row r="293">
      <c r="A293" s="165" t="inlineStr">
        <is>
          <t>Service Contract</t>
        </is>
      </c>
      <c r="B293" s="165" t="inlineStr">
        <is>
          <t>R&amp;M fixed</t>
        </is>
      </c>
      <c r="C293" s="165" t="inlineStr">
        <is>
          <t>Non-Labor</t>
        </is>
      </c>
      <c r="D293" s="165" t="inlineStr">
        <is>
          <t>-</t>
        </is>
      </c>
      <c r="E293" s="165" t="n"/>
    </row>
    <row r="294">
      <c r="A294" s="165" t="inlineStr">
        <is>
          <t>Equipment Repairs</t>
        </is>
      </c>
      <c r="B294" s="165" t="inlineStr">
        <is>
          <t>R&amp;M fixed</t>
        </is>
      </c>
      <c r="C294" s="165" t="inlineStr">
        <is>
          <t>Non-Labor</t>
        </is>
      </c>
      <c r="D294" s="165" t="inlineStr">
        <is>
          <t>-</t>
        </is>
      </c>
      <c r="E294" s="165" t="n"/>
    </row>
    <row r="295">
      <c r="A295" s="165" t="inlineStr">
        <is>
          <t>Janitorial Supplies</t>
        </is>
      </c>
      <c r="B295" s="165" t="inlineStr">
        <is>
          <t>HK &amp; laundry supplies</t>
        </is>
      </c>
      <c r="C295" s="165" t="inlineStr">
        <is>
          <t>Non-Labor</t>
        </is>
      </c>
      <c r="D295" s="165" t="inlineStr">
        <is>
          <t>-</t>
        </is>
      </c>
      <c r="E295" s="165" t="n"/>
    </row>
    <row r="296">
      <c r="A296" s="165" t="inlineStr">
        <is>
          <t>Inspections</t>
        </is>
      </c>
      <c r="B296" s="165" t="inlineStr">
        <is>
          <t>Permits, licenses &amp; dues</t>
        </is>
      </c>
      <c r="C296" s="165" t="inlineStr">
        <is>
          <t>Non-Labor</t>
        </is>
      </c>
      <c r="D296" s="165" t="inlineStr">
        <is>
          <t>-</t>
        </is>
      </c>
      <c r="E296" s="165" t="n"/>
    </row>
    <row r="297">
      <c r="A297" s="165" t="inlineStr">
        <is>
          <t>Food Expense</t>
        </is>
      </c>
      <c r="B297" s="165" t="inlineStr">
        <is>
          <t>Food cost</t>
        </is>
      </c>
      <c r="C297" s="165" t="inlineStr">
        <is>
          <t>Non-Labor</t>
        </is>
      </c>
      <c r="D297" s="165" t="inlineStr">
        <is>
          <t>-</t>
        </is>
      </c>
      <c r="E297" s="165" t="n"/>
    </row>
    <row r="298">
      <c r="A298" s="165" t="inlineStr">
        <is>
          <t>Smallwares</t>
        </is>
      </c>
      <c r="B298" s="165" t="inlineStr">
        <is>
          <t>Dining &amp; kitchen supplies</t>
        </is>
      </c>
      <c r="C298" s="165" t="inlineStr">
        <is>
          <t>Non-Labor</t>
        </is>
      </c>
      <c r="D298" s="165" t="inlineStr">
        <is>
          <t>-</t>
        </is>
      </c>
      <c r="E298" s="165" t="n"/>
    </row>
    <row r="299">
      <c r="A299" s="165" t="inlineStr">
        <is>
          <t>Operating Supplies</t>
        </is>
      </c>
      <c r="B299" s="165" t="inlineStr">
        <is>
          <t>Other / miscellaneous</t>
        </is>
      </c>
      <c r="C299" s="165" t="inlineStr">
        <is>
          <t>Non-Labor</t>
        </is>
      </c>
      <c r="D299" s="165" t="inlineStr">
        <is>
          <t>-</t>
        </is>
      </c>
      <c r="E299" s="165" t="n"/>
    </row>
    <row r="300">
      <c r="A300" s="165" t="inlineStr">
        <is>
          <t>Contract Services</t>
        </is>
      </c>
      <c r="B300" s="165" t="inlineStr">
        <is>
          <t>Professional services</t>
        </is>
      </c>
      <c r="C300" s="165" t="inlineStr">
        <is>
          <t>Non-Labor</t>
        </is>
      </c>
      <c r="D300" s="165" t="inlineStr">
        <is>
          <t>-</t>
        </is>
      </c>
      <c r="E300" s="165" t="n"/>
    </row>
    <row r="301">
      <c r="A301" s="165" t="inlineStr">
        <is>
          <t>Medical Supplies</t>
        </is>
      </c>
      <c r="B301" s="165" t="inlineStr">
        <is>
          <t>Nursing &amp; care supplies</t>
        </is>
      </c>
      <c r="C301" s="165" t="inlineStr">
        <is>
          <t>Non-Labor</t>
        </is>
      </c>
      <c r="D301" s="165" t="inlineStr">
        <is>
          <t>-</t>
        </is>
      </c>
      <c r="E301" s="165" t="n"/>
    </row>
    <row r="302">
      <c r="A302" s="165" t="inlineStr">
        <is>
          <t>Resident Services</t>
        </is>
      </c>
      <c r="B302" s="165" t="inlineStr">
        <is>
          <t>Recreation &amp; activity suppl.</t>
        </is>
      </c>
      <c r="C302" s="165" t="inlineStr">
        <is>
          <t>Non-Labor</t>
        </is>
      </c>
      <c r="D302" s="165" t="inlineStr">
        <is>
          <t>-</t>
        </is>
      </c>
      <c r="E302" s="165" t="n"/>
    </row>
    <row r="303">
      <c r="A303" s="165" t="inlineStr">
        <is>
          <t>Resident Programs</t>
        </is>
      </c>
      <c r="B303" s="165" t="inlineStr">
        <is>
          <t>Recreation &amp; activity suppl.</t>
        </is>
      </c>
      <c r="C303" s="165" t="inlineStr">
        <is>
          <t>Non-Labor</t>
        </is>
      </c>
      <c r="D303" s="165" t="inlineStr">
        <is>
          <t>-</t>
        </is>
      </c>
      <c r="E303" s="165" t="n"/>
    </row>
    <row r="304">
      <c r="A304" s="165" t="inlineStr">
        <is>
          <t>Bus/Shuttle Service</t>
        </is>
      </c>
      <c r="B304" s="165" t="inlineStr">
        <is>
          <t>Auto Expense</t>
        </is>
      </c>
      <c r="C304" s="165" t="inlineStr">
        <is>
          <t>Non-Labor</t>
        </is>
      </c>
      <c r="D304" s="165" t="inlineStr">
        <is>
          <t>-</t>
        </is>
      </c>
      <c r="E304" s="165" t="n"/>
    </row>
    <row r="305">
      <c r="A305" s="165" t="inlineStr">
        <is>
          <t>Cleaning</t>
        </is>
      </c>
      <c r="B305" s="165" t="inlineStr">
        <is>
          <t>HK &amp; laundry supplies</t>
        </is>
      </c>
      <c r="C305" s="165" t="inlineStr">
        <is>
          <t>Non-Labor</t>
        </is>
      </c>
      <c r="D305" s="165" t="inlineStr">
        <is>
          <t>-</t>
        </is>
      </c>
      <c r="E305" s="165" t="n"/>
    </row>
    <row r="306">
      <c r="A306" s="165" t="inlineStr">
        <is>
          <t>Grounds and Landscaping</t>
        </is>
      </c>
      <c r="B306" s="165" t="inlineStr">
        <is>
          <t>R&amp;M variable</t>
        </is>
      </c>
      <c r="C306" s="165" t="inlineStr">
        <is>
          <t>Non-Labor</t>
        </is>
      </c>
      <c r="D306" s="165" t="inlineStr">
        <is>
          <t>-</t>
        </is>
      </c>
      <c r="E306" s="165" t="n"/>
    </row>
    <row r="307">
      <c r="A307" s="165" t="inlineStr">
        <is>
          <t>Janitorial</t>
        </is>
      </c>
      <c r="B307" s="165" t="inlineStr">
        <is>
          <t>HK &amp; laundry supplies</t>
        </is>
      </c>
      <c r="C307" s="165" t="inlineStr">
        <is>
          <t>Non-Labor</t>
        </is>
      </c>
      <c r="D307" s="165" t="inlineStr">
        <is>
          <t>-</t>
        </is>
      </c>
      <c r="E307" s="165" t="n"/>
    </row>
    <row r="308">
      <c r="A308" s="165" t="inlineStr">
        <is>
          <t>Trash Removal</t>
        </is>
      </c>
      <c r="B308" s="165" t="inlineStr">
        <is>
          <t>Utilities</t>
        </is>
      </c>
      <c r="C308" s="165" t="inlineStr">
        <is>
          <t>Non-Labor</t>
        </is>
      </c>
      <c r="D308" s="165" t="inlineStr">
        <is>
          <t>-</t>
        </is>
      </c>
      <c r="E308" s="165" t="n"/>
    </row>
    <row r="309">
      <c r="A309" s="165" t="inlineStr">
        <is>
          <t>Blinds &amp; Drapes</t>
        </is>
      </c>
      <c r="B309" s="165" t="inlineStr">
        <is>
          <t>R&amp;M variable</t>
        </is>
      </c>
      <c r="C309" s="165" t="inlineStr">
        <is>
          <t>Non-Labor</t>
        </is>
      </c>
      <c r="D309" s="165" t="inlineStr">
        <is>
          <t>-</t>
        </is>
      </c>
      <c r="E309" s="165" t="n"/>
    </row>
    <row r="310">
      <c r="A310" s="165" t="inlineStr">
        <is>
          <t>Cable TV</t>
        </is>
      </c>
      <c r="B310" s="165" t="inlineStr">
        <is>
          <t>Telephone / IT</t>
        </is>
      </c>
      <c r="C310" s="165" t="inlineStr">
        <is>
          <t>Non-Labor</t>
        </is>
      </c>
      <c r="D310" s="165" t="inlineStr">
        <is>
          <t>-</t>
        </is>
      </c>
      <c r="E310" s="165" t="n"/>
    </row>
    <row r="311">
      <c r="A311" s="165" t="inlineStr">
        <is>
          <t>Electric - Common Area</t>
        </is>
      </c>
      <c r="B311" s="165" t="inlineStr">
        <is>
          <t>Utilities</t>
        </is>
      </c>
      <c r="C311" s="165" t="inlineStr">
        <is>
          <t>Non-Labor</t>
        </is>
      </c>
      <c r="D311" s="165" t="inlineStr">
        <is>
          <t>-</t>
        </is>
      </c>
      <c r="E311" s="165" t="n"/>
    </row>
    <row r="312">
      <c r="A312" s="165" t="inlineStr">
        <is>
          <t>Internet Service</t>
        </is>
      </c>
      <c r="B312" s="165" t="inlineStr">
        <is>
          <t>Telephone / IT</t>
        </is>
      </c>
      <c r="C312" s="165" t="inlineStr">
        <is>
          <t>Non-Labor</t>
        </is>
      </c>
      <c r="D312" s="165" t="inlineStr">
        <is>
          <t>-</t>
        </is>
      </c>
      <c r="E312" s="165" t="n"/>
    </row>
    <row r="313">
      <c r="A313" s="165" t="inlineStr">
        <is>
          <t>Automobile Insurance</t>
        </is>
      </c>
      <c r="B313" s="165" t="inlineStr">
        <is>
          <t>Auto insurance</t>
        </is>
      </c>
      <c r="C313" s="165" t="inlineStr">
        <is>
          <t>Non-Labor</t>
        </is>
      </c>
      <c r="D313" s="165" t="inlineStr">
        <is>
          <t>-</t>
        </is>
      </c>
      <c r="E313" s="165" t="n"/>
    </row>
    <row r="314">
      <c r="A314" s="165" t="inlineStr">
        <is>
          <t>General Liability</t>
        </is>
      </c>
      <c r="B314" s="165" t="inlineStr">
        <is>
          <t>P&amp;C insurance (bundled)</t>
        </is>
      </c>
      <c r="C314" s="165" t="inlineStr">
        <is>
          <t>Non-Labor</t>
        </is>
      </c>
      <c r="D314" s="165" t="inlineStr">
        <is>
          <t>-</t>
        </is>
      </c>
      <c r="E314" s="165" t="n"/>
    </row>
    <row r="315">
      <c r="A315" s="165" t="inlineStr">
        <is>
          <t>Corporate Taxes</t>
        </is>
      </c>
      <c r="B315" s="165" t="inlineStr">
        <is>
          <t>Depreciation — EXCLUDED</t>
        </is>
      </c>
      <c r="C315" s="165" t="inlineStr">
        <is>
          <t>Excluded</t>
        </is>
      </c>
      <c r="D315" s="165" t="inlineStr">
        <is>
          <t>-</t>
        </is>
      </c>
      <c r="E315" s="165" t="n"/>
    </row>
    <row r="316">
      <c r="A316" t="inlineStr">
        <is>
          <t>Activities | Contract - Activities</t>
        </is>
      </c>
      <c r="B316" t="inlineStr">
        <is>
          <t>Contract / agency labor</t>
        </is>
      </c>
    </row>
    <row r="317">
      <c r="A317" t="inlineStr">
        <is>
          <t>Activities | Other</t>
        </is>
      </c>
      <c r="B317" t="inlineStr">
        <is>
          <t>Other / miscellaneous</t>
        </is>
      </c>
    </row>
    <row r="318">
      <c r="A318" t="inlineStr">
        <is>
          <t>Activities | Payroll - Holiday</t>
        </is>
      </c>
      <c r="B318" t="inlineStr">
        <is>
          <t>Overtime wages</t>
        </is>
      </c>
    </row>
    <row r="319">
      <c r="A319" t="inlineStr">
        <is>
          <t>Activities | Payroll - Overtime</t>
        </is>
      </c>
      <c r="B319" t="inlineStr">
        <is>
          <t>Overtime wages</t>
        </is>
      </c>
    </row>
    <row r="320">
      <c r="A320" t="inlineStr">
        <is>
          <t>Activities | Payroll - PTO</t>
        </is>
      </c>
      <c r="B320" t="inlineStr">
        <is>
          <t>PTO wages</t>
        </is>
      </c>
    </row>
    <row r="321">
      <c r="A321" t="inlineStr">
        <is>
          <t>Activities | Payroll - Wages</t>
        </is>
      </c>
      <c r="B321" t="inlineStr">
        <is>
          <t>Activities labor</t>
        </is>
      </c>
    </row>
    <row r="322">
      <c r="A322" t="inlineStr">
        <is>
          <t>Activities | Supplies - Activities</t>
        </is>
      </c>
      <c r="B322" t="inlineStr">
        <is>
          <t>Recreation &amp; activity suppl.</t>
        </is>
      </c>
    </row>
    <row r="323">
      <c r="A323" t="inlineStr">
        <is>
          <t>Care Level Revenue | Assisted Living</t>
        </is>
      </c>
      <c r="B323" t="inlineStr">
        <is>
          <t>LOC revenue — AL</t>
        </is>
      </c>
    </row>
    <row r="324">
      <c r="A324" t="inlineStr">
        <is>
          <t>Dietary | Other</t>
        </is>
      </c>
      <c r="B324" t="inlineStr">
        <is>
          <t>Other / miscellaneous</t>
        </is>
      </c>
    </row>
    <row r="325">
      <c r="A325" t="inlineStr">
        <is>
          <t>Dietary | Payroll - Holiday</t>
        </is>
      </c>
      <c r="B325" t="inlineStr">
        <is>
          <t>Overtime wages</t>
        </is>
      </c>
    </row>
    <row r="326">
      <c r="A326" t="inlineStr">
        <is>
          <t>Dietary | Payroll - Overtime</t>
        </is>
      </c>
      <c r="B326" t="inlineStr">
        <is>
          <t>Overtime wages</t>
        </is>
      </c>
    </row>
    <row r="327">
      <c r="A327" t="inlineStr">
        <is>
          <t>Dietary | Payroll - PTO</t>
        </is>
      </c>
      <c r="B327" t="inlineStr">
        <is>
          <t>PTO wages</t>
        </is>
      </c>
    </row>
    <row r="328">
      <c r="A328" t="inlineStr">
        <is>
          <t>Dietary | Payroll - Wages</t>
        </is>
      </c>
      <c r="B328" t="inlineStr">
        <is>
          <t>Dining / food service labor</t>
        </is>
      </c>
    </row>
    <row r="329">
      <c r="A329" t="inlineStr">
        <is>
          <t>Dietary | Raw Food</t>
        </is>
      </c>
      <c r="B329" t="inlineStr">
        <is>
          <t>Food cost</t>
        </is>
      </c>
    </row>
    <row r="330">
      <c r="A330" t="inlineStr">
        <is>
          <t>Dietary | Supplies</t>
        </is>
      </c>
      <c r="B330" t="inlineStr">
        <is>
          <t>Dining &amp; kitchen supplies</t>
        </is>
      </c>
    </row>
    <row r="331">
      <c r="A331" t="inlineStr">
        <is>
          <t>Direct Care | Equipment - Rentals</t>
        </is>
      </c>
      <c r="B331" t="inlineStr">
        <is>
          <t>R&amp;M variable</t>
        </is>
      </c>
    </row>
    <row r="332">
      <c r="A332" t="inlineStr">
        <is>
          <t>Direct Care | Nursing Supplies - General</t>
        </is>
      </c>
      <c r="B332" t="inlineStr">
        <is>
          <t>Nursing &amp; care supplies</t>
        </is>
      </c>
    </row>
    <row r="333">
      <c r="A333" t="inlineStr">
        <is>
          <t>Direct Care | Other</t>
        </is>
      </c>
      <c r="B333" t="inlineStr">
        <is>
          <t>Other / miscellaneous</t>
        </is>
      </c>
    </row>
    <row r="334">
      <c r="A334" t="inlineStr">
        <is>
          <t>Direct Care | Payroll - Holiday</t>
        </is>
      </c>
      <c r="B334" t="inlineStr">
        <is>
          <t>Overtime wages</t>
        </is>
      </c>
    </row>
    <row r="335">
      <c r="A335" t="inlineStr">
        <is>
          <t>Direct Care | Payroll - Overtime</t>
        </is>
      </c>
      <c r="B335" t="inlineStr">
        <is>
          <t>Overtime wages</t>
        </is>
      </c>
    </row>
    <row r="336">
      <c r="A336" t="inlineStr">
        <is>
          <t>Direct Care | Payroll - PTO</t>
        </is>
      </c>
      <c r="B336" t="inlineStr">
        <is>
          <t>PTO wages</t>
        </is>
      </c>
    </row>
    <row r="337">
      <c r="A337" t="inlineStr">
        <is>
          <t>Direct Care | Payroll - Wages</t>
        </is>
      </c>
      <c r="B337" t="inlineStr">
        <is>
          <t>Care staff labor</t>
        </is>
      </c>
    </row>
    <row r="338">
      <c r="A338" t="inlineStr">
        <is>
          <t>Employee Benefits | Bonus Program (403b replace)</t>
        </is>
      </c>
      <c r="B338" t="inlineStr">
        <is>
          <t>Employee 401(k)</t>
        </is>
      </c>
    </row>
    <row r="339">
      <c r="A339" t="inlineStr">
        <is>
          <t>Employee Benefits | Health Insurance</t>
        </is>
      </c>
      <c r="B339" t="inlineStr">
        <is>
          <t>Employee benefits</t>
        </is>
      </c>
    </row>
    <row r="340">
      <c r="A340" t="inlineStr">
        <is>
          <t>Employee Benefits | Other</t>
        </is>
      </c>
      <c r="B340" t="inlineStr">
        <is>
          <t>Other / miscellaneous</t>
        </is>
      </c>
    </row>
    <row r="341">
      <c r="A341" t="inlineStr">
        <is>
          <t>Employee Benefits | Payroll Taxes</t>
        </is>
      </c>
      <c r="B341" t="inlineStr">
        <is>
          <t>Payroll taxes</t>
        </is>
      </c>
    </row>
    <row r="342">
      <c r="A342" t="inlineStr">
        <is>
          <t>Employee Benefits | Training &amp; Orientation</t>
        </is>
      </c>
      <c r="B342" t="inlineStr">
        <is>
          <t>Office, admin &amp; G&amp;A</t>
        </is>
      </c>
    </row>
    <row r="343">
      <c r="A343" t="inlineStr">
        <is>
          <t>Employee Benefits | Workers Compensation</t>
        </is>
      </c>
      <c r="B343" t="inlineStr">
        <is>
          <t>Workers' comp insurance</t>
        </is>
      </c>
    </row>
    <row r="344">
      <c r="A344" t="inlineStr">
        <is>
          <t>General &amp; Administrative | Bank Fees</t>
        </is>
      </c>
      <c r="B344" t="inlineStr">
        <is>
          <t>Office, admin &amp; G&amp;A</t>
        </is>
      </c>
    </row>
    <row r="345">
      <c r="A345" t="inlineStr">
        <is>
          <t>General &amp; Administrative | Data Processing</t>
        </is>
      </c>
      <c r="B345" t="inlineStr">
        <is>
          <t>Office, admin &amp; G&amp;A</t>
        </is>
      </c>
    </row>
    <row r="346">
      <c r="A346" t="inlineStr">
        <is>
          <t>General &amp; Administrative | Dues &amp; Subscriptions</t>
        </is>
      </c>
      <c r="B346" t="inlineStr">
        <is>
          <t>Permits, licenses &amp; dues</t>
        </is>
      </c>
    </row>
    <row r="347">
      <c r="A347" t="inlineStr">
        <is>
          <t>General &amp; Administrative | Fines &amp; Penalties</t>
        </is>
      </c>
      <c r="B347" t="inlineStr">
        <is>
          <t>Office, admin &amp; G&amp;A</t>
        </is>
      </c>
    </row>
    <row r="348">
      <c r="A348" t="inlineStr">
        <is>
          <t>General &amp; Administrative | IT &amp; Computers</t>
        </is>
      </c>
      <c r="B348" t="inlineStr">
        <is>
          <t>Telephone / IT</t>
        </is>
      </c>
    </row>
    <row r="349">
      <c r="A349" t="inlineStr">
        <is>
          <t>General &amp; Administrative | Licenses &amp; Permits</t>
        </is>
      </c>
      <c r="B349" t="inlineStr">
        <is>
          <t>Permits, licenses &amp; dues</t>
        </is>
      </c>
    </row>
    <row r="350">
      <c r="A350" t="inlineStr">
        <is>
          <t>General &amp; Administrative | Motor Vehicles</t>
        </is>
      </c>
      <c r="B350" t="inlineStr">
        <is>
          <t>Auto Expense</t>
        </is>
      </c>
    </row>
    <row r="351">
      <c r="A351" t="inlineStr">
        <is>
          <t>General &amp; Administrative | Office Equipment</t>
        </is>
      </c>
      <c r="B351" t="inlineStr">
        <is>
          <t>Office, admin &amp; G&amp;A</t>
        </is>
      </c>
    </row>
    <row r="352">
      <c r="A352" t="inlineStr">
        <is>
          <t>General &amp; Administrative | Office Supplies</t>
        </is>
      </c>
      <c r="B352" t="inlineStr">
        <is>
          <t>Office, admin &amp; G&amp;A</t>
        </is>
      </c>
    </row>
    <row r="353">
      <c r="A353" t="inlineStr">
        <is>
          <t>General &amp; Administrative | Office Telecom</t>
        </is>
      </c>
      <c r="B353" t="inlineStr">
        <is>
          <t>Telephone / IT</t>
        </is>
      </c>
    </row>
    <row r="354">
      <c r="A354" t="inlineStr">
        <is>
          <t>General &amp; Administrative | Other</t>
        </is>
      </c>
      <c r="B354" t="inlineStr">
        <is>
          <t>Other / miscellaneous</t>
        </is>
      </c>
    </row>
    <row r="355">
      <c r="A355" t="inlineStr">
        <is>
          <t>General &amp; Administrative | Payroll - Bonus</t>
        </is>
      </c>
      <c r="B355" t="inlineStr">
        <is>
          <t>Bonus wages</t>
        </is>
      </c>
    </row>
    <row r="356">
      <c r="A356" t="inlineStr">
        <is>
          <t>General &amp; Administrative | Payroll - Overtime</t>
        </is>
      </c>
      <c r="B356" t="inlineStr">
        <is>
          <t>Overtime wages</t>
        </is>
      </c>
    </row>
    <row r="357">
      <c r="A357" t="inlineStr">
        <is>
          <t>General &amp; Administrative | Payroll - PTO</t>
        </is>
      </c>
      <c r="B357" t="inlineStr">
        <is>
          <t>PTO wages</t>
        </is>
      </c>
    </row>
    <row r="358">
      <c r="A358" t="inlineStr">
        <is>
          <t>General &amp; Administrative | Payroll - Wages</t>
        </is>
      </c>
      <c r="B358" t="inlineStr">
        <is>
          <t>Administrative labor</t>
        </is>
      </c>
    </row>
    <row r="359">
      <c r="A359" t="inlineStr">
        <is>
          <t>General &amp; Administrative | Postage</t>
        </is>
      </c>
      <c r="B359" t="inlineStr">
        <is>
          <t>Office, admin &amp; G&amp;A</t>
        </is>
      </c>
    </row>
    <row r="360">
      <c r="A360" t="inlineStr">
        <is>
          <t>General &amp; Administrative | Professional Fees - Legal</t>
        </is>
      </c>
      <c r="B360" t="inlineStr">
        <is>
          <t>Legal expenses</t>
        </is>
      </c>
    </row>
    <row r="361">
      <c r="A361" t="inlineStr">
        <is>
          <t>General &amp; Administrative | Recruiting/Hiring Costs</t>
        </is>
      </c>
      <c r="B361" t="inlineStr">
        <is>
          <t>Office, admin &amp; G&amp;A</t>
        </is>
      </c>
    </row>
    <row r="362">
      <c r="A362" t="inlineStr">
        <is>
          <t>General &amp; Administrative | Travel &amp; Meals</t>
        </is>
      </c>
      <c r="B362" t="inlineStr">
        <is>
          <t>Office, admin &amp; G&amp;A</t>
        </is>
      </c>
    </row>
    <row r="363">
      <c r="A363" t="inlineStr">
        <is>
          <t>Housekeeping &amp; Laundry | Payroll - Holiday</t>
        </is>
      </c>
      <c r="B363" t="inlineStr">
        <is>
          <t>Overtime wages</t>
        </is>
      </c>
    </row>
    <row r="364">
      <c r="A364" t="inlineStr">
        <is>
          <t>Housekeeping &amp; Laundry | Payroll - Overtime</t>
        </is>
      </c>
      <c r="B364" t="inlineStr">
        <is>
          <t>Overtime wages</t>
        </is>
      </c>
    </row>
    <row r="365">
      <c r="A365" t="inlineStr">
        <is>
          <t>Housekeeping &amp; Laundry | Payroll - PTO</t>
        </is>
      </c>
      <c r="B365" t="inlineStr">
        <is>
          <t>PTO wages</t>
        </is>
      </c>
    </row>
    <row r="366">
      <c r="A366" t="inlineStr">
        <is>
          <t>Housekeeping &amp; Laundry | Payroll - Wages</t>
        </is>
      </c>
      <c r="B366" t="inlineStr">
        <is>
          <t>Maint. &amp; housekeeping labor</t>
        </is>
      </c>
    </row>
    <row r="367">
      <c r="A367" t="inlineStr">
        <is>
          <t>Housekeeping &amp; Laundry | Supplies</t>
        </is>
      </c>
      <c r="B367" t="inlineStr">
        <is>
          <t>HK &amp; laundry supplies</t>
        </is>
      </c>
    </row>
    <row r="368">
      <c r="A368" t="inlineStr">
        <is>
          <t>Maintenance | Equipment</t>
        </is>
      </c>
      <c r="B368" t="inlineStr">
        <is>
          <t>R&amp;M variable</t>
        </is>
      </c>
    </row>
    <row r="369">
      <c r="A369" t="inlineStr">
        <is>
          <t>Maintenance | Extermination</t>
        </is>
      </c>
      <c r="B369" t="inlineStr">
        <is>
          <t>Pest elimination</t>
        </is>
      </c>
    </row>
    <row r="370">
      <c r="A370" t="inlineStr">
        <is>
          <t>Maintenance | Landscaping</t>
        </is>
      </c>
      <c r="B370" t="inlineStr">
        <is>
          <t>R&amp;M variable</t>
        </is>
      </c>
    </row>
    <row r="371">
      <c r="A371" t="inlineStr">
        <is>
          <t>Maintenance | Payroll - Holiday</t>
        </is>
      </c>
      <c r="B371" t="inlineStr">
        <is>
          <t>Overtime wages</t>
        </is>
      </c>
    </row>
    <row r="372">
      <c r="A372" t="inlineStr">
        <is>
          <t>Maintenance | Payroll - Overtime</t>
        </is>
      </c>
      <c r="B372" t="inlineStr">
        <is>
          <t>Overtime wages</t>
        </is>
      </c>
    </row>
    <row r="373">
      <c r="A373" t="inlineStr">
        <is>
          <t>Maintenance | Payroll - PTO</t>
        </is>
      </c>
      <c r="B373" t="inlineStr">
        <is>
          <t>PTO wages</t>
        </is>
      </c>
    </row>
    <row r="374">
      <c r="A374" t="inlineStr">
        <is>
          <t>Maintenance | Payroll - Wages</t>
        </is>
      </c>
      <c r="B374" t="inlineStr">
        <is>
          <t>Maint. &amp; housekeeping labor</t>
        </is>
      </c>
    </row>
    <row r="375">
      <c r="A375" t="inlineStr">
        <is>
          <t>Maintenance | R&amp;M - Contract Service</t>
        </is>
      </c>
      <c r="B375" t="inlineStr">
        <is>
          <t>R&amp;M fixed</t>
        </is>
      </c>
    </row>
    <row r="376">
      <c r="A376" t="inlineStr">
        <is>
          <t>Maintenance | R&amp;M - General/Other</t>
        </is>
      </c>
      <c r="B376" t="inlineStr">
        <is>
          <t>R&amp;M variable</t>
        </is>
      </c>
    </row>
    <row r="377">
      <c r="A377" t="inlineStr">
        <is>
          <t>Maintenance | R&amp;M - Supplies</t>
        </is>
      </c>
      <c r="B377" t="inlineStr">
        <is>
          <t>R&amp;M variable</t>
        </is>
      </c>
    </row>
    <row r="378">
      <c r="A378" t="inlineStr">
        <is>
          <t>Maintenance | Trash Removal</t>
        </is>
      </c>
      <c r="B378" t="inlineStr">
        <is>
          <t>Utilities</t>
        </is>
      </c>
    </row>
    <row r="379">
      <c r="A379" t="inlineStr">
        <is>
          <t>Management Fee &amp; Bad Debt | Bad Debt</t>
        </is>
      </c>
      <c r="B379" t="inlineStr">
        <is>
          <t>Bad debt expense</t>
        </is>
      </c>
    </row>
    <row r="380">
      <c r="A380" t="inlineStr">
        <is>
          <t>Management Fee &amp; Bad Debt | Management Fee</t>
        </is>
      </c>
      <c r="B380" t="inlineStr">
        <is>
          <t>Management fee</t>
        </is>
      </c>
    </row>
    <row r="381">
      <c r="A381" t="inlineStr">
        <is>
          <t>Marketing | Advertising</t>
        </is>
      </c>
      <c r="B381" t="inlineStr">
        <is>
          <t>Sales, adv. &amp; marketing</t>
        </is>
      </c>
    </row>
    <row r="382">
      <c r="A382" t="inlineStr">
        <is>
          <t>Marketing | Executive Spend</t>
        </is>
      </c>
      <c r="B382" t="inlineStr">
        <is>
          <t>Sales, adv. &amp; marketing</t>
        </is>
      </c>
    </row>
    <row r="383">
      <c r="A383" t="inlineStr">
        <is>
          <t>Marketing | Marketing Events</t>
        </is>
      </c>
      <c r="B383" t="inlineStr">
        <is>
          <t>Sales, adv. &amp; marketing</t>
        </is>
      </c>
    </row>
    <row r="384">
      <c r="A384" t="inlineStr">
        <is>
          <t>Marketing | Marketing Supplies</t>
        </is>
      </c>
      <c r="B384" t="inlineStr">
        <is>
          <t>Sales, adv. &amp; marketing</t>
        </is>
      </c>
    </row>
    <row r="385">
      <c r="A385" t="inlineStr">
        <is>
          <t>Marketing | Other</t>
        </is>
      </c>
      <c r="B385" t="inlineStr">
        <is>
          <t>Other / miscellaneous</t>
        </is>
      </c>
    </row>
    <row r="386">
      <c r="A386" t="inlineStr">
        <is>
          <t>Marketing | Payroll - Bonus</t>
        </is>
      </c>
      <c r="B386" t="inlineStr">
        <is>
          <t>Bonus wages</t>
        </is>
      </c>
    </row>
    <row r="387">
      <c r="A387" t="inlineStr">
        <is>
          <t>Marketing | Payroll - Wages</t>
        </is>
      </c>
      <c r="B387" t="inlineStr">
        <is>
          <t>Administrative labor</t>
        </is>
      </c>
    </row>
    <row r="388">
      <c r="A388" t="inlineStr">
        <is>
          <t>Marketing | Referral Fees</t>
        </is>
      </c>
      <c r="B388" t="inlineStr">
        <is>
          <t>Referral fees</t>
        </is>
      </c>
    </row>
    <row r="389">
      <c r="A389" t="inlineStr">
        <is>
          <t>Nursing Administration | Payroll - Bonus</t>
        </is>
      </c>
      <c r="B389" t="inlineStr">
        <is>
          <t>Bonus wages</t>
        </is>
      </c>
    </row>
    <row r="390">
      <c r="A390" t="inlineStr">
        <is>
          <t>Nursing Administration | Payroll - Holiday</t>
        </is>
      </c>
      <c r="B390" t="inlineStr">
        <is>
          <t>Overtime wages</t>
        </is>
      </c>
    </row>
    <row r="391">
      <c r="A391" t="inlineStr">
        <is>
          <t>Nursing Administration | Payroll - Overtime</t>
        </is>
      </c>
      <c r="B391" t="inlineStr">
        <is>
          <t>Overtime wages</t>
        </is>
      </c>
    </row>
    <row r="392">
      <c r="A392" t="inlineStr">
        <is>
          <t>Nursing Administration | Payroll - PTO</t>
        </is>
      </c>
      <c r="B392" t="inlineStr">
        <is>
          <t>PTO wages</t>
        </is>
      </c>
    </row>
    <row r="393">
      <c r="A393" t="inlineStr">
        <is>
          <t>Nursing Administration | Payroll - Wages</t>
        </is>
      </c>
      <c r="B393" t="inlineStr">
        <is>
          <t>Wellness / care coordinators</t>
        </is>
      </c>
    </row>
    <row r="394">
      <c r="A394" t="inlineStr">
        <is>
          <t>Other Income</t>
        </is>
      </c>
      <c r="B394" t="inlineStr">
        <is>
          <t>Other community revenue</t>
        </is>
      </c>
    </row>
    <row r="395">
      <c r="A395" t="inlineStr">
        <is>
          <t>Pharmacy | Contract Service - Pharmacy</t>
        </is>
      </c>
      <c r="B395" t="inlineStr">
        <is>
          <t>Nursing &amp; care supplies</t>
        </is>
      </c>
    </row>
    <row r="396">
      <c r="A396" t="inlineStr">
        <is>
          <t>Respite Revenue</t>
        </is>
      </c>
      <c r="B396" t="inlineStr">
        <is>
          <t>Respite care</t>
        </is>
      </c>
    </row>
    <row r="397">
      <c r="A397" t="inlineStr">
        <is>
          <t>Room &amp; Board Revenue | Assisted Living</t>
        </is>
      </c>
      <c r="B397" t="inlineStr">
        <is>
          <t>Base rent — AL</t>
        </is>
      </c>
    </row>
    <row r="398">
      <c r="A398" t="inlineStr">
        <is>
          <t>Room &amp; Board Revenue | Independent Living</t>
        </is>
      </c>
      <c r="B398" t="inlineStr">
        <is>
          <t>Base rent — IL</t>
        </is>
      </c>
    </row>
    <row r="399">
      <c r="A399" t="inlineStr">
        <is>
          <t>Room &amp; Board Revenue | Memory Care</t>
        </is>
      </c>
      <c r="B399" t="inlineStr">
        <is>
          <t>Base rent — MC</t>
        </is>
      </c>
    </row>
    <row r="400">
      <c r="A400" t="inlineStr">
        <is>
          <t>Second Persons Revenue | Assisted Living</t>
        </is>
      </c>
      <c r="B400" t="inlineStr">
        <is>
          <t>Base rent — AL</t>
        </is>
      </c>
    </row>
    <row r="401">
      <c r="A401" t="inlineStr">
        <is>
          <t>Second Persons Revenue | Independent Living</t>
        </is>
      </c>
      <c r="B401" t="inlineStr">
        <is>
          <t>Base rent — IL</t>
        </is>
      </c>
    </row>
    <row r="402">
      <c r="A402" t="inlineStr">
        <is>
          <t>Second Persons Revenue | Memory Care</t>
        </is>
      </c>
      <c r="B402" t="inlineStr">
        <is>
          <t>Base rent — MC</t>
        </is>
      </c>
    </row>
    <row r="403">
      <c r="A403" t="inlineStr">
        <is>
          <t>Taxes &amp; Insurance | Insurance - GLPL</t>
        </is>
      </c>
      <c r="B403" t="inlineStr">
        <is>
          <t>P&amp;C insurance (bundled)</t>
        </is>
      </c>
    </row>
    <row r="404">
      <c r="A404" t="inlineStr">
        <is>
          <t>Taxes &amp; Insurance | Insurance - Other</t>
        </is>
      </c>
      <c r="B404" t="inlineStr">
        <is>
          <t>P&amp;C insurance (bundled)</t>
        </is>
      </c>
    </row>
    <row r="405">
      <c r="A405" t="inlineStr">
        <is>
          <t>Taxes &amp; Insurance | Insurance - Property</t>
        </is>
      </c>
      <c r="B405" t="inlineStr">
        <is>
          <t>P&amp;C insurance (bundled)</t>
        </is>
      </c>
    </row>
    <row r="406">
      <c r="A406" t="inlineStr">
        <is>
          <t>Taxes &amp; Insurance | Tax - Personal Property</t>
        </is>
      </c>
      <c r="B406" t="inlineStr">
        <is>
          <t>Personal property taxes</t>
        </is>
      </c>
    </row>
    <row r="407">
      <c r="A407" t="inlineStr">
        <is>
          <t>Taxes &amp; Insurance | Tax - Real Property</t>
        </is>
      </c>
      <c r="B407" t="inlineStr">
        <is>
          <t>Real estate taxes</t>
        </is>
      </c>
    </row>
    <row r="408">
      <c r="A408" t="inlineStr">
        <is>
          <t>Taxes &amp; Insurance | Tax - Sales &amp; Use</t>
        </is>
      </c>
      <c r="B408" t="inlineStr">
        <is>
          <t>Office, admin &amp; G&amp;A</t>
        </is>
      </c>
    </row>
    <row r="409">
      <c r="A409" t="inlineStr">
        <is>
          <t>Utilities | Cable TV</t>
        </is>
      </c>
      <c r="B409" t="inlineStr">
        <is>
          <t>Telephone / IT</t>
        </is>
      </c>
    </row>
    <row r="410">
      <c r="A410" t="inlineStr">
        <is>
          <t>Utilities | Electric</t>
        </is>
      </c>
      <c r="B410" t="inlineStr">
        <is>
          <t>Utilities</t>
        </is>
      </c>
    </row>
    <row r="411">
      <c r="A411" t="inlineStr">
        <is>
          <t>Utilities | Gas</t>
        </is>
      </c>
      <c r="B411" t="inlineStr">
        <is>
          <t>Utilities</t>
        </is>
      </c>
    </row>
    <row r="412">
      <c r="A412" t="inlineStr">
        <is>
          <t>Utilities | Internet</t>
        </is>
      </c>
      <c r="B412" t="inlineStr">
        <is>
          <t>Telephone / IT</t>
        </is>
      </c>
    </row>
    <row r="413">
      <c r="A413" t="inlineStr">
        <is>
          <t>Utilities | Telephone</t>
        </is>
      </c>
      <c r="B413" t="inlineStr">
        <is>
          <t>Telephone / IT</t>
        </is>
      </c>
    </row>
    <row r="414">
      <c r="A414" t="inlineStr">
        <is>
          <t>Utilities | Water &amp; Sewer</t>
        </is>
      </c>
      <c r="B414" t="inlineStr">
        <is>
          <t>Utilities</t>
        </is>
      </c>
    </row>
    <row r="415">
      <c r="A415" s="165" t="inlineStr">
        <is>
          <t>Meal Income</t>
        </is>
      </c>
      <c r="B415" s="165" t="inlineStr">
        <is>
          <t>Meal Income</t>
        </is>
      </c>
      <c r="C415" s="165" t="n"/>
      <c r="D415" s="165" t="n"/>
      <c r="E415" s="165" t="n"/>
    </row>
    <row r="416">
      <c r="A416" s="165" t="inlineStr">
        <is>
          <t>Meal Plan Revenue</t>
        </is>
      </c>
      <c r="B416" s="165" t="inlineStr">
        <is>
          <t>Meal Income</t>
        </is>
      </c>
      <c r="C416" s="165" t="n"/>
      <c r="D416" s="165" t="n"/>
      <c r="E416" s="165" t="n"/>
    </row>
    <row r="417">
      <c r="A417" s="165" t="inlineStr">
        <is>
          <t>Meal Plan Income</t>
        </is>
      </c>
      <c r="B417" s="165" t="inlineStr">
        <is>
          <t>Meal Income</t>
        </is>
      </c>
      <c r="C417" s="165" t="n"/>
      <c r="D417" s="165" t="n"/>
      <c r="E417" s="165" t="n"/>
    </row>
    <row r="418">
      <c r="A418" s="165" t="inlineStr">
        <is>
          <t>Dining Revenue</t>
        </is>
      </c>
      <c r="B418" s="165" t="inlineStr">
        <is>
          <t>Meal Income</t>
        </is>
      </c>
      <c r="C418" s="165" t="n"/>
      <c r="D418" s="165" t="n"/>
      <c r="E418" s="165" t="n"/>
    </row>
    <row r="419">
      <c r="A419" s="165" t="inlineStr">
        <is>
          <t>Housekeeping Income</t>
        </is>
      </c>
      <c r="B419" s="165" t="inlineStr">
        <is>
          <t>Housekeeping Income</t>
        </is>
      </c>
      <c r="C419" s="165" t="n"/>
      <c r="D419" s="165" t="n"/>
      <c r="E419" s="165" t="n"/>
    </row>
    <row r="420">
      <c r="A420" s="165" t="inlineStr">
        <is>
          <t>Housekeeping Revenue</t>
        </is>
      </c>
      <c r="B420" s="165" t="inlineStr">
        <is>
          <t>Housekeeping Income</t>
        </is>
      </c>
      <c r="C420" s="165" t="n"/>
      <c r="D420" s="165" t="n"/>
      <c r="E420" s="165" t="n"/>
    </row>
    <row r="421">
      <c r="A421" s="165" t="inlineStr">
        <is>
          <t>H/K Income</t>
        </is>
      </c>
      <c r="B421" s="165" t="inlineStr">
        <is>
          <t>Housekeeping Income</t>
        </is>
      </c>
      <c r="C421" s="165" t="n"/>
      <c r="D421" s="165" t="n"/>
      <c r="E421" s="165" t="n"/>
    </row>
    <row r="422">
      <c r="A422" s="165" t="inlineStr">
        <is>
          <t>Laundry Income</t>
        </is>
      </c>
      <c r="B422" s="165" t="inlineStr">
        <is>
          <t>Laundry Income</t>
        </is>
      </c>
      <c r="C422" s="165" t="n"/>
      <c r="D422" s="165" t="n"/>
      <c r="E422" s="165" t="n"/>
    </row>
    <row r="423">
      <c r="A423" s="165" t="inlineStr">
        <is>
          <t>Laundry Revenue</t>
        </is>
      </c>
      <c r="B423" s="165" t="inlineStr">
        <is>
          <t>Laundry Income</t>
        </is>
      </c>
      <c r="C423" s="165" t="n"/>
      <c r="D423" s="165" t="n"/>
      <c r="E423" s="165" t="n"/>
    </row>
    <row r="424">
      <c r="A424" s="165" t="inlineStr">
        <is>
          <t>Scooter Fee</t>
        </is>
      </c>
      <c r="B424" s="165" t="inlineStr">
        <is>
          <t>Scooter Fee Revenue</t>
        </is>
      </c>
      <c r="C424" s="165" t="n"/>
      <c r="D424" s="165" t="n"/>
      <c r="E424" s="165" t="n"/>
    </row>
    <row r="425">
      <c r="A425" s="165" t="inlineStr">
        <is>
          <t>Motorized Scooter Fee</t>
        </is>
      </c>
      <c r="B425" s="165" t="inlineStr">
        <is>
          <t>Scooter Fee Revenue</t>
        </is>
      </c>
      <c r="C425" s="165" t="n"/>
      <c r="D425" s="165" t="n"/>
      <c r="E425" s="165" t="n"/>
    </row>
    <row r="426">
      <c r="A426" s="165" t="inlineStr">
        <is>
          <t>Mobility Fee</t>
        </is>
      </c>
      <c r="B426" s="165" t="inlineStr">
        <is>
          <t>Scooter Fee Revenue</t>
        </is>
      </c>
      <c r="C426" s="165" t="n"/>
      <c r="D426" s="165" t="n"/>
      <c r="E426" s="165" t="n"/>
    </row>
    <row r="427">
      <c r="A427" s="165" t="inlineStr">
        <is>
          <t>Transfer Fee</t>
        </is>
      </c>
      <c r="B427" s="165" t="inlineStr">
        <is>
          <t>Transfer Fee Revenue</t>
        </is>
      </c>
      <c r="C427" s="165" t="n"/>
      <c r="D427" s="165" t="n"/>
      <c r="E427" s="165" t="n"/>
    </row>
    <row r="428">
      <c r="A428" s="165" t="inlineStr">
        <is>
          <t>Elective Transfer Fee</t>
        </is>
      </c>
      <c r="B428" s="165" t="inlineStr">
        <is>
          <t>Transfer Fee Revenue</t>
        </is>
      </c>
      <c r="C428" s="165" t="n"/>
      <c r="D428" s="165" t="n"/>
      <c r="E428" s="165" t="n"/>
    </row>
  </sheetData>
  <mergeCells count="2">
    <mergeCell ref="A2:E2"/>
    <mergeCell ref="A1:E1"/>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AZ13"/>
  <sheetViews>
    <sheetView zoomScaleNormal="100" workbookViewId="0">
      <selection activeCell="A1" sqref="A1"/>
    </sheetView>
  </sheetViews>
  <sheetFormatPr baseColWidth="8" defaultColWidth="8.7109375" defaultRowHeight="15"/>
  <cols>
    <col width="16" customWidth="1" style="199" min="1" max="1"/>
    <col width="24" customWidth="1" style="199" min="2" max="2"/>
  </cols>
  <sheetData>
    <row r="1" ht="15" customHeight="1" s="199">
      <c r="A1" s="168" t="inlineStr">
        <is>
          <t>Period Date</t>
        </is>
      </c>
      <c r="B1" s="168" t="inlineStr">
        <is>
          <t>Notes</t>
        </is>
      </c>
      <c r="AZ1" t="inlineStr">
        <is>
          <t>RR helper calculations</t>
        </is>
      </c>
    </row>
    <row r="2" ht="15.75" customHeight="1" s="199">
      <c r="A2" s="169">
        <f>IFERROR(minifs('Rent Roll Input'!$S$7:$S$606,'Rent Roll Input'!$S$7:$S$606,"&gt;"&amp;0),"")</f>
        <v/>
      </c>
      <c r="B2" s="170" t="inlineStr">
        <is>
          <t>Period 1</t>
        </is>
      </c>
      <c r="AZ2" t="inlineStr">
        <is>
          <t>reference</t>
        </is>
      </c>
    </row>
    <row r="3" ht="15.75" customHeight="1" s="199">
      <c r="A3" s="169">
        <f>IFERROR(minifs('Rent Roll Input'!$S$7:$S$606,'Rent Roll Input'!$S$7:$S$606,"&gt;"&amp;A2),"")</f>
        <v/>
      </c>
      <c r="B3" s="170" t="inlineStr">
        <is>
          <t>Period 2</t>
        </is>
      </c>
      <c r="AZ3" t="inlineStr">
        <is>
          <t>hidden</t>
        </is>
      </c>
    </row>
    <row r="4" ht="15.75" customHeight="1" s="199">
      <c r="A4" s="169">
        <f>IFERROR(minifs('Rent Roll Input'!$S$7:$S$606,'Rent Roll Input'!$S$7:$S$606,"&gt;"&amp;A3),"")</f>
        <v/>
      </c>
      <c r="B4" s="170" t="inlineStr">
        <is>
          <t>Period 3</t>
        </is>
      </c>
      <c r="AZ4" t="inlineStr">
        <is>
          <t>v0.2.7</t>
        </is>
      </c>
    </row>
    <row r="5" ht="15.75" customHeight="1" s="199">
      <c r="A5" s="169">
        <f>IFERROR(minifs('Rent Roll Input'!$S$7:$S$606,'Rent Roll Input'!$S$7:$S$606,"&gt;"&amp;A4),"")</f>
        <v/>
      </c>
      <c r="B5" s="170" t="inlineStr">
        <is>
          <t>Period 4</t>
        </is>
      </c>
    </row>
    <row r="6" ht="15.75" customHeight="1" s="199">
      <c r="A6" s="169">
        <f>IFERROR(minifs('Rent Roll Input'!$S$7:$S$606,'Rent Roll Input'!$S$7:$S$606,"&gt;"&amp;A5),"")</f>
        <v/>
      </c>
      <c r="B6" s="170" t="inlineStr">
        <is>
          <t>Period 5</t>
        </is>
      </c>
    </row>
    <row r="7" ht="15.75" customHeight="1" s="199">
      <c r="A7" s="169">
        <f>IFERROR(minifs('Rent Roll Input'!$S$7:$S$606,'Rent Roll Input'!$S$7:$S$606,"&gt;"&amp;A6),"")</f>
        <v/>
      </c>
      <c r="B7" s="170" t="inlineStr">
        <is>
          <t>Period 6</t>
        </is>
      </c>
    </row>
    <row r="8" ht="15.75" customHeight="1" s="199">
      <c r="A8" s="169">
        <f>IFERROR(minifs('Rent Roll Input'!$S$7:$S$606,'Rent Roll Input'!$S$7:$S$606,"&gt;"&amp;A7),"")</f>
        <v/>
      </c>
      <c r="B8" s="170" t="inlineStr">
        <is>
          <t>Period 7</t>
        </is>
      </c>
    </row>
    <row r="9" ht="15.75" customHeight="1" s="199">
      <c r="A9" s="169">
        <f>IFERROR(minifs('Rent Roll Input'!$S$7:$S$606,'Rent Roll Input'!$S$7:$S$606,"&gt;"&amp;A8),"")</f>
        <v/>
      </c>
      <c r="B9" s="170" t="inlineStr">
        <is>
          <t>Period 8</t>
        </is>
      </c>
    </row>
    <row r="10" ht="15.75" customHeight="1" s="199">
      <c r="A10" s="169">
        <f>IFERROR(minifs('Rent Roll Input'!$S$7:$S$606,'Rent Roll Input'!$S$7:$S$606,"&gt;"&amp;A9),"")</f>
        <v/>
      </c>
      <c r="B10" s="170" t="inlineStr">
        <is>
          <t>Period 9</t>
        </is>
      </c>
    </row>
    <row r="11" ht="15.75" customHeight="1" s="199">
      <c r="A11" s="169">
        <f>IFERROR(minifs('Rent Roll Input'!$S$7:$S$606,'Rent Roll Input'!$S$7:$S$606,"&gt;"&amp;A10),"")</f>
        <v/>
      </c>
      <c r="B11" s="170" t="inlineStr">
        <is>
          <t>Period 10</t>
        </is>
      </c>
    </row>
    <row r="12" ht="15.75" customHeight="1" s="199">
      <c r="A12" s="169">
        <f>IFERROR(minifs('Rent Roll Input'!$S$7:$S$606,'Rent Roll Input'!$S$7:$S$606,"&gt;"&amp;A11),"")</f>
        <v/>
      </c>
      <c r="B12" s="170" t="inlineStr">
        <is>
          <t>Period 11</t>
        </is>
      </c>
    </row>
    <row r="13" ht="15.75" customHeight="1" s="199">
      <c r="A13" s="169">
        <f>IFERROR(minifs('Rent Roll Input'!$S$7:$S$606,'Rent Roll Input'!$S$7:$S$606,"&gt;"&amp;A12),"")</f>
        <v/>
      </c>
      <c r="B13" s="170" t="inlineStr">
        <is>
          <t>Period 12</t>
        </is>
      </c>
    </row>
  </sheetData>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AZ500"/>
  <sheetViews>
    <sheetView zoomScaleNormal="100" workbookViewId="0">
      <selection activeCell="A1" sqref="A1"/>
    </sheetView>
  </sheetViews>
  <sheetFormatPr baseColWidth="8" defaultColWidth="8.7109375" defaultRowHeight="15"/>
  <sheetData>
    <row r="1" ht="15" customHeight="1" s="199">
      <c r="A1">
        <f>IFERROR(TRIM('T12 Input'!B12),)</f>
        <v/>
      </c>
      <c r="B1">
        <f>IFERROR(VALUE('T12 Input'!C12),0)</f>
        <v/>
      </c>
      <c r="C1">
        <f>IFERROR(VALUE('T12 Input'!D12),0)</f>
        <v/>
      </c>
      <c r="D1">
        <f>IFERROR(VALUE('T12 Input'!E12),0)</f>
        <v/>
      </c>
      <c r="E1">
        <f>IFERROR(VALUE('T12 Input'!F12),0)</f>
        <v/>
      </c>
      <c r="F1">
        <f>IFERROR(VALUE('T12 Input'!G12),0)</f>
        <v/>
      </c>
      <c r="G1">
        <f>IFERROR(VALUE('T12 Input'!H12),0)</f>
        <v/>
      </c>
      <c r="H1">
        <f>IFERROR(VALUE('T12 Input'!I12),0)</f>
        <v/>
      </c>
      <c r="I1">
        <f>IFERROR(VALUE('T12 Input'!J12),0)</f>
        <v/>
      </c>
      <c r="J1">
        <f>IFERROR(VALUE('T12 Input'!K12),0)</f>
        <v/>
      </c>
      <c r="K1">
        <f>IFERROR(VALUE('T12 Input'!L12),0)</f>
        <v/>
      </c>
      <c r="L1">
        <f>IFERROR(VALUE('T12 Input'!M12),0)</f>
        <v/>
      </c>
      <c r="M1">
        <f>IFERROR(VALUE('T12 Input'!N12),0)</f>
        <v/>
      </c>
      <c r="N1">
        <f>IFERROR(INDEX(DescMap_Label,MATCH(A1,DescMap_Description,0)),"")</f>
        <v/>
      </c>
      <c r="AZ1" t="inlineStr">
        <is>
          <t>T12 helper calculations</t>
        </is>
      </c>
    </row>
    <row r="2" ht="15" customHeight="1" s="199">
      <c r="A2">
        <f>IFERROR(TRIM('T12 Input'!B13),)</f>
        <v/>
      </c>
      <c r="B2">
        <f>IFERROR(VALUE('T12 Input'!C13),0)</f>
        <v/>
      </c>
      <c r="C2">
        <f>IFERROR(VALUE('T12 Input'!D13),0)</f>
        <v/>
      </c>
      <c r="D2">
        <f>IFERROR(VALUE('T12 Input'!E13),0)</f>
        <v/>
      </c>
      <c r="E2">
        <f>IFERROR(VALUE('T12 Input'!F13),0)</f>
        <v/>
      </c>
      <c r="F2">
        <f>IFERROR(VALUE('T12 Input'!G13),0)</f>
        <v/>
      </c>
      <c r="G2">
        <f>IFERROR(VALUE('T12 Input'!H13),0)</f>
        <v/>
      </c>
      <c r="H2">
        <f>IFERROR(VALUE('T12 Input'!I13),0)</f>
        <v/>
      </c>
      <c r="I2">
        <f>IFERROR(VALUE('T12 Input'!J13),0)</f>
        <v/>
      </c>
      <c r="J2">
        <f>IFERROR(VALUE('T12 Input'!K13),0)</f>
        <v/>
      </c>
      <c r="K2">
        <f>IFERROR(VALUE('T12 Input'!L13),0)</f>
        <v/>
      </c>
      <c r="L2">
        <f>IFERROR(VALUE('T12 Input'!M13),0)</f>
        <v/>
      </c>
      <c r="M2">
        <f>IFERROR(VALUE('T12 Input'!N13),0)</f>
        <v/>
      </c>
      <c r="N2">
        <f>IFERROR(INDEX(DescMap_Label,MATCH(A2,DescMap_Description,0)),"")</f>
        <v/>
      </c>
      <c r="AZ2" t="inlineStr">
        <is>
          <t>reference</t>
        </is>
      </c>
    </row>
    <row r="3" ht="15" customHeight="1" s="199">
      <c r="A3">
        <f>IFERROR(TRIM('T12 Input'!B14),)</f>
        <v/>
      </c>
      <c r="B3">
        <f>IFERROR(VALUE('T12 Input'!C14),0)</f>
        <v/>
      </c>
      <c r="C3">
        <f>IFERROR(VALUE('T12 Input'!D14),0)</f>
        <v/>
      </c>
      <c r="D3">
        <f>IFERROR(VALUE('T12 Input'!E14),0)</f>
        <v/>
      </c>
      <c r="E3">
        <f>IFERROR(VALUE('T12 Input'!F14),0)</f>
        <v/>
      </c>
      <c r="F3">
        <f>IFERROR(VALUE('T12 Input'!G14),0)</f>
        <v/>
      </c>
      <c r="G3">
        <f>IFERROR(VALUE('T12 Input'!H14),0)</f>
        <v/>
      </c>
      <c r="H3">
        <f>IFERROR(VALUE('T12 Input'!I14),0)</f>
        <v/>
      </c>
      <c r="I3">
        <f>IFERROR(VALUE('T12 Input'!J14),0)</f>
        <v/>
      </c>
      <c r="J3">
        <f>IFERROR(VALUE('T12 Input'!K14),0)</f>
        <v/>
      </c>
      <c r="K3">
        <f>IFERROR(VALUE('T12 Input'!L14),0)</f>
        <v/>
      </c>
      <c r="L3">
        <f>IFERROR(VALUE('T12 Input'!M14),0)</f>
        <v/>
      </c>
      <c r="M3">
        <f>IFERROR(VALUE('T12 Input'!N14),0)</f>
        <v/>
      </c>
      <c r="N3">
        <f>IFERROR(INDEX(DescMap_Label,MATCH(A3,DescMap_Description,0)),"")</f>
        <v/>
      </c>
      <c r="AZ3" t="inlineStr">
        <is>
          <t>hidden</t>
        </is>
      </c>
    </row>
    <row r="4" ht="15" customHeight="1" s="199">
      <c r="A4">
        <f>IFERROR(TRIM('T12 Input'!B15),)</f>
        <v/>
      </c>
      <c r="B4">
        <f>IFERROR(VALUE('T12 Input'!C15),0)</f>
        <v/>
      </c>
      <c r="C4">
        <f>IFERROR(VALUE('T12 Input'!D15),0)</f>
        <v/>
      </c>
      <c r="D4">
        <f>IFERROR(VALUE('T12 Input'!E15),0)</f>
        <v/>
      </c>
      <c r="E4">
        <f>IFERROR(VALUE('T12 Input'!F15),0)</f>
        <v/>
      </c>
      <c r="F4">
        <f>IFERROR(VALUE('T12 Input'!G15),0)</f>
        <v/>
      </c>
      <c r="G4">
        <f>IFERROR(VALUE('T12 Input'!H15),0)</f>
        <v/>
      </c>
      <c r="H4">
        <f>IFERROR(VALUE('T12 Input'!I15),0)</f>
        <v/>
      </c>
      <c r="I4">
        <f>IFERROR(VALUE('T12 Input'!J15),0)</f>
        <v/>
      </c>
      <c r="J4">
        <f>IFERROR(VALUE('T12 Input'!K15),0)</f>
        <v/>
      </c>
      <c r="K4">
        <f>IFERROR(VALUE('T12 Input'!L15),0)</f>
        <v/>
      </c>
      <c r="L4">
        <f>IFERROR(VALUE('T12 Input'!M15),0)</f>
        <v/>
      </c>
      <c r="M4">
        <f>IFERROR(VALUE('T12 Input'!N15),0)</f>
        <v/>
      </c>
      <c r="N4">
        <f>IFERROR(INDEX(DescMap_Label,MATCH(A4,DescMap_Description,0)),"")</f>
        <v/>
      </c>
      <c r="AZ4" t="inlineStr">
        <is>
          <t>v0.2.7</t>
        </is>
      </c>
    </row>
    <row r="5" ht="15" customHeight="1" s="199">
      <c r="A5">
        <f>IFERROR(TRIM('T12 Input'!B16),)</f>
        <v/>
      </c>
      <c r="B5">
        <f>IFERROR(VALUE('T12 Input'!C16),0)</f>
        <v/>
      </c>
      <c r="C5">
        <f>IFERROR(VALUE('T12 Input'!D16),0)</f>
        <v/>
      </c>
      <c r="D5">
        <f>IFERROR(VALUE('T12 Input'!E16),0)</f>
        <v/>
      </c>
      <c r="E5">
        <f>IFERROR(VALUE('T12 Input'!F16),0)</f>
        <v/>
      </c>
      <c r="F5">
        <f>IFERROR(VALUE('T12 Input'!G16),0)</f>
        <v/>
      </c>
      <c r="G5">
        <f>IFERROR(VALUE('T12 Input'!H16),0)</f>
        <v/>
      </c>
      <c r="H5">
        <f>IFERROR(VALUE('T12 Input'!I16),0)</f>
        <v/>
      </c>
      <c r="I5">
        <f>IFERROR(VALUE('T12 Input'!J16),0)</f>
        <v/>
      </c>
      <c r="J5">
        <f>IFERROR(VALUE('T12 Input'!K16),0)</f>
        <v/>
      </c>
      <c r="K5">
        <f>IFERROR(VALUE('T12 Input'!L16),0)</f>
        <v/>
      </c>
      <c r="L5">
        <f>IFERROR(VALUE('T12 Input'!M16),0)</f>
        <v/>
      </c>
      <c r="M5">
        <f>IFERROR(VALUE('T12 Input'!N16),0)</f>
        <v/>
      </c>
      <c r="N5">
        <f>IFERROR(INDEX(DescMap_Label,MATCH(A5,DescMap_Description,0)),"")</f>
        <v/>
      </c>
    </row>
    <row r="6" ht="15" customHeight="1" s="199">
      <c r="A6">
        <f>IFERROR(TRIM('T12 Input'!B17),)</f>
        <v/>
      </c>
      <c r="B6">
        <f>IFERROR(VALUE('T12 Input'!C17),0)</f>
        <v/>
      </c>
      <c r="C6">
        <f>IFERROR(VALUE('T12 Input'!D17),0)</f>
        <v/>
      </c>
      <c r="D6">
        <f>IFERROR(VALUE('T12 Input'!E17),0)</f>
        <v/>
      </c>
      <c r="E6">
        <f>IFERROR(VALUE('T12 Input'!F17),0)</f>
        <v/>
      </c>
      <c r="F6">
        <f>IFERROR(VALUE('T12 Input'!G17),0)</f>
        <v/>
      </c>
      <c r="G6">
        <f>IFERROR(VALUE('T12 Input'!H17),0)</f>
        <v/>
      </c>
      <c r="H6">
        <f>IFERROR(VALUE('T12 Input'!I17),0)</f>
        <v/>
      </c>
      <c r="I6">
        <f>IFERROR(VALUE('T12 Input'!J17),0)</f>
        <v/>
      </c>
      <c r="J6">
        <f>IFERROR(VALUE('T12 Input'!K17),0)</f>
        <v/>
      </c>
      <c r="K6">
        <f>IFERROR(VALUE('T12 Input'!L17),0)</f>
        <v/>
      </c>
      <c r="L6">
        <f>IFERROR(VALUE('T12 Input'!M17),0)</f>
        <v/>
      </c>
      <c r="M6">
        <f>IFERROR(VALUE('T12 Input'!N17),0)</f>
        <v/>
      </c>
      <c r="N6">
        <f>IFERROR(INDEX(DescMap_Label,MATCH(A6,DescMap_Description,0)),"")</f>
        <v/>
      </c>
    </row>
    <row r="7" ht="15" customHeight="1" s="199">
      <c r="A7">
        <f>IFERROR(TRIM('T12 Input'!B18),)</f>
        <v/>
      </c>
      <c r="B7">
        <f>IFERROR(VALUE('T12 Input'!C18),0)</f>
        <v/>
      </c>
      <c r="C7">
        <f>IFERROR(VALUE('T12 Input'!D18),0)</f>
        <v/>
      </c>
      <c r="D7">
        <f>IFERROR(VALUE('T12 Input'!E18),0)</f>
        <v/>
      </c>
      <c r="E7">
        <f>IFERROR(VALUE('T12 Input'!F18),0)</f>
        <v/>
      </c>
      <c r="F7">
        <f>IFERROR(VALUE('T12 Input'!G18),0)</f>
        <v/>
      </c>
      <c r="G7">
        <f>IFERROR(VALUE('T12 Input'!H18),0)</f>
        <v/>
      </c>
      <c r="H7">
        <f>IFERROR(VALUE('T12 Input'!I18),0)</f>
        <v/>
      </c>
      <c r="I7">
        <f>IFERROR(VALUE('T12 Input'!J18),0)</f>
        <v/>
      </c>
      <c r="J7">
        <f>IFERROR(VALUE('T12 Input'!K18),0)</f>
        <v/>
      </c>
      <c r="K7">
        <f>IFERROR(VALUE('T12 Input'!L18),0)</f>
        <v/>
      </c>
      <c r="L7">
        <f>IFERROR(VALUE('T12 Input'!M18),0)</f>
        <v/>
      </c>
      <c r="M7">
        <f>IFERROR(VALUE('T12 Input'!N18),0)</f>
        <v/>
      </c>
      <c r="N7">
        <f>IFERROR(INDEX(DescMap_Label,MATCH(A7,DescMap_Description,0)),"")</f>
        <v/>
      </c>
    </row>
    <row r="8" ht="15" customHeight="1" s="199">
      <c r="A8">
        <f>IFERROR(TRIM('T12 Input'!B19),)</f>
        <v/>
      </c>
      <c r="B8">
        <f>IFERROR(VALUE('T12 Input'!C19),0)</f>
        <v/>
      </c>
      <c r="C8">
        <f>IFERROR(VALUE('T12 Input'!D19),0)</f>
        <v/>
      </c>
      <c r="D8">
        <f>IFERROR(VALUE('T12 Input'!E19),0)</f>
        <v/>
      </c>
      <c r="E8">
        <f>IFERROR(VALUE('T12 Input'!F19),0)</f>
        <v/>
      </c>
      <c r="F8">
        <f>IFERROR(VALUE('T12 Input'!G19),0)</f>
        <v/>
      </c>
      <c r="G8">
        <f>IFERROR(VALUE('T12 Input'!H19),0)</f>
        <v/>
      </c>
      <c r="H8">
        <f>IFERROR(VALUE('T12 Input'!I19),0)</f>
        <v/>
      </c>
      <c r="I8">
        <f>IFERROR(VALUE('T12 Input'!J19),0)</f>
        <v/>
      </c>
      <c r="J8">
        <f>IFERROR(VALUE('T12 Input'!K19),0)</f>
        <v/>
      </c>
      <c r="K8">
        <f>IFERROR(VALUE('T12 Input'!L19),0)</f>
        <v/>
      </c>
      <c r="L8">
        <f>IFERROR(VALUE('T12 Input'!M19),0)</f>
        <v/>
      </c>
      <c r="M8">
        <f>IFERROR(VALUE('T12 Input'!N19),0)</f>
        <v/>
      </c>
      <c r="N8">
        <f>IFERROR(INDEX(DescMap_Label,MATCH(A8,DescMap_Description,0)),"")</f>
        <v/>
      </c>
    </row>
    <row r="9" ht="15" customHeight="1" s="199">
      <c r="A9">
        <f>IFERROR(TRIM('T12 Input'!B20),)</f>
        <v/>
      </c>
      <c r="B9">
        <f>IFERROR(VALUE('T12 Input'!C20),0)</f>
        <v/>
      </c>
      <c r="C9">
        <f>IFERROR(VALUE('T12 Input'!D20),0)</f>
        <v/>
      </c>
      <c r="D9">
        <f>IFERROR(VALUE('T12 Input'!E20),0)</f>
        <v/>
      </c>
      <c r="E9">
        <f>IFERROR(VALUE('T12 Input'!F20),0)</f>
        <v/>
      </c>
      <c r="F9">
        <f>IFERROR(VALUE('T12 Input'!G20),0)</f>
        <v/>
      </c>
      <c r="G9">
        <f>IFERROR(VALUE('T12 Input'!H20),0)</f>
        <v/>
      </c>
      <c r="H9">
        <f>IFERROR(VALUE('T12 Input'!I20),0)</f>
        <v/>
      </c>
      <c r="I9">
        <f>IFERROR(VALUE('T12 Input'!J20),0)</f>
        <v/>
      </c>
      <c r="J9">
        <f>IFERROR(VALUE('T12 Input'!K20),0)</f>
        <v/>
      </c>
      <c r="K9">
        <f>IFERROR(VALUE('T12 Input'!L20),0)</f>
        <v/>
      </c>
      <c r="L9">
        <f>IFERROR(VALUE('T12 Input'!M20),0)</f>
        <v/>
      </c>
      <c r="M9">
        <f>IFERROR(VALUE('T12 Input'!N20),0)</f>
        <v/>
      </c>
      <c r="N9">
        <f>IFERROR(INDEX(DescMap_Label,MATCH(A9,DescMap_Description,0)),"")</f>
        <v/>
      </c>
    </row>
    <row r="10" ht="15" customHeight="1" s="199">
      <c r="A10">
        <f>IFERROR(TRIM('T12 Input'!B21),)</f>
        <v/>
      </c>
      <c r="B10">
        <f>IFERROR(VALUE('T12 Input'!C21),0)</f>
        <v/>
      </c>
      <c r="C10">
        <f>IFERROR(VALUE('T12 Input'!D21),0)</f>
        <v/>
      </c>
      <c r="D10">
        <f>IFERROR(VALUE('T12 Input'!E21),0)</f>
        <v/>
      </c>
      <c r="E10">
        <f>IFERROR(VALUE('T12 Input'!F21),0)</f>
        <v/>
      </c>
      <c r="F10">
        <f>IFERROR(VALUE('T12 Input'!G21),0)</f>
        <v/>
      </c>
      <c r="G10">
        <f>IFERROR(VALUE('T12 Input'!H21),0)</f>
        <v/>
      </c>
      <c r="H10">
        <f>IFERROR(VALUE('T12 Input'!I21),0)</f>
        <v/>
      </c>
      <c r="I10">
        <f>IFERROR(VALUE('T12 Input'!J21),0)</f>
        <v/>
      </c>
      <c r="J10">
        <f>IFERROR(VALUE('T12 Input'!K21),0)</f>
        <v/>
      </c>
      <c r="K10">
        <f>IFERROR(VALUE('T12 Input'!L21),0)</f>
        <v/>
      </c>
      <c r="L10">
        <f>IFERROR(VALUE('T12 Input'!M21),0)</f>
        <v/>
      </c>
      <c r="M10">
        <f>IFERROR(VALUE('T12 Input'!N21),0)</f>
        <v/>
      </c>
      <c r="N10">
        <f>IFERROR(INDEX(DescMap_Label,MATCH(A10,DescMap_Description,0)),"")</f>
        <v/>
      </c>
    </row>
    <row r="11" ht="15" customHeight="1" s="199">
      <c r="A11">
        <f>IFERROR(TRIM('T12 Input'!B22),)</f>
        <v/>
      </c>
      <c r="B11">
        <f>IFERROR(VALUE('T12 Input'!C22),0)</f>
        <v/>
      </c>
      <c r="C11">
        <f>IFERROR(VALUE('T12 Input'!D22),0)</f>
        <v/>
      </c>
      <c r="D11">
        <f>IFERROR(VALUE('T12 Input'!E22),0)</f>
        <v/>
      </c>
      <c r="E11">
        <f>IFERROR(VALUE('T12 Input'!F22),0)</f>
        <v/>
      </c>
      <c r="F11">
        <f>IFERROR(VALUE('T12 Input'!G22),0)</f>
        <v/>
      </c>
      <c r="G11">
        <f>IFERROR(VALUE('T12 Input'!H22),0)</f>
        <v/>
      </c>
      <c r="H11">
        <f>IFERROR(VALUE('T12 Input'!I22),0)</f>
        <v/>
      </c>
      <c r="I11">
        <f>IFERROR(VALUE('T12 Input'!J22),0)</f>
        <v/>
      </c>
      <c r="J11">
        <f>IFERROR(VALUE('T12 Input'!K22),0)</f>
        <v/>
      </c>
      <c r="K11">
        <f>IFERROR(VALUE('T12 Input'!L22),0)</f>
        <v/>
      </c>
      <c r="L11">
        <f>IFERROR(VALUE('T12 Input'!M22),0)</f>
        <v/>
      </c>
      <c r="M11">
        <f>IFERROR(VALUE('T12 Input'!N22),0)</f>
        <v/>
      </c>
      <c r="N11">
        <f>IFERROR(INDEX(DescMap_Label,MATCH(A11,DescMap_Description,0)),"")</f>
        <v/>
      </c>
    </row>
    <row r="12" ht="15" customHeight="1" s="199">
      <c r="A12">
        <f>IFERROR(TRIM('T12 Input'!B23),)</f>
        <v/>
      </c>
      <c r="B12">
        <f>IFERROR(VALUE('T12 Input'!C23),0)</f>
        <v/>
      </c>
      <c r="C12">
        <f>IFERROR(VALUE('T12 Input'!D23),0)</f>
        <v/>
      </c>
      <c r="D12">
        <f>IFERROR(VALUE('T12 Input'!E23),0)</f>
        <v/>
      </c>
      <c r="E12">
        <f>IFERROR(VALUE('T12 Input'!F23),0)</f>
        <v/>
      </c>
      <c r="F12">
        <f>IFERROR(VALUE('T12 Input'!G23),0)</f>
        <v/>
      </c>
      <c r="G12">
        <f>IFERROR(VALUE('T12 Input'!H23),0)</f>
        <v/>
      </c>
      <c r="H12">
        <f>IFERROR(VALUE('T12 Input'!I23),0)</f>
        <v/>
      </c>
      <c r="I12">
        <f>IFERROR(VALUE('T12 Input'!J23),0)</f>
        <v/>
      </c>
      <c r="J12">
        <f>IFERROR(VALUE('T12 Input'!K23),0)</f>
        <v/>
      </c>
      <c r="K12">
        <f>IFERROR(VALUE('T12 Input'!L23),0)</f>
        <v/>
      </c>
      <c r="L12">
        <f>IFERROR(VALUE('T12 Input'!M23),0)</f>
        <v/>
      </c>
      <c r="M12">
        <f>IFERROR(VALUE('T12 Input'!N23),0)</f>
        <v/>
      </c>
      <c r="N12">
        <f>IFERROR(INDEX(DescMap_Label,MATCH(A12,DescMap_Description,0)),"")</f>
        <v/>
      </c>
    </row>
    <row r="13" ht="15" customHeight="1" s="199">
      <c r="A13">
        <f>IFERROR(TRIM('T12 Input'!B24),)</f>
        <v/>
      </c>
      <c r="B13">
        <f>IFERROR(VALUE('T12 Input'!C24),0)</f>
        <v/>
      </c>
      <c r="C13">
        <f>IFERROR(VALUE('T12 Input'!D24),0)</f>
        <v/>
      </c>
      <c r="D13">
        <f>IFERROR(VALUE('T12 Input'!E24),0)</f>
        <v/>
      </c>
      <c r="E13">
        <f>IFERROR(VALUE('T12 Input'!F24),0)</f>
        <v/>
      </c>
      <c r="F13">
        <f>IFERROR(VALUE('T12 Input'!G24),0)</f>
        <v/>
      </c>
      <c r="G13">
        <f>IFERROR(VALUE('T12 Input'!H24),0)</f>
        <v/>
      </c>
      <c r="H13">
        <f>IFERROR(VALUE('T12 Input'!I24),0)</f>
        <v/>
      </c>
      <c r="I13">
        <f>IFERROR(VALUE('T12 Input'!J24),0)</f>
        <v/>
      </c>
      <c r="J13">
        <f>IFERROR(VALUE('T12 Input'!K24),0)</f>
        <v/>
      </c>
      <c r="K13">
        <f>IFERROR(VALUE('T12 Input'!L24),0)</f>
        <v/>
      </c>
      <c r="L13">
        <f>IFERROR(VALUE('T12 Input'!M24),0)</f>
        <v/>
      </c>
      <c r="M13">
        <f>IFERROR(VALUE('T12 Input'!N24),0)</f>
        <v/>
      </c>
      <c r="N13">
        <f>IFERROR(INDEX(DescMap_Label,MATCH(A13,DescMap_Description,0)),"")</f>
        <v/>
      </c>
    </row>
    <row r="14" ht="15" customHeight="1" s="199">
      <c r="A14">
        <f>IFERROR(TRIM('T12 Input'!B25),)</f>
        <v/>
      </c>
      <c r="B14">
        <f>IFERROR(VALUE('T12 Input'!C25),0)</f>
        <v/>
      </c>
      <c r="C14">
        <f>IFERROR(VALUE('T12 Input'!D25),0)</f>
        <v/>
      </c>
      <c r="D14">
        <f>IFERROR(VALUE('T12 Input'!E25),0)</f>
        <v/>
      </c>
      <c r="E14">
        <f>IFERROR(VALUE('T12 Input'!F25),0)</f>
        <v/>
      </c>
      <c r="F14">
        <f>IFERROR(VALUE('T12 Input'!G25),0)</f>
        <v/>
      </c>
      <c r="G14">
        <f>IFERROR(VALUE('T12 Input'!H25),0)</f>
        <v/>
      </c>
      <c r="H14">
        <f>IFERROR(VALUE('T12 Input'!I25),0)</f>
        <v/>
      </c>
      <c r="I14">
        <f>IFERROR(VALUE('T12 Input'!J25),0)</f>
        <v/>
      </c>
      <c r="J14">
        <f>IFERROR(VALUE('T12 Input'!K25),0)</f>
        <v/>
      </c>
      <c r="K14">
        <f>IFERROR(VALUE('T12 Input'!L25),0)</f>
        <v/>
      </c>
      <c r="L14">
        <f>IFERROR(VALUE('T12 Input'!M25),0)</f>
        <v/>
      </c>
      <c r="M14">
        <f>IFERROR(VALUE('T12 Input'!N25),0)</f>
        <v/>
      </c>
      <c r="N14">
        <f>IFERROR(INDEX(DescMap_Label,MATCH(A14,DescMap_Description,0)),"")</f>
        <v/>
      </c>
    </row>
    <row r="15" ht="15" customHeight="1" s="199">
      <c r="A15">
        <f>IFERROR(TRIM('T12 Input'!B26),)</f>
        <v/>
      </c>
      <c r="B15">
        <f>IFERROR(VALUE('T12 Input'!C26),0)</f>
        <v/>
      </c>
      <c r="C15">
        <f>IFERROR(VALUE('T12 Input'!D26),0)</f>
        <v/>
      </c>
      <c r="D15">
        <f>IFERROR(VALUE('T12 Input'!E26),0)</f>
        <v/>
      </c>
      <c r="E15">
        <f>IFERROR(VALUE('T12 Input'!F26),0)</f>
        <v/>
      </c>
      <c r="F15">
        <f>IFERROR(VALUE('T12 Input'!G26),0)</f>
        <v/>
      </c>
      <c r="G15">
        <f>IFERROR(VALUE('T12 Input'!H26),0)</f>
        <v/>
      </c>
      <c r="H15">
        <f>IFERROR(VALUE('T12 Input'!I26),0)</f>
        <v/>
      </c>
      <c r="I15">
        <f>IFERROR(VALUE('T12 Input'!J26),0)</f>
        <v/>
      </c>
      <c r="J15">
        <f>IFERROR(VALUE('T12 Input'!K26),0)</f>
        <v/>
      </c>
      <c r="K15">
        <f>IFERROR(VALUE('T12 Input'!L26),0)</f>
        <v/>
      </c>
      <c r="L15">
        <f>IFERROR(VALUE('T12 Input'!M26),0)</f>
        <v/>
      </c>
      <c r="M15">
        <f>IFERROR(VALUE('T12 Input'!N26),0)</f>
        <v/>
      </c>
      <c r="N15">
        <f>IFERROR(INDEX(DescMap_Label,MATCH(A15,DescMap_Description,0)),"")</f>
        <v/>
      </c>
    </row>
    <row r="16" ht="15" customHeight="1" s="199">
      <c r="A16">
        <f>IFERROR(TRIM('T12 Input'!B27),)</f>
        <v/>
      </c>
      <c r="B16">
        <f>IFERROR(VALUE('T12 Input'!C27),0)</f>
        <v/>
      </c>
      <c r="C16">
        <f>IFERROR(VALUE('T12 Input'!D27),0)</f>
        <v/>
      </c>
      <c r="D16">
        <f>IFERROR(VALUE('T12 Input'!E27),0)</f>
        <v/>
      </c>
      <c r="E16">
        <f>IFERROR(VALUE('T12 Input'!F27),0)</f>
        <v/>
      </c>
      <c r="F16">
        <f>IFERROR(VALUE('T12 Input'!G27),0)</f>
        <v/>
      </c>
      <c r="G16">
        <f>IFERROR(VALUE('T12 Input'!H27),0)</f>
        <v/>
      </c>
      <c r="H16">
        <f>IFERROR(VALUE('T12 Input'!I27),0)</f>
        <v/>
      </c>
      <c r="I16">
        <f>IFERROR(VALUE('T12 Input'!J27),0)</f>
        <v/>
      </c>
      <c r="J16">
        <f>IFERROR(VALUE('T12 Input'!K27),0)</f>
        <v/>
      </c>
      <c r="K16">
        <f>IFERROR(VALUE('T12 Input'!L27),0)</f>
        <v/>
      </c>
      <c r="L16">
        <f>IFERROR(VALUE('T12 Input'!M27),0)</f>
        <v/>
      </c>
      <c r="M16">
        <f>IFERROR(VALUE('T12 Input'!N27),0)</f>
        <v/>
      </c>
      <c r="N16">
        <f>IFERROR(INDEX(DescMap_Label,MATCH(A16,DescMap_Description,0)),"")</f>
        <v/>
      </c>
    </row>
    <row r="17" ht="15" customHeight="1" s="199">
      <c r="A17">
        <f>IFERROR(TRIM('T12 Input'!B28),)</f>
        <v/>
      </c>
      <c r="B17">
        <f>IFERROR(VALUE('T12 Input'!C28),0)</f>
        <v/>
      </c>
      <c r="C17">
        <f>IFERROR(VALUE('T12 Input'!D28),0)</f>
        <v/>
      </c>
      <c r="D17">
        <f>IFERROR(VALUE('T12 Input'!E28),0)</f>
        <v/>
      </c>
      <c r="E17">
        <f>IFERROR(VALUE('T12 Input'!F28),0)</f>
        <v/>
      </c>
      <c r="F17">
        <f>IFERROR(VALUE('T12 Input'!G28),0)</f>
        <v/>
      </c>
      <c r="G17">
        <f>IFERROR(VALUE('T12 Input'!H28),0)</f>
        <v/>
      </c>
      <c r="H17">
        <f>IFERROR(VALUE('T12 Input'!I28),0)</f>
        <v/>
      </c>
      <c r="I17">
        <f>IFERROR(VALUE('T12 Input'!J28),0)</f>
        <v/>
      </c>
      <c r="J17">
        <f>IFERROR(VALUE('T12 Input'!K28),0)</f>
        <v/>
      </c>
      <c r="K17">
        <f>IFERROR(VALUE('T12 Input'!L28),0)</f>
        <v/>
      </c>
      <c r="L17">
        <f>IFERROR(VALUE('T12 Input'!M28),0)</f>
        <v/>
      </c>
      <c r="M17">
        <f>IFERROR(VALUE('T12 Input'!N28),0)</f>
        <v/>
      </c>
      <c r="N17">
        <f>IFERROR(INDEX(DescMap_Label,MATCH(A17,DescMap_Description,0)),"")</f>
        <v/>
      </c>
    </row>
    <row r="18" ht="15" customHeight="1" s="199">
      <c r="A18">
        <f>IFERROR(TRIM('T12 Input'!B29),)</f>
        <v/>
      </c>
      <c r="B18">
        <f>IFERROR(VALUE('T12 Input'!C29),0)</f>
        <v/>
      </c>
      <c r="C18">
        <f>IFERROR(VALUE('T12 Input'!D29),0)</f>
        <v/>
      </c>
      <c r="D18">
        <f>IFERROR(VALUE('T12 Input'!E29),0)</f>
        <v/>
      </c>
      <c r="E18">
        <f>IFERROR(VALUE('T12 Input'!F29),0)</f>
        <v/>
      </c>
      <c r="F18">
        <f>IFERROR(VALUE('T12 Input'!G29),0)</f>
        <v/>
      </c>
      <c r="G18">
        <f>IFERROR(VALUE('T12 Input'!H29),0)</f>
        <v/>
      </c>
      <c r="H18">
        <f>IFERROR(VALUE('T12 Input'!I29),0)</f>
        <v/>
      </c>
      <c r="I18">
        <f>IFERROR(VALUE('T12 Input'!J29),0)</f>
        <v/>
      </c>
      <c r="J18">
        <f>IFERROR(VALUE('T12 Input'!K29),0)</f>
        <v/>
      </c>
      <c r="K18">
        <f>IFERROR(VALUE('T12 Input'!L29),0)</f>
        <v/>
      </c>
      <c r="L18">
        <f>IFERROR(VALUE('T12 Input'!M29),0)</f>
        <v/>
      </c>
      <c r="M18">
        <f>IFERROR(VALUE('T12 Input'!N29),0)</f>
        <v/>
      </c>
      <c r="N18">
        <f>IFERROR(INDEX(DescMap_Label,MATCH(A18,DescMap_Description,0)),"")</f>
        <v/>
      </c>
    </row>
    <row r="19" ht="15" customHeight="1" s="199">
      <c r="A19">
        <f>IFERROR(TRIM('T12 Input'!B30),)</f>
        <v/>
      </c>
      <c r="B19">
        <f>IFERROR(VALUE('T12 Input'!C30),0)</f>
        <v/>
      </c>
      <c r="C19">
        <f>IFERROR(VALUE('T12 Input'!D30),0)</f>
        <v/>
      </c>
      <c r="D19">
        <f>IFERROR(VALUE('T12 Input'!E30),0)</f>
        <v/>
      </c>
      <c r="E19">
        <f>IFERROR(VALUE('T12 Input'!F30),0)</f>
        <v/>
      </c>
      <c r="F19">
        <f>IFERROR(VALUE('T12 Input'!G30),0)</f>
        <v/>
      </c>
      <c r="G19">
        <f>IFERROR(VALUE('T12 Input'!H30),0)</f>
        <v/>
      </c>
      <c r="H19">
        <f>IFERROR(VALUE('T12 Input'!I30),0)</f>
        <v/>
      </c>
      <c r="I19">
        <f>IFERROR(VALUE('T12 Input'!J30),0)</f>
        <v/>
      </c>
      <c r="J19">
        <f>IFERROR(VALUE('T12 Input'!K30),0)</f>
        <v/>
      </c>
      <c r="K19">
        <f>IFERROR(VALUE('T12 Input'!L30),0)</f>
        <v/>
      </c>
      <c r="L19">
        <f>IFERROR(VALUE('T12 Input'!M30),0)</f>
        <v/>
      </c>
      <c r="M19">
        <f>IFERROR(VALUE('T12 Input'!N30),0)</f>
        <v/>
      </c>
      <c r="N19">
        <f>IFERROR(INDEX(DescMap_Label,MATCH(A19,DescMap_Description,0)),"")</f>
        <v/>
      </c>
    </row>
    <row r="20" ht="15" customHeight="1" s="199">
      <c r="A20">
        <f>IFERROR(TRIM('T12 Input'!B31),)</f>
        <v/>
      </c>
      <c r="B20">
        <f>IFERROR(VALUE('T12 Input'!C31),0)</f>
        <v/>
      </c>
      <c r="C20">
        <f>IFERROR(VALUE('T12 Input'!D31),0)</f>
        <v/>
      </c>
      <c r="D20">
        <f>IFERROR(VALUE('T12 Input'!E31),0)</f>
        <v/>
      </c>
      <c r="E20">
        <f>IFERROR(VALUE('T12 Input'!F31),0)</f>
        <v/>
      </c>
      <c r="F20">
        <f>IFERROR(VALUE('T12 Input'!G31),0)</f>
        <v/>
      </c>
      <c r="G20">
        <f>IFERROR(VALUE('T12 Input'!H31),0)</f>
        <v/>
      </c>
      <c r="H20">
        <f>IFERROR(VALUE('T12 Input'!I31),0)</f>
        <v/>
      </c>
      <c r="I20">
        <f>IFERROR(VALUE('T12 Input'!J31),0)</f>
        <v/>
      </c>
      <c r="J20">
        <f>IFERROR(VALUE('T12 Input'!K31),0)</f>
        <v/>
      </c>
      <c r="K20">
        <f>IFERROR(VALUE('T12 Input'!L31),0)</f>
        <v/>
      </c>
      <c r="L20">
        <f>IFERROR(VALUE('T12 Input'!M31),0)</f>
        <v/>
      </c>
      <c r="M20">
        <f>IFERROR(VALUE('T12 Input'!N31),0)</f>
        <v/>
      </c>
      <c r="N20">
        <f>IFERROR(INDEX(DescMap_Label,MATCH(A20,DescMap_Description,0)),"")</f>
        <v/>
      </c>
    </row>
    <row r="21" ht="15" customHeight="1" s="199">
      <c r="A21">
        <f>IFERROR(TRIM('T12 Input'!B32),)</f>
        <v/>
      </c>
      <c r="B21">
        <f>IFERROR(VALUE('T12 Input'!C32),0)</f>
        <v/>
      </c>
      <c r="C21">
        <f>IFERROR(VALUE('T12 Input'!D32),0)</f>
        <v/>
      </c>
      <c r="D21">
        <f>IFERROR(VALUE('T12 Input'!E32),0)</f>
        <v/>
      </c>
      <c r="E21">
        <f>IFERROR(VALUE('T12 Input'!F32),0)</f>
        <v/>
      </c>
      <c r="F21">
        <f>IFERROR(VALUE('T12 Input'!G32),0)</f>
        <v/>
      </c>
      <c r="G21">
        <f>IFERROR(VALUE('T12 Input'!H32),0)</f>
        <v/>
      </c>
      <c r="H21">
        <f>IFERROR(VALUE('T12 Input'!I32),0)</f>
        <v/>
      </c>
      <c r="I21">
        <f>IFERROR(VALUE('T12 Input'!J32),0)</f>
        <v/>
      </c>
      <c r="J21">
        <f>IFERROR(VALUE('T12 Input'!K32),0)</f>
        <v/>
      </c>
      <c r="K21">
        <f>IFERROR(VALUE('T12 Input'!L32),0)</f>
        <v/>
      </c>
      <c r="L21">
        <f>IFERROR(VALUE('T12 Input'!M32),0)</f>
        <v/>
      </c>
      <c r="M21">
        <f>IFERROR(VALUE('T12 Input'!N32),0)</f>
        <v/>
      </c>
      <c r="N21">
        <f>IFERROR(INDEX(DescMap_Label,MATCH(A21,DescMap_Description,0)),"")</f>
        <v/>
      </c>
    </row>
    <row r="22" ht="15" customHeight="1" s="199">
      <c r="A22">
        <f>IFERROR(TRIM('T12 Input'!B33),)</f>
        <v/>
      </c>
      <c r="B22">
        <f>IFERROR(VALUE('T12 Input'!C33),0)</f>
        <v/>
      </c>
      <c r="C22">
        <f>IFERROR(VALUE('T12 Input'!D33),0)</f>
        <v/>
      </c>
      <c r="D22">
        <f>IFERROR(VALUE('T12 Input'!E33),0)</f>
        <v/>
      </c>
      <c r="E22">
        <f>IFERROR(VALUE('T12 Input'!F33),0)</f>
        <v/>
      </c>
      <c r="F22">
        <f>IFERROR(VALUE('T12 Input'!G33),0)</f>
        <v/>
      </c>
      <c r="G22">
        <f>IFERROR(VALUE('T12 Input'!H33),0)</f>
        <v/>
      </c>
      <c r="H22">
        <f>IFERROR(VALUE('T12 Input'!I33),0)</f>
        <v/>
      </c>
      <c r="I22">
        <f>IFERROR(VALUE('T12 Input'!J33),0)</f>
        <v/>
      </c>
      <c r="J22">
        <f>IFERROR(VALUE('T12 Input'!K33),0)</f>
        <v/>
      </c>
      <c r="K22">
        <f>IFERROR(VALUE('T12 Input'!L33),0)</f>
        <v/>
      </c>
      <c r="L22">
        <f>IFERROR(VALUE('T12 Input'!M33),0)</f>
        <v/>
      </c>
      <c r="M22">
        <f>IFERROR(VALUE('T12 Input'!N33),0)</f>
        <v/>
      </c>
      <c r="N22">
        <f>IFERROR(INDEX(DescMap_Label,MATCH(A22,DescMap_Description,0)),"")</f>
        <v/>
      </c>
    </row>
    <row r="23" ht="15" customHeight="1" s="199">
      <c r="A23">
        <f>IFERROR(TRIM('T12 Input'!B34),)</f>
        <v/>
      </c>
      <c r="B23">
        <f>IFERROR(VALUE('T12 Input'!C34),0)</f>
        <v/>
      </c>
      <c r="C23">
        <f>IFERROR(VALUE('T12 Input'!D34),0)</f>
        <v/>
      </c>
      <c r="D23">
        <f>IFERROR(VALUE('T12 Input'!E34),0)</f>
        <v/>
      </c>
      <c r="E23">
        <f>IFERROR(VALUE('T12 Input'!F34),0)</f>
        <v/>
      </c>
      <c r="F23">
        <f>IFERROR(VALUE('T12 Input'!G34),0)</f>
        <v/>
      </c>
      <c r="G23">
        <f>IFERROR(VALUE('T12 Input'!H34),0)</f>
        <v/>
      </c>
      <c r="H23">
        <f>IFERROR(VALUE('T12 Input'!I34),0)</f>
        <v/>
      </c>
      <c r="I23">
        <f>IFERROR(VALUE('T12 Input'!J34),0)</f>
        <v/>
      </c>
      <c r="J23">
        <f>IFERROR(VALUE('T12 Input'!K34),0)</f>
        <v/>
      </c>
      <c r="K23">
        <f>IFERROR(VALUE('T12 Input'!L34),0)</f>
        <v/>
      </c>
      <c r="L23">
        <f>IFERROR(VALUE('T12 Input'!M34),0)</f>
        <v/>
      </c>
      <c r="M23">
        <f>IFERROR(VALUE('T12 Input'!N34),0)</f>
        <v/>
      </c>
      <c r="N23">
        <f>IFERROR(INDEX(DescMap_Label,MATCH(A23,DescMap_Description,0)),"")</f>
        <v/>
      </c>
    </row>
    <row r="24" ht="15" customHeight="1" s="199">
      <c r="A24">
        <f>IFERROR(TRIM('T12 Input'!B35),)</f>
        <v/>
      </c>
      <c r="B24">
        <f>IFERROR(VALUE('T12 Input'!C35),0)</f>
        <v/>
      </c>
      <c r="C24">
        <f>IFERROR(VALUE('T12 Input'!D35),0)</f>
        <v/>
      </c>
      <c r="D24">
        <f>IFERROR(VALUE('T12 Input'!E35),0)</f>
        <v/>
      </c>
      <c r="E24">
        <f>IFERROR(VALUE('T12 Input'!F35),0)</f>
        <v/>
      </c>
      <c r="F24">
        <f>IFERROR(VALUE('T12 Input'!G35),0)</f>
        <v/>
      </c>
      <c r="G24">
        <f>IFERROR(VALUE('T12 Input'!H35),0)</f>
        <v/>
      </c>
      <c r="H24">
        <f>IFERROR(VALUE('T12 Input'!I35),0)</f>
        <v/>
      </c>
      <c r="I24">
        <f>IFERROR(VALUE('T12 Input'!J35),0)</f>
        <v/>
      </c>
      <c r="J24">
        <f>IFERROR(VALUE('T12 Input'!K35),0)</f>
        <v/>
      </c>
      <c r="K24">
        <f>IFERROR(VALUE('T12 Input'!L35),0)</f>
        <v/>
      </c>
      <c r="L24">
        <f>IFERROR(VALUE('T12 Input'!M35),0)</f>
        <v/>
      </c>
      <c r="M24">
        <f>IFERROR(VALUE('T12 Input'!N35),0)</f>
        <v/>
      </c>
      <c r="N24">
        <f>IFERROR(INDEX(DescMap_Label,MATCH(A24,DescMap_Description,0)),"")</f>
        <v/>
      </c>
    </row>
    <row r="25" ht="15" customHeight="1" s="199">
      <c r="A25">
        <f>IFERROR(TRIM('T12 Input'!B36),)</f>
        <v/>
      </c>
      <c r="B25">
        <f>IFERROR(VALUE('T12 Input'!C36),0)</f>
        <v/>
      </c>
      <c r="C25">
        <f>IFERROR(VALUE('T12 Input'!D36),0)</f>
        <v/>
      </c>
      <c r="D25">
        <f>IFERROR(VALUE('T12 Input'!E36),0)</f>
        <v/>
      </c>
      <c r="E25">
        <f>IFERROR(VALUE('T12 Input'!F36),0)</f>
        <v/>
      </c>
      <c r="F25">
        <f>IFERROR(VALUE('T12 Input'!G36),0)</f>
        <v/>
      </c>
      <c r="G25">
        <f>IFERROR(VALUE('T12 Input'!H36),0)</f>
        <v/>
      </c>
      <c r="H25">
        <f>IFERROR(VALUE('T12 Input'!I36),0)</f>
        <v/>
      </c>
      <c r="I25">
        <f>IFERROR(VALUE('T12 Input'!J36),0)</f>
        <v/>
      </c>
      <c r="J25">
        <f>IFERROR(VALUE('T12 Input'!K36),0)</f>
        <v/>
      </c>
      <c r="K25">
        <f>IFERROR(VALUE('T12 Input'!L36),0)</f>
        <v/>
      </c>
      <c r="L25">
        <f>IFERROR(VALUE('T12 Input'!M36),0)</f>
        <v/>
      </c>
      <c r="M25">
        <f>IFERROR(VALUE('T12 Input'!N36),0)</f>
        <v/>
      </c>
      <c r="N25">
        <f>IFERROR(INDEX(DescMap_Label,MATCH(A25,DescMap_Description,0)),"")</f>
        <v/>
      </c>
    </row>
    <row r="26" ht="15" customHeight="1" s="199">
      <c r="A26">
        <f>IFERROR(TRIM('T12 Input'!B37),)</f>
        <v/>
      </c>
      <c r="B26">
        <f>IFERROR(VALUE('T12 Input'!C37),0)</f>
        <v/>
      </c>
      <c r="C26">
        <f>IFERROR(VALUE('T12 Input'!D37),0)</f>
        <v/>
      </c>
      <c r="D26">
        <f>IFERROR(VALUE('T12 Input'!E37),0)</f>
        <v/>
      </c>
      <c r="E26">
        <f>IFERROR(VALUE('T12 Input'!F37),0)</f>
        <v/>
      </c>
      <c r="F26">
        <f>IFERROR(VALUE('T12 Input'!G37),0)</f>
        <v/>
      </c>
      <c r="G26">
        <f>IFERROR(VALUE('T12 Input'!H37),0)</f>
        <v/>
      </c>
      <c r="H26">
        <f>IFERROR(VALUE('T12 Input'!I37),0)</f>
        <v/>
      </c>
      <c r="I26">
        <f>IFERROR(VALUE('T12 Input'!J37),0)</f>
        <v/>
      </c>
      <c r="J26">
        <f>IFERROR(VALUE('T12 Input'!K37),0)</f>
        <v/>
      </c>
      <c r="K26">
        <f>IFERROR(VALUE('T12 Input'!L37),0)</f>
        <v/>
      </c>
      <c r="L26">
        <f>IFERROR(VALUE('T12 Input'!M37),0)</f>
        <v/>
      </c>
      <c r="M26">
        <f>IFERROR(VALUE('T12 Input'!N37),0)</f>
        <v/>
      </c>
      <c r="N26">
        <f>IFERROR(INDEX(DescMap_Label,MATCH(A26,DescMap_Description,0)),"")</f>
        <v/>
      </c>
    </row>
    <row r="27" ht="15" customHeight="1" s="199">
      <c r="A27">
        <f>IFERROR(TRIM('T12 Input'!B38),)</f>
        <v/>
      </c>
      <c r="B27">
        <f>IFERROR(VALUE('T12 Input'!C38),0)</f>
        <v/>
      </c>
      <c r="C27">
        <f>IFERROR(VALUE('T12 Input'!D38),0)</f>
        <v/>
      </c>
      <c r="D27">
        <f>IFERROR(VALUE('T12 Input'!E38),0)</f>
        <v/>
      </c>
      <c r="E27">
        <f>IFERROR(VALUE('T12 Input'!F38),0)</f>
        <v/>
      </c>
      <c r="F27">
        <f>IFERROR(VALUE('T12 Input'!G38),0)</f>
        <v/>
      </c>
      <c r="G27">
        <f>IFERROR(VALUE('T12 Input'!H38),0)</f>
        <v/>
      </c>
      <c r="H27">
        <f>IFERROR(VALUE('T12 Input'!I38),0)</f>
        <v/>
      </c>
      <c r="I27">
        <f>IFERROR(VALUE('T12 Input'!J38),0)</f>
        <v/>
      </c>
      <c r="J27">
        <f>IFERROR(VALUE('T12 Input'!K38),0)</f>
        <v/>
      </c>
      <c r="K27">
        <f>IFERROR(VALUE('T12 Input'!L38),0)</f>
        <v/>
      </c>
      <c r="L27">
        <f>IFERROR(VALUE('T12 Input'!M38),0)</f>
        <v/>
      </c>
      <c r="M27">
        <f>IFERROR(VALUE('T12 Input'!N38),0)</f>
        <v/>
      </c>
      <c r="N27">
        <f>IFERROR(INDEX(DescMap_Label,MATCH(A27,DescMap_Description,0)),"")</f>
        <v/>
      </c>
    </row>
    <row r="28" ht="15" customHeight="1" s="199">
      <c r="A28">
        <f>IFERROR(TRIM('T12 Input'!B39),)</f>
        <v/>
      </c>
      <c r="B28">
        <f>IFERROR(VALUE('T12 Input'!C39),0)</f>
        <v/>
      </c>
      <c r="C28">
        <f>IFERROR(VALUE('T12 Input'!D39),0)</f>
        <v/>
      </c>
      <c r="D28">
        <f>IFERROR(VALUE('T12 Input'!E39),0)</f>
        <v/>
      </c>
      <c r="E28">
        <f>IFERROR(VALUE('T12 Input'!F39),0)</f>
        <v/>
      </c>
      <c r="F28">
        <f>IFERROR(VALUE('T12 Input'!G39),0)</f>
        <v/>
      </c>
      <c r="G28">
        <f>IFERROR(VALUE('T12 Input'!H39),0)</f>
        <v/>
      </c>
      <c r="H28">
        <f>IFERROR(VALUE('T12 Input'!I39),0)</f>
        <v/>
      </c>
      <c r="I28">
        <f>IFERROR(VALUE('T12 Input'!J39),0)</f>
        <v/>
      </c>
      <c r="J28">
        <f>IFERROR(VALUE('T12 Input'!K39),0)</f>
        <v/>
      </c>
      <c r="K28">
        <f>IFERROR(VALUE('T12 Input'!L39),0)</f>
        <v/>
      </c>
      <c r="L28">
        <f>IFERROR(VALUE('T12 Input'!M39),0)</f>
        <v/>
      </c>
      <c r="M28">
        <f>IFERROR(VALUE('T12 Input'!N39),0)</f>
        <v/>
      </c>
      <c r="N28">
        <f>IFERROR(INDEX(DescMap_Label,MATCH(A28,DescMap_Description,0)),"")</f>
        <v/>
      </c>
    </row>
    <row r="29" ht="15" customHeight="1" s="199">
      <c r="A29">
        <f>IFERROR(TRIM('T12 Input'!B40),)</f>
        <v/>
      </c>
      <c r="B29">
        <f>IFERROR(VALUE('T12 Input'!C40),0)</f>
        <v/>
      </c>
      <c r="C29">
        <f>IFERROR(VALUE('T12 Input'!D40),0)</f>
        <v/>
      </c>
      <c r="D29">
        <f>IFERROR(VALUE('T12 Input'!E40),0)</f>
        <v/>
      </c>
      <c r="E29">
        <f>IFERROR(VALUE('T12 Input'!F40),0)</f>
        <v/>
      </c>
      <c r="F29">
        <f>IFERROR(VALUE('T12 Input'!G40),0)</f>
        <v/>
      </c>
      <c r="G29">
        <f>IFERROR(VALUE('T12 Input'!H40),0)</f>
        <v/>
      </c>
      <c r="H29">
        <f>IFERROR(VALUE('T12 Input'!I40),0)</f>
        <v/>
      </c>
      <c r="I29">
        <f>IFERROR(VALUE('T12 Input'!J40),0)</f>
        <v/>
      </c>
      <c r="J29">
        <f>IFERROR(VALUE('T12 Input'!K40),0)</f>
        <v/>
      </c>
      <c r="K29">
        <f>IFERROR(VALUE('T12 Input'!L40),0)</f>
        <v/>
      </c>
      <c r="L29">
        <f>IFERROR(VALUE('T12 Input'!M40),0)</f>
        <v/>
      </c>
      <c r="M29">
        <f>IFERROR(VALUE('T12 Input'!N40),0)</f>
        <v/>
      </c>
      <c r="N29">
        <f>IFERROR(INDEX(DescMap_Label,MATCH(A29,DescMap_Description,0)),"")</f>
        <v/>
      </c>
    </row>
    <row r="30" ht="15" customHeight="1" s="199">
      <c r="A30">
        <f>IFERROR(TRIM('T12 Input'!B41),)</f>
        <v/>
      </c>
      <c r="B30">
        <f>IFERROR(VALUE('T12 Input'!C41),0)</f>
        <v/>
      </c>
      <c r="C30">
        <f>IFERROR(VALUE('T12 Input'!D41),0)</f>
        <v/>
      </c>
      <c r="D30">
        <f>IFERROR(VALUE('T12 Input'!E41),0)</f>
        <v/>
      </c>
      <c r="E30">
        <f>IFERROR(VALUE('T12 Input'!F41),0)</f>
        <v/>
      </c>
      <c r="F30">
        <f>IFERROR(VALUE('T12 Input'!G41),0)</f>
        <v/>
      </c>
      <c r="G30">
        <f>IFERROR(VALUE('T12 Input'!H41),0)</f>
        <v/>
      </c>
      <c r="H30">
        <f>IFERROR(VALUE('T12 Input'!I41),0)</f>
        <v/>
      </c>
      <c r="I30">
        <f>IFERROR(VALUE('T12 Input'!J41),0)</f>
        <v/>
      </c>
      <c r="J30">
        <f>IFERROR(VALUE('T12 Input'!K41),0)</f>
        <v/>
      </c>
      <c r="K30">
        <f>IFERROR(VALUE('T12 Input'!L41),0)</f>
        <v/>
      </c>
      <c r="L30">
        <f>IFERROR(VALUE('T12 Input'!M41),0)</f>
        <v/>
      </c>
      <c r="M30">
        <f>IFERROR(VALUE('T12 Input'!N41),0)</f>
        <v/>
      </c>
      <c r="N30">
        <f>IFERROR(INDEX(DescMap_Label,MATCH(A30,DescMap_Description,0)),"")</f>
        <v/>
      </c>
    </row>
    <row r="31" ht="15" customHeight="1" s="199">
      <c r="A31">
        <f>IFERROR(TRIM('T12 Input'!B42),)</f>
        <v/>
      </c>
      <c r="B31">
        <f>IFERROR(VALUE('T12 Input'!C42),0)</f>
        <v/>
      </c>
      <c r="C31">
        <f>IFERROR(VALUE('T12 Input'!D42),0)</f>
        <v/>
      </c>
      <c r="D31">
        <f>IFERROR(VALUE('T12 Input'!E42),0)</f>
        <v/>
      </c>
      <c r="E31">
        <f>IFERROR(VALUE('T12 Input'!F42),0)</f>
        <v/>
      </c>
      <c r="F31">
        <f>IFERROR(VALUE('T12 Input'!G42),0)</f>
        <v/>
      </c>
      <c r="G31">
        <f>IFERROR(VALUE('T12 Input'!H42),0)</f>
        <v/>
      </c>
      <c r="H31">
        <f>IFERROR(VALUE('T12 Input'!I42),0)</f>
        <v/>
      </c>
      <c r="I31">
        <f>IFERROR(VALUE('T12 Input'!J42),0)</f>
        <v/>
      </c>
      <c r="J31">
        <f>IFERROR(VALUE('T12 Input'!K42),0)</f>
        <v/>
      </c>
      <c r="K31">
        <f>IFERROR(VALUE('T12 Input'!L42),0)</f>
        <v/>
      </c>
      <c r="L31">
        <f>IFERROR(VALUE('T12 Input'!M42),0)</f>
        <v/>
      </c>
      <c r="M31">
        <f>IFERROR(VALUE('T12 Input'!N42),0)</f>
        <v/>
      </c>
      <c r="N31">
        <f>IFERROR(INDEX(DescMap_Label,MATCH(A31,DescMap_Description,0)),"")</f>
        <v/>
      </c>
    </row>
    <row r="32" ht="15" customHeight="1" s="199">
      <c r="A32">
        <f>IFERROR(TRIM('T12 Input'!B43),)</f>
        <v/>
      </c>
      <c r="B32">
        <f>IFERROR(VALUE('T12 Input'!C43),0)</f>
        <v/>
      </c>
      <c r="C32">
        <f>IFERROR(VALUE('T12 Input'!D43),0)</f>
        <v/>
      </c>
      <c r="D32">
        <f>IFERROR(VALUE('T12 Input'!E43),0)</f>
        <v/>
      </c>
      <c r="E32">
        <f>IFERROR(VALUE('T12 Input'!F43),0)</f>
        <v/>
      </c>
      <c r="F32">
        <f>IFERROR(VALUE('T12 Input'!G43),0)</f>
        <v/>
      </c>
      <c r="G32">
        <f>IFERROR(VALUE('T12 Input'!H43),0)</f>
        <v/>
      </c>
      <c r="H32">
        <f>IFERROR(VALUE('T12 Input'!I43),0)</f>
        <v/>
      </c>
      <c r="I32">
        <f>IFERROR(VALUE('T12 Input'!J43),0)</f>
        <v/>
      </c>
      <c r="J32">
        <f>IFERROR(VALUE('T12 Input'!K43),0)</f>
        <v/>
      </c>
      <c r="K32">
        <f>IFERROR(VALUE('T12 Input'!L43),0)</f>
        <v/>
      </c>
      <c r="L32">
        <f>IFERROR(VALUE('T12 Input'!M43),0)</f>
        <v/>
      </c>
      <c r="M32">
        <f>IFERROR(VALUE('T12 Input'!N43),0)</f>
        <v/>
      </c>
      <c r="N32">
        <f>IFERROR(INDEX(DescMap_Label,MATCH(A32,DescMap_Description,0)),"")</f>
        <v/>
      </c>
    </row>
    <row r="33" ht="15" customHeight="1" s="199">
      <c r="A33">
        <f>IFERROR(TRIM('T12 Input'!B44),)</f>
        <v/>
      </c>
      <c r="B33">
        <f>IFERROR(VALUE('T12 Input'!C44),0)</f>
        <v/>
      </c>
      <c r="C33">
        <f>IFERROR(VALUE('T12 Input'!D44),0)</f>
        <v/>
      </c>
      <c r="D33">
        <f>IFERROR(VALUE('T12 Input'!E44),0)</f>
        <v/>
      </c>
      <c r="E33">
        <f>IFERROR(VALUE('T12 Input'!F44),0)</f>
        <v/>
      </c>
      <c r="F33">
        <f>IFERROR(VALUE('T12 Input'!G44),0)</f>
        <v/>
      </c>
      <c r="G33">
        <f>IFERROR(VALUE('T12 Input'!H44),0)</f>
        <v/>
      </c>
      <c r="H33">
        <f>IFERROR(VALUE('T12 Input'!I44),0)</f>
        <v/>
      </c>
      <c r="I33">
        <f>IFERROR(VALUE('T12 Input'!J44),0)</f>
        <v/>
      </c>
      <c r="J33">
        <f>IFERROR(VALUE('T12 Input'!K44),0)</f>
        <v/>
      </c>
      <c r="K33">
        <f>IFERROR(VALUE('T12 Input'!L44),0)</f>
        <v/>
      </c>
      <c r="L33">
        <f>IFERROR(VALUE('T12 Input'!M44),0)</f>
        <v/>
      </c>
      <c r="M33">
        <f>IFERROR(VALUE('T12 Input'!N44),0)</f>
        <v/>
      </c>
      <c r="N33">
        <f>IFERROR(INDEX(DescMap_Label,MATCH(A33,DescMap_Description,0)),"")</f>
        <v/>
      </c>
    </row>
    <row r="34" ht="15" customHeight="1" s="199">
      <c r="A34">
        <f>IFERROR(TRIM('T12 Input'!B45),)</f>
        <v/>
      </c>
      <c r="B34">
        <f>IFERROR(VALUE('T12 Input'!C45),0)</f>
        <v/>
      </c>
      <c r="C34">
        <f>IFERROR(VALUE('T12 Input'!D45),0)</f>
        <v/>
      </c>
      <c r="D34">
        <f>IFERROR(VALUE('T12 Input'!E45),0)</f>
        <v/>
      </c>
      <c r="E34">
        <f>IFERROR(VALUE('T12 Input'!F45),0)</f>
        <v/>
      </c>
      <c r="F34">
        <f>IFERROR(VALUE('T12 Input'!G45),0)</f>
        <v/>
      </c>
      <c r="G34">
        <f>IFERROR(VALUE('T12 Input'!H45),0)</f>
        <v/>
      </c>
      <c r="H34">
        <f>IFERROR(VALUE('T12 Input'!I45),0)</f>
        <v/>
      </c>
      <c r="I34">
        <f>IFERROR(VALUE('T12 Input'!J45),0)</f>
        <v/>
      </c>
      <c r="J34">
        <f>IFERROR(VALUE('T12 Input'!K45),0)</f>
        <v/>
      </c>
      <c r="K34">
        <f>IFERROR(VALUE('T12 Input'!L45),0)</f>
        <v/>
      </c>
      <c r="L34">
        <f>IFERROR(VALUE('T12 Input'!M45),0)</f>
        <v/>
      </c>
      <c r="M34">
        <f>IFERROR(VALUE('T12 Input'!N45),0)</f>
        <v/>
      </c>
      <c r="N34">
        <f>IFERROR(INDEX(DescMap_Label,MATCH(A34,DescMap_Description,0)),"")</f>
        <v/>
      </c>
    </row>
    <row r="35" ht="15" customHeight="1" s="199">
      <c r="A35">
        <f>IFERROR(TRIM('T12 Input'!B46),)</f>
        <v/>
      </c>
      <c r="B35">
        <f>IFERROR(VALUE('T12 Input'!C46),0)</f>
        <v/>
      </c>
      <c r="C35">
        <f>IFERROR(VALUE('T12 Input'!D46),0)</f>
        <v/>
      </c>
      <c r="D35">
        <f>IFERROR(VALUE('T12 Input'!E46),0)</f>
        <v/>
      </c>
      <c r="E35">
        <f>IFERROR(VALUE('T12 Input'!F46),0)</f>
        <v/>
      </c>
      <c r="F35">
        <f>IFERROR(VALUE('T12 Input'!G46),0)</f>
        <v/>
      </c>
      <c r="G35">
        <f>IFERROR(VALUE('T12 Input'!H46),0)</f>
        <v/>
      </c>
      <c r="H35">
        <f>IFERROR(VALUE('T12 Input'!I46),0)</f>
        <v/>
      </c>
      <c r="I35">
        <f>IFERROR(VALUE('T12 Input'!J46),0)</f>
        <v/>
      </c>
      <c r="J35">
        <f>IFERROR(VALUE('T12 Input'!K46),0)</f>
        <v/>
      </c>
      <c r="K35">
        <f>IFERROR(VALUE('T12 Input'!L46),0)</f>
        <v/>
      </c>
      <c r="L35">
        <f>IFERROR(VALUE('T12 Input'!M46),0)</f>
        <v/>
      </c>
      <c r="M35">
        <f>IFERROR(VALUE('T12 Input'!N46),0)</f>
        <v/>
      </c>
      <c r="N35">
        <f>IFERROR(INDEX(DescMap_Label,MATCH(A35,DescMap_Description,0)),"")</f>
        <v/>
      </c>
    </row>
    <row r="36" ht="15" customHeight="1" s="199">
      <c r="A36">
        <f>IFERROR(TRIM('T12 Input'!B47),)</f>
        <v/>
      </c>
      <c r="B36">
        <f>IFERROR(VALUE('T12 Input'!C47),0)</f>
        <v/>
      </c>
      <c r="C36">
        <f>IFERROR(VALUE('T12 Input'!D47),0)</f>
        <v/>
      </c>
      <c r="D36">
        <f>IFERROR(VALUE('T12 Input'!E47),0)</f>
        <v/>
      </c>
      <c r="E36">
        <f>IFERROR(VALUE('T12 Input'!F47),0)</f>
        <v/>
      </c>
      <c r="F36">
        <f>IFERROR(VALUE('T12 Input'!G47),0)</f>
        <v/>
      </c>
      <c r="G36">
        <f>IFERROR(VALUE('T12 Input'!H47),0)</f>
        <v/>
      </c>
      <c r="H36">
        <f>IFERROR(VALUE('T12 Input'!I47),0)</f>
        <v/>
      </c>
      <c r="I36">
        <f>IFERROR(VALUE('T12 Input'!J47),0)</f>
        <v/>
      </c>
      <c r="J36">
        <f>IFERROR(VALUE('T12 Input'!K47),0)</f>
        <v/>
      </c>
      <c r="K36">
        <f>IFERROR(VALUE('T12 Input'!L47),0)</f>
        <v/>
      </c>
      <c r="L36">
        <f>IFERROR(VALUE('T12 Input'!M47),0)</f>
        <v/>
      </c>
      <c r="M36">
        <f>IFERROR(VALUE('T12 Input'!N47),0)</f>
        <v/>
      </c>
      <c r="N36">
        <f>IFERROR(INDEX(DescMap_Label,MATCH(A36,DescMap_Description,0)),"")</f>
        <v/>
      </c>
    </row>
    <row r="37" ht="15" customHeight="1" s="199">
      <c r="A37">
        <f>IFERROR(TRIM('T12 Input'!B48),)</f>
        <v/>
      </c>
      <c r="B37">
        <f>IFERROR(VALUE('T12 Input'!C48),0)</f>
        <v/>
      </c>
      <c r="C37">
        <f>IFERROR(VALUE('T12 Input'!D48),0)</f>
        <v/>
      </c>
      <c r="D37">
        <f>IFERROR(VALUE('T12 Input'!E48),0)</f>
        <v/>
      </c>
      <c r="E37">
        <f>IFERROR(VALUE('T12 Input'!F48),0)</f>
        <v/>
      </c>
      <c r="F37">
        <f>IFERROR(VALUE('T12 Input'!G48),0)</f>
        <v/>
      </c>
      <c r="G37">
        <f>IFERROR(VALUE('T12 Input'!H48),0)</f>
        <v/>
      </c>
      <c r="H37">
        <f>IFERROR(VALUE('T12 Input'!I48),0)</f>
        <v/>
      </c>
      <c r="I37">
        <f>IFERROR(VALUE('T12 Input'!J48),0)</f>
        <v/>
      </c>
      <c r="J37">
        <f>IFERROR(VALUE('T12 Input'!K48),0)</f>
        <v/>
      </c>
      <c r="K37">
        <f>IFERROR(VALUE('T12 Input'!L48),0)</f>
        <v/>
      </c>
      <c r="L37">
        <f>IFERROR(VALUE('T12 Input'!M48),0)</f>
        <v/>
      </c>
      <c r="M37">
        <f>IFERROR(VALUE('T12 Input'!N48),0)</f>
        <v/>
      </c>
      <c r="N37">
        <f>IFERROR(INDEX(DescMap_Label,MATCH(A37,DescMap_Description,0)),"")</f>
        <v/>
      </c>
    </row>
    <row r="38" ht="15" customHeight="1" s="199">
      <c r="A38">
        <f>IFERROR(TRIM('T12 Input'!B49),)</f>
        <v/>
      </c>
      <c r="B38">
        <f>IFERROR(VALUE('T12 Input'!C49),0)</f>
        <v/>
      </c>
      <c r="C38">
        <f>IFERROR(VALUE('T12 Input'!D49),0)</f>
        <v/>
      </c>
      <c r="D38">
        <f>IFERROR(VALUE('T12 Input'!E49),0)</f>
        <v/>
      </c>
      <c r="E38">
        <f>IFERROR(VALUE('T12 Input'!F49),0)</f>
        <v/>
      </c>
      <c r="F38">
        <f>IFERROR(VALUE('T12 Input'!G49),0)</f>
        <v/>
      </c>
      <c r="G38">
        <f>IFERROR(VALUE('T12 Input'!H49),0)</f>
        <v/>
      </c>
      <c r="H38">
        <f>IFERROR(VALUE('T12 Input'!I49),0)</f>
        <v/>
      </c>
      <c r="I38">
        <f>IFERROR(VALUE('T12 Input'!J49),0)</f>
        <v/>
      </c>
      <c r="J38">
        <f>IFERROR(VALUE('T12 Input'!K49),0)</f>
        <v/>
      </c>
      <c r="K38">
        <f>IFERROR(VALUE('T12 Input'!L49),0)</f>
        <v/>
      </c>
      <c r="L38">
        <f>IFERROR(VALUE('T12 Input'!M49),0)</f>
        <v/>
      </c>
      <c r="M38">
        <f>IFERROR(VALUE('T12 Input'!N49),0)</f>
        <v/>
      </c>
      <c r="N38">
        <f>IFERROR(INDEX(DescMap_Label,MATCH(A38,DescMap_Description,0)),"")</f>
        <v/>
      </c>
    </row>
    <row r="39" ht="15" customHeight="1" s="199">
      <c r="A39">
        <f>IFERROR(TRIM('T12 Input'!B50),)</f>
        <v/>
      </c>
      <c r="B39">
        <f>IFERROR(VALUE('T12 Input'!C50),0)</f>
        <v/>
      </c>
      <c r="C39">
        <f>IFERROR(VALUE('T12 Input'!D50),0)</f>
        <v/>
      </c>
      <c r="D39">
        <f>IFERROR(VALUE('T12 Input'!E50),0)</f>
        <v/>
      </c>
      <c r="E39">
        <f>IFERROR(VALUE('T12 Input'!F50),0)</f>
        <v/>
      </c>
      <c r="F39">
        <f>IFERROR(VALUE('T12 Input'!G50),0)</f>
        <v/>
      </c>
      <c r="G39">
        <f>IFERROR(VALUE('T12 Input'!H50),0)</f>
        <v/>
      </c>
      <c r="H39">
        <f>IFERROR(VALUE('T12 Input'!I50),0)</f>
        <v/>
      </c>
      <c r="I39">
        <f>IFERROR(VALUE('T12 Input'!J50),0)</f>
        <v/>
      </c>
      <c r="J39">
        <f>IFERROR(VALUE('T12 Input'!K50),0)</f>
        <v/>
      </c>
      <c r="K39">
        <f>IFERROR(VALUE('T12 Input'!L50),0)</f>
        <v/>
      </c>
      <c r="L39">
        <f>IFERROR(VALUE('T12 Input'!M50),0)</f>
        <v/>
      </c>
      <c r="M39">
        <f>IFERROR(VALUE('T12 Input'!N50),0)</f>
        <v/>
      </c>
      <c r="N39">
        <f>IFERROR(INDEX(DescMap_Label,MATCH(A39,DescMap_Description,0)),"")</f>
        <v/>
      </c>
    </row>
    <row r="40" ht="15" customHeight="1" s="199">
      <c r="A40">
        <f>IFERROR(TRIM('T12 Input'!B51),)</f>
        <v/>
      </c>
      <c r="B40">
        <f>IFERROR(VALUE('T12 Input'!C51),0)</f>
        <v/>
      </c>
      <c r="C40">
        <f>IFERROR(VALUE('T12 Input'!D51),0)</f>
        <v/>
      </c>
      <c r="D40">
        <f>IFERROR(VALUE('T12 Input'!E51),0)</f>
        <v/>
      </c>
      <c r="E40">
        <f>IFERROR(VALUE('T12 Input'!F51),0)</f>
        <v/>
      </c>
      <c r="F40">
        <f>IFERROR(VALUE('T12 Input'!G51),0)</f>
        <v/>
      </c>
      <c r="G40">
        <f>IFERROR(VALUE('T12 Input'!H51),0)</f>
        <v/>
      </c>
      <c r="H40">
        <f>IFERROR(VALUE('T12 Input'!I51),0)</f>
        <v/>
      </c>
      <c r="I40">
        <f>IFERROR(VALUE('T12 Input'!J51),0)</f>
        <v/>
      </c>
      <c r="J40">
        <f>IFERROR(VALUE('T12 Input'!K51),0)</f>
        <v/>
      </c>
      <c r="K40">
        <f>IFERROR(VALUE('T12 Input'!L51),0)</f>
        <v/>
      </c>
      <c r="L40">
        <f>IFERROR(VALUE('T12 Input'!M51),0)</f>
        <v/>
      </c>
      <c r="M40">
        <f>IFERROR(VALUE('T12 Input'!N51),0)</f>
        <v/>
      </c>
      <c r="N40">
        <f>IFERROR(INDEX(DescMap_Label,MATCH(A40,DescMap_Description,0)),"")</f>
        <v/>
      </c>
    </row>
    <row r="41" ht="15" customHeight="1" s="199">
      <c r="A41">
        <f>IFERROR(TRIM('T12 Input'!B52),)</f>
        <v/>
      </c>
      <c r="B41">
        <f>IFERROR(VALUE('T12 Input'!C52),0)</f>
        <v/>
      </c>
      <c r="C41">
        <f>IFERROR(VALUE('T12 Input'!D52),0)</f>
        <v/>
      </c>
      <c r="D41">
        <f>IFERROR(VALUE('T12 Input'!E52),0)</f>
        <v/>
      </c>
      <c r="E41">
        <f>IFERROR(VALUE('T12 Input'!F52),0)</f>
        <v/>
      </c>
      <c r="F41">
        <f>IFERROR(VALUE('T12 Input'!G52),0)</f>
        <v/>
      </c>
      <c r="G41">
        <f>IFERROR(VALUE('T12 Input'!H52),0)</f>
        <v/>
      </c>
      <c r="H41">
        <f>IFERROR(VALUE('T12 Input'!I52),0)</f>
        <v/>
      </c>
      <c r="I41">
        <f>IFERROR(VALUE('T12 Input'!J52),0)</f>
        <v/>
      </c>
      <c r="J41">
        <f>IFERROR(VALUE('T12 Input'!K52),0)</f>
        <v/>
      </c>
      <c r="K41">
        <f>IFERROR(VALUE('T12 Input'!L52),0)</f>
        <v/>
      </c>
      <c r="L41">
        <f>IFERROR(VALUE('T12 Input'!M52),0)</f>
        <v/>
      </c>
      <c r="M41">
        <f>IFERROR(VALUE('T12 Input'!N52),0)</f>
        <v/>
      </c>
      <c r="N41">
        <f>IFERROR(INDEX(DescMap_Label,MATCH(A41,DescMap_Description,0)),"")</f>
        <v/>
      </c>
    </row>
    <row r="42" ht="15" customHeight="1" s="199">
      <c r="A42">
        <f>IFERROR(TRIM('T12 Input'!B53),)</f>
        <v/>
      </c>
      <c r="B42">
        <f>IFERROR(VALUE('T12 Input'!C53),0)</f>
        <v/>
      </c>
      <c r="C42">
        <f>IFERROR(VALUE('T12 Input'!D53),0)</f>
        <v/>
      </c>
      <c r="D42">
        <f>IFERROR(VALUE('T12 Input'!E53),0)</f>
        <v/>
      </c>
      <c r="E42">
        <f>IFERROR(VALUE('T12 Input'!F53),0)</f>
        <v/>
      </c>
      <c r="F42">
        <f>IFERROR(VALUE('T12 Input'!G53),0)</f>
        <v/>
      </c>
      <c r="G42">
        <f>IFERROR(VALUE('T12 Input'!H53),0)</f>
        <v/>
      </c>
      <c r="H42">
        <f>IFERROR(VALUE('T12 Input'!I53),0)</f>
        <v/>
      </c>
      <c r="I42">
        <f>IFERROR(VALUE('T12 Input'!J53),0)</f>
        <v/>
      </c>
      <c r="J42">
        <f>IFERROR(VALUE('T12 Input'!K53),0)</f>
        <v/>
      </c>
      <c r="K42">
        <f>IFERROR(VALUE('T12 Input'!L53),0)</f>
        <v/>
      </c>
      <c r="L42">
        <f>IFERROR(VALUE('T12 Input'!M53),0)</f>
        <v/>
      </c>
      <c r="M42">
        <f>IFERROR(VALUE('T12 Input'!N53),0)</f>
        <v/>
      </c>
      <c r="N42">
        <f>IFERROR(INDEX(DescMap_Label,MATCH(A42,DescMap_Description,0)),"")</f>
        <v/>
      </c>
    </row>
    <row r="43" ht="15" customHeight="1" s="199">
      <c r="A43">
        <f>IFERROR(TRIM('T12 Input'!B54),)</f>
        <v/>
      </c>
      <c r="B43">
        <f>IFERROR(VALUE('T12 Input'!C54),0)</f>
        <v/>
      </c>
      <c r="C43">
        <f>IFERROR(VALUE('T12 Input'!D54),0)</f>
        <v/>
      </c>
      <c r="D43">
        <f>IFERROR(VALUE('T12 Input'!E54),0)</f>
        <v/>
      </c>
      <c r="E43">
        <f>IFERROR(VALUE('T12 Input'!F54),0)</f>
        <v/>
      </c>
      <c r="F43">
        <f>IFERROR(VALUE('T12 Input'!G54),0)</f>
        <v/>
      </c>
      <c r="G43">
        <f>IFERROR(VALUE('T12 Input'!H54),0)</f>
        <v/>
      </c>
      <c r="H43">
        <f>IFERROR(VALUE('T12 Input'!I54),0)</f>
        <v/>
      </c>
      <c r="I43">
        <f>IFERROR(VALUE('T12 Input'!J54),0)</f>
        <v/>
      </c>
      <c r="J43">
        <f>IFERROR(VALUE('T12 Input'!K54),0)</f>
        <v/>
      </c>
      <c r="K43">
        <f>IFERROR(VALUE('T12 Input'!L54),0)</f>
        <v/>
      </c>
      <c r="L43">
        <f>IFERROR(VALUE('T12 Input'!M54),0)</f>
        <v/>
      </c>
      <c r="M43">
        <f>IFERROR(VALUE('T12 Input'!N54),0)</f>
        <v/>
      </c>
      <c r="N43">
        <f>IFERROR(INDEX(DescMap_Label,MATCH(A43,DescMap_Description,0)),"")</f>
        <v/>
      </c>
    </row>
    <row r="44" ht="15" customHeight="1" s="199">
      <c r="A44">
        <f>IFERROR(TRIM('T12 Input'!B55),)</f>
        <v/>
      </c>
      <c r="B44">
        <f>IFERROR(VALUE('T12 Input'!C55),0)</f>
        <v/>
      </c>
      <c r="C44">
        <f>IFERROR(VALUE('T12 Input'!D55),0)</f>
        <v/>
      </c>
      <c r="D44">
        <f>IFERROR(VALUE('T12 Input'!E55),0)</f>
        <v/>
      </c>
      <c r="E44">
        <f>IFERROR(VALUE('T12 Input'!F55),0)</f>
        <v/>
      </c>
      <c r="F44">
        <f>IFERROR(VALUE('T12 Input'!G55),0)</f>
        <v/>
      </c>
      <c r="G44">
        <f>IFERROR(VALUE('T12 Input'!H55),0)</f>
        <v/>
      </c>
      <c r="H44">
        <f>IFERROR(VALUE('T12 Input'!I55),0)</f>
        <v/>
      </c>
      <c r="I44">
        <f>IFERROR(VALUE('T12 Input'!J55),0)</f>
        <v/>
      </c>
      <c r="J44">
        <f>IFERROR(VALUE('T12 Input'!K55),0)</f>
        <v/>
      </c>
      <c r="K44">
        <f>IFERROR(VALUE('T12 Input'!L55),0)</f>
        <v/>
      </c>
      <c r="L44">
        <f>IFERROR(VALUE('T12 Input'!M55),0)</f>
        <v/>
      </c>
      <c r="M44">
        <f>IFERROR(VALUE('T12 Input'!N55),0)</f>
        <v/>
      </c>
      <c r="N44">
        <f>IFERROR(INDEX(DescMap_Label,MATCH(A44,DescMap_Description,0)),"")</f>
        <v/>
      </c>
    </row>
    <row r="45" ht="15" customHeight="1" s="199">
      <c r="A45">
        <f>IFERROR(TRIM('T12 Input'!B56),)</f>
        <v/>
      </c>
      <c r="B45">
        <f>IFERROR(VALUE('T12 Input'!C56),0)</f>
        <v/>
      </c>
      <c r="C45">
        <f>IFERROR(VALUE('T12 Input'!D56),0)</f>
        <v/>
      </c>
      <c r="D45">
        <f>IFERROR(VALUE('T12 Input'!E56),0)</f>
        <v/>
      </c>
      <c r="E45">
        <f>IFERROR(VALUE('T12 Input'!F56),0)</f>
        <v/>
      </c>
      <c r="F45">
        <f>IFERROR(VALUE('T12 Input'!G56),0)</f>
        <v/>
      </c>
      <c r="G45">
        <f>IFERROR(VALUE('T12 Input'!H56),0)</f>
        <v/>
      </c>
      <c r="H45">
        <f>IFERROR(VALUE('T12 Input'!I56),0)</f>
        <v/>
      </c>
      <c r="I45">
        <f>IFERROR(VALUE('T12 Input'!J56),0)</f>
        <v/>
      </c>
      <c r="J45">
        <f>IFERROR(VALUE('T12 Input'!K56),0)</f>
        <v/>
      </c>
      <c r="K45">
        <f>IFERROR(VALUE('T12 Input'!L56),0)</f>
        <v/>
      </c>
      <c r="L45">
        <f>IFERROR(VALUE('T12 Input'!M56),0)</f>
        <v/>
      </c>
      <c r="M45">
        <f>IFERROR(VALUE('T12 Input'!N56),0)</f>
        <v/>
      </c>
      <c r="N45">
        <f>IFERROR(INDEX(DescMap_Label,MATCH(A45,DescMap_Description,0)),"")</f>
        <v/>
      </c>
    </row>
    <row r="46" ht="15" customHeight="1" s="199">
      <c r="A46">
        <f>IFERROR(TRIM('T12 Input'!B57),)</f>
        <v/>
      </c>
      <c r="B46">
        <f>IFERROR(VALUE('T12 Input'!C57),0)</f>
        <v/>
      </c>
      <c r="C46">
        <f>IFERROR(VALUE('T12 Input'!D57),0)</f>
        <v/>
      </c>
      <c r="D46">
        <f>IFERROR(VALUE('T12 Input'!E57),0)</f>
        <v/>
      </c>
      <c r="E46">
        <f>IFERROR(VALUE('T12 Input'!F57),0)</f>
        <v/>
      </c>
      <c r="F46">
        <f>IFERROR(VALUE('T12 Input'!G57),0)</f>
        <v/>
      </c>
      <c r="G46">
        <f>IFERROR(VALUE('T12 Input'!H57),0)</f>
        <v/>
      </c>
      <c r="H46">
        <f>IFERROR(VALUE('T12 Input'!I57),0)</f>
        <v/>
      </c>
      <c r="I46">
        <f>IFERROR(VALUE('T12 Input'!J57),0)</f>
        <v/>
      </c>
      <c r="J46">
        <f>IFERROR(VALUE('T12 Input'!K57),0)</f>
        <v/>
      </c>
      <c r="K46">
        <f>IFERROR(VALUE('T12 Input'!L57),0)</f>
        <v/>
      </c>
      <c r="L46">
        <f>IFERROR(VALUE('T12 Input'!M57),0)</f>
        <v/>
      </c>
      <c r="M46">
        <f>IFERROR(VALUE('T12 Input'!N57),0)</f>
        <v/>
      </c>
      <c r="N46">
        <f>IFERROR(INDEX(DescMap_Label,MATCH(A46,DescMap_Description,0)),"")</f>
        <v/>
      </c>
    </row>
    <row r="47" ht="15" customHeight="1" s="199">
      <c r="A47">
        <f>IFERROR(TRIM('T12 Input'!B58),)</f>
        <v/>
      </c>
      <c r="B47">
        <f>IFERROR(VALUE('T12 Input'!C58),0)</f>
        <v/>
      </c>
      <c r="C47">
        <f>IFERROR(VALUE('T12 Input'!D58),0)</f>
        <v/>
      </c>
      <c r="D47">
        <f>IFERROR(VALUE('T12 Input'!E58),0)</f>
        <v/>
      </c>
      <c r="E47">
        <f>IFERROR(VALUE('T12 Input'!F58),0)</f>
        <v/>
      </c>
      <c r="F47">
        <f>IFERROR(VALUE('T12 Input'!G58),0)</f>
        <v/>
      </c>
      <c r="G47">
        <f>IFERROR(VALUE('T12 Input'!H58),0)</f>
        <v/>
      </c>
      <c r="H47">
        <f>IFERROR(VALUE('T12 Input'!I58),0)</f>
        <v/>
      </c>
      <c r="I47">
        <f>IFERROR(VALUE('T12 Input'!J58),0)</f>
        <v/>
      </c>
      <c r="J47">
        <f>IFERROR(VALUE('T12 Input'!K58),0)</f>
        <v/>
      </c>
      <c r="K47">
        <f>IFERROR(VALUE('T12 Input'!L58),0)</f>
        <v/>
      </c>
      <c r="L47">
        <f>IFERROR(VALUE('T12 Input'!M58),0)</f>
        <v/>
      </c>
      <c r="M47">
        <f>IFERROR(VALUE('T12 Input'!N58),0)</f>
        <v/>
      </c>
      <c r="N47">
        <f>IFERROR(INDEX(DescMap_Label,MATCH(A47,DescMap_Description,0)),"")</f>
        <v/>
      </c>
    </row>
    <row r="48" ht="15" customHeight="1" s="199">
      <c r="A48">
        <f>IFERROR(TRIM('T12 Input'!B59),)</f>
        <v/>
      </c>
      <c r="B48">
        <f>IFERROR(VALUE('T12 Input'!C59),0)</f>
        <v/>
      </c>
      <c r="C48">
        <f>IFERROR(VALUE('T12 Input'!D59),0)</f>
        <v/>
      </c>
      <c r="D48">
        <f>IFERROR(VALUE('T12 Input'!E59),0)</f>
        <v/>
      </c>
      <c r="E48">
        <f>IFERROR(VALUE('T12 Input'!F59),0)</f>
        <v/>
      </c>
      <c r="F48">
        <f>IFERROR(VALUE('T12 Input'!G59),0)</f>
        <v/>
      </c>
      <c r="G48">
        <f>IFERROR(VALUE('T12 Input'!H59),0)</f>
        <v/>
      </c>
      <c r="H48">
        <f>IFERROR(VALUE('T12 Input'!I59),0)</f>
        <v/>
      </c>
      <c r="I48">
        <f>IFERROR(VALUE('T12 Input'!J59),0)</f>
        <v/>
      </c>
      <c r="J48">
        <f>IFERROR(VALUE('T12 Input'!K59),0)</f>
        <v/>
      </c>
      <c r="K48">
        <f>IFERROR(VALUE('T12 Input'!L59),0)</f>
        <v/>
      </c>
      <c r="L48">
        <f>IFERROR(VALUE('T12 Input'!M59),0)</f>
        <v/>
      </c>
      <c r="M48">
        <f>IFERROR(VALUE('T12 Input'!N59),0)</f>
        <v/>
      </c>
      <c r="N48">
        <f>IFERROR(INDEX(DescMap_Label,MATCH(A48,DescMap_Description,0)),"")</f>
        <v/>
      </c>
    </row>
    <row r="49" ht="15" customHeight="1" s="199">
      <c r="A49">
        <f>IFERROR(TRIM('T12 Input'!B60),)</f>
        <v/>
      </c>
      <c r="B49">
        <f>IFERROR(VALUE('T12 Input'!C60),0)</f>
        <v/>
      </c>
      <c r="C49">
        <f>IFERROR(VALUE('T12 Input'!D60),0)</f>
        <v/>
      </c>
      <c r="D49">
        <f>IFERROR(VALUE('T12 Input'!E60),0)</f>
        <v/>
      </c>
      <c r="E49">
        <f>IFERROR(VALUE('T12 Input'!F60),0)</f>
        <v/>
      </c>
      <c r="F49">
        <f>IFERROR(VALUE('T12 Input'!G60),0)</f>
        <v/>
      </c>
      <c r="G49">
        <f>IFERROR(VALUE('T12 Input'!H60),0)</f>
        <v/>
      </c>
      <c r="H49">
        <f>IFERROR(VALUE('T12 Input'!I60),0)</f>
        <v/>
      </c>
      <c r="I49">
        <f>IFERROR(VALUE('T12 Input'!J60),0)</f>
        <v/>
      </c>
      <c r="J49">
        <f>IFERROR(VALUE('T12 Input'!K60),0)</f>
        <v/>
      </c>
      <c r="K49">
        <f>IFERROR(VALUE('T12 Input'!L60),0)</f>
        <v/>
      </c>
      <c r="L49">
        <f>IFERROR(VALUE('T12 Input'!M60),0)</f>
        <v/>
      </c>
      <c r="M49">
        <f>IFERROR(VALUE('T12 Input'!N60),0)</f>
        <v/>
      </c>
      <c r="N49">
        <f>IFERROR(INDEX(DescMap_Label,MATCH(A49,DescMap_Description,0)),"")</f>
        <v/>
      </c>
    </row>
    <row r="50" ht="15" customHeight="1" s="199">
      <c r="A50">
        <f>IFERROR(TRIM('T12 Input'!B61),)</f>
        <v/>
      </c>
      <c r="B50">
        <f>IFERROR(VALUE('T12 Input'!C61),0)</f>
        <v/>
      </c>
      <c r="C50">
        <f>IFERROR(VALUE('T12 Input'!D61),0)</f>
        <v/>
      </c>
      <c r="D50">
        <f>IFERROR(VALUE('T12 Input'!E61),0)</f>
        <v/>
      </c>
      <c r="E50">
        <f>IFERROR(VALUE('T12 Input'!F61),0)</f>
        <v/>
      </c>
      <c r="F50">
        <f>IFERROR(VALUE('T12 Input'!G61),0)</f>
        <v/>
      </c>
      <c r="G50">
        <f>IFERROR(VALUE('T12 Input'!H61),0)</f>
        <v/>
      </c>
      <c r="H50">
        <f>IFERROR(VALUE('T12 Input'!I61),0)</f>
        <v/>
      </c>
      <c r="I50">
        <f>IFERROR(VALUE('T12 Input'!J61),0)</f>
        <v/>
      </c>
      <c r="J50">
        <f>IFERROR(VALUE('T12 Input'!K61),0)</f>
        <v/>
      </c>
      <c r="K50">
        <f>IFERROR(VALUE('T12 Input'!L61),0)</f>
        <v/>
      </c>
      <c r="L50">
        <f>IFERROR(VALUE('T12 Input'!M61),0)</f>
        <v/>
      </c>
      <c r="M50">
        <f>IFERROR(VALUE('T12 Input'!N61),0)</f>
        <v/>
      </c>
      <c r="N50">
        <f>IFERROR(INDEX(DescMap_Label,MATCH(A50,DescMap_Description,0)),"")</f>
        <v/>
      </c>
    </row>
    <row r="51" ht="15" customHeight="1" s="199">
      <c r="A51">
        <f>IFERROR(TRIM('T12 Input'!B62),)</f>
        <v/>
      </c>
      <c r="B51">
        <f>IFERROR(VALUE('T12 Input'!C62),0)</f>
        <v/>
      </c>
      <c r="C51">
        <f>IFERROR(VALUE('T12 Input'!D62),0)</f>
        <v/>
      </c>
      <c r="D51">
        <f>IFERROR(VALUE('T12 Input'!E62),0)</f>
        <v/>
      </c>
      <c r="E51">
        <f>IFERROR(VALUE('T12 Input'!F62),0)</f>
        <v/>
      </c>
      <c r="F51">
        <f>IFERROR(VALUE('T12 Input'!G62),0)</f>
        <v/>
      </c>
      <c r="G51">
        <f>IFERROR(VALUE('T12 Input'!H62),0)</f>
        <v/>
      </c>
      <c r="H51">
        <f>IFERROR(VALUE('T12 Input'!I62),0)</f>
        <v/>
      </c>
      <c r="I51">
        <f>IFERROR(VALUE('T12 Input'!J62),0)</f>
        <v/>
      </c>
      <c r="J51">
        <f>IFERROR(VALUE('T12 Input'!K62),0)</f>
        <v/>
      </c>
      <c r="K51">
        <f>IFERROR(VALUE('T12 Input'!L62),0)</f>
        <v/>
      </c>
      <c r="L51">
        <f>IFERROR(VALUE('T12 Input'!M62),0)</f>
        <v/>
      </c>
      <c r="M51">
        <f>IFERROR(VALUE('T12 Input'!N62),0)</f>
        <v/>
      </c>
      <c r="N51">
        <f>IFERROR(INDEX(DescMap_Label,MATCH(A51,DescMap_Description,0)),"")</f>
        <v/>
      </c>
    </row>
    <row r="52" ht="15" customHeight="1" s="199">
      <c r="A52">
        <f>IFERROR(TRIM('T12 Input'!B63),)</f>
        <v/>
      </c>
      <c r="B52">
        <f>IFERROR(VALUE('T12 Input'!C63),0)</f>
        <v/>
      </c>
      <c r="C52">
        <f>IFERROR(VALUE('T12 Input'!D63),0)</f>
        <v/>
      </c>
      <c r="D52">
        <f>IFERROR(VALUE('T12 Input'!E63),0)</f>
        <v/>
      </c>
      <c r="E52">
        <f>IFERROR(VALUE('T12 Input'!F63),0)</f>
        <v/>
      </c>
      <c r="F52">
        <f>IFERROR(VALUE('T12 Input'!G63),0)</f>
        <v/>
      </c>
      <c r="G52">
        <f>IFERROR(VALUE('T12 Input'!H63),0)</f>
        <v/>
      </c>
      <c r="H52">
        <f>IFERROR(VALUE('T12 Input'!I63),0)</f>
        <v/>
      </c>
      <c r="I52">
        <f>IFERROR(VALUE('T12 Input'!J63),0)</f>
        <v/>
      </c>
      <c r="J52">
        <f>IFERROR(VALUE('T12 Input'!K63),0)</f>
        <v/>
      </c>
      <c r="K52">
        <f>IFERROR(VALUE('T12 Input'!L63),0)</f>
        <v/>
      </c>
      <c r="L52">
        <f>IFERROR(VALUE('T12 Input'!M63),0)</f>
        <v/>
      </c>
      <c r="M52">
        <f>IFERROR(VALUE('T12 Input'!N63),0)</f>
        <v/>
      </c>
      <c r="N52">
        <f>IFERROR(INDEX(DescMap_Label,MATCH(A52,DescMap_Description,0)),"")</f>
        <v/>
      </c>
    </row>
    <row r="53" ht="15" customHeight="1" s="199">
      <c r="A53">
        <f>IFERROR(TRIM('T12 Input'!B64),)</f>
        <v/>
      </c>
      <c r="B53">
        <f>IFERROR(VALUE('T12 Input'!C64),0)</f>
        <v/>
      </c>
      <c r="C53">
        <f>IFERROR(VALUE('T12 Input'!D64),0)</f>
        <v/>
      </c>
      <c r="D53">
        <f>IFERROR(VALUE('T12 Input'!E64),0)</f>
        <v/>
      </c>
      <c r="E53">
        <f>IFERROR(VALUE('T12 Input'!F64),0)</f>
        <v/>
      </c>
      <c r="F53">
        <f>IFERROR(VALUE('T12 Input'!G64),0)</f>
        <v/>
      </c>
      <c r="G53">
        <f>IFERROR(VALUE('T12 Input'!H64),0)</f>
        <v/>
      </c>
      <c r="H53">
        <f>IFERROR(VALUE('T12 Input'!I64),0)</f>
        <v/>
      </c>
      <c r="I53">
        <f>IFERROR(VALUE('T12 Input'!J64),0)</f>
        <v/>
      </c>
      <c r="J53">
        <f>IFERROR(VALUE('T12 Input'!K64),0)</f>
        <v/>
      </c>
      <c r="K53">
        <f>IFERROR(VALUE('T12 Input'!L64),0)</f>
        <v/>
      </c>
      <c r="L53">
        <f>IFERROR(VALUE('T12 Input'!M64),0)</f>
        <v/>
      </c>
      <c r="M53">
        <f>IFERROR(VALUE('T12 Input'!N64),0)</f>
        <v/>
      </c>
      <c r="N53">
        <f>IFERROR(INDEX(DescMap_Label,MATCH(A53,DescMap_Description,0)),"")</f>
        <v/>
      </c>
    </row>
    <row r="54" ht="15" customHeight="1" s="199">
      <c r="A54">
        <f>IFERROR(TRIM('T12 Input'!B65),)</f>
        <v/>
      </c>
      <c r="B54">
        <f>IFERROR(VALUE('T12 Input'!C65),0)</f>
        <v/>
      </c>
      <c r="C54">
        <f>IFERROR(VALUE('T12 Input'!D65),0)</f>
        <v/>
      </c>
      <c r="D54">
        <f>IFERROR(VALUE('T12 Input'!E65),0)</f>
        <v/>
      </c>
      <c r="E54">
        <f>IFERROR(VALUE('T12 Input'!F65),0)</f>
        <v/>
      </c>
      <c r="F54">
        <f>IFERROR(VALUE('T12 Input'!G65),0)</f>
        <v/>
      </c>
      <c r="G54">
        <f>IFERROR(VALUE('T12 Input'!H65),0)</f>
        <v/>
      </c>
      <c r="H54">
        <f>IFERROR(VALUE('T12 Input'!I65),0)</f>
        <v/>
      </c>
      <c r="I54">
        <f>IFERROR(VALUE('T12 Input'!J65),0)</f>
        <v/>
      </c>
      <c r="J54">
        <f>IFERROR(VALUE('T12 Input'!K65),0)</f>
        <v/>
      </c>
      <c r="K54">
        <f>IFERROR(VALUE('T12 Input'!L65),0)</f>
        <v/>
      </c>
      <c r="L54">
        <f>IFERROR(VALUE('T12 Input'!M65),0)</f>
        <v/>
      </c>
      <c r="M54">
        <f>IFERROR(VALUE('T12 Input'!N65),0)</f>
        <v/>
      </c>
      <c r="N54">
        <f>IFERROR(INDEX(DescMap_Label,MATCH(A54,DescMap_Description,0)),"")</f>
        <v/>
      </c>
    </row>
    <row r="55" ht="15" customHeight="1" s="199">
      <c r="A55">
        <f>IFERROR(TRIM('T12 Input'!B66),)</f>
        <v/>
      </c>
      <c r="B55">
        <f>IFERROR(VALUE('T12 Input'!C66),0)</f>
        <v/>
      </c>
      <c r="C55">
        <f>IFERROR(VALUE('T12 Input'!D66),0)</f>
        <v/>
      </c>
      <c r="D55">
        <f>IFERROR(VALUE('T12 Input'!E66),0)</f>
        <v/>
      </c>
      <c r="E55">
        <f>IFERROR(VALUE('T12 Input'!F66),0)</f>
        <v/>
      </c>
      <c r="F55">
        <f>IFERROR(VALUE('T12 Input'!G66),0)</f>
        <v/>
      </c>
      <c r="G55">
        <f>IFERROR(VALUE('T12 Input'!H66),0)</f>
        <v/>
      </c>
      <c r="H55">
        <f>IFERROR(VALUE('T12 Input'!I66),0)</f>
        <v/>
      </c>
      <c r="I55">
        <f>IFERROR(VALUE('T12 Input'!J66),0)</f>
        <v/>
      </c>
      <c r="J55">
        <f>IFERROR(VALUE('T12 Input'!K66),0)</f>
        <v/>
      </c>
      <c r="K55">
        <f>IFERROR(VALUE('T12 Input'!L66),0)</f>
        <v/>
      </c>
      <c r="L55">
        <f>IFERROR(VALUE('T12 Input'!M66),0)</f>
        <v/>
      </c>
      <c r="M55">
        <f>IFERROR(VALUE('T12 Input'!N66),0)</f>
        <v/>
      </c>
      <c r="N55">
        <f>IFERROR(INDEX(DescMap_Label,MATCH(A55,DescMap_Description,0)),"")</f>
        <v/>
      </c>
    </row>
    <row r="56" ht="15" customHeight="1" s="199">
      <c r="A56">
        <f>IFERROR(TRIM('T12 Input'!B67),)</f>
        <v/>
      </c>
      <c r="B56">
        <f>IFERROR(VALUE('T12 Input'!C67),0)</f>
        <v/>
      </c>
      <c r="C56">
        <f>IFERROR(VALUE('T12 Input'!D67),0)</f>
        <v/>
      </c>
      <c r="D56">
        <f>IFERROR(VALUE('T12 Input'!E67),0)</f>
        <v/>
      </c>
      <c r="E56">
        <f>IFERROR(VALUE('T12 Input'!F67),0)</f>
        <v/>
      </c>
      <c r="F56">
        <f>IFERROR(VALUE('T12 Input'!G67),0)</f>
        <v/>
      </c>
      <c r="G56">
        <f>IFERROR(VALUE('T12 Input'!H67),0)</f>
        <v/>
      </c>
      <c r="H56">
        <f>IFERROR(VALUE('T12 Input'!I67),0)</f>
        <v/>
      </c>
      <c r="I56">
        <f>IFERROR(VALUE('T12 Input'!J67),0)</f>
        <v/>
      </c>
      <c r="J56">
        <f>IFERROR(VALUE('T12 Input'!K67),0)</f>
        <v/>
      </c>
      <c r="K56">
        <f>IFERROR(VALUE('T12 Input'!L67),0)</f>
        <v/>
      </c>
      <c r="L56">
        <f>IFERROR(VALUE('T12 Input'!M67),0)</f>
        <v/>
      </c>
      <c r="M56">
        <f>IFERROR(VALUE('T12 Input'!N67),0)</f>
        <v/>
      </c>
      <c r="N56">
        <f>IFERROR(INDEX(DescMap_Label,MATCH(A56,DescMap_Description,0)),"")</f>
        <v/>
      </c>
    </row>
    <row r="57" ht="15" customHeight="1" s="199">
      <c r="A57">
        <f>IFERROR(TRIM('T12 Input'!B68),)</f>
        <v/>
      </c>
      <c r="B57">
        <f>IFERROR(VALUE('T12 Input'!C68),0)</f>
        <v/>
      </c>
      <c r="C57">
        <f>IFERROR(VALUE('T12 Input'!D68),0)</f>
        <v/>
      </c>
      <c r="D57">
        <f>IFERROR(VALUE('T12 Input'!E68),0)</f>
        <v/>
      </c>
      <c r="E57">
        <f>IFERROR(VALUE('T12 Input'!F68),0)</f>
        <v/>
      </c>
      <c r="F57">
        <f>IFERROR(VALUE('T12 Input'!G68),0)</f>
        <v/>
      </c>
      <c r="G57">
        <f>IFERROR(VALUE('T12 Input'!H68),0)</f>
        <v/>
      </c>
      <c r="H57">
        <f>IFERROR(VALUE('T12 Input'!I68),0)</f>
        <v/>
      </c>
      <c r="I57">
        <f>IFERROR(VALUE('T12 Input'!J68),0)</f>
        <v/>
      </c>
      <c r="J57">
        <f>IFERROR(VALUE('T12 Input'!K68),0)</f>
        <v/>
      </c>
      <c r="K57">
        <f>IFERROR(VALUE('T12 Input'!L68),0)</f>
        <v/>
      </c>
      <c r="L57">
        <f>IFERROR(VALUE('T12 Input'!M68),0)</f>
        <v/>
      </c>
      <c r="M57">
        <f>IFERROR(VALUE('T12 Input'!N68),0)</f>
        <v/>
      </c>
      <c r="N57">
        <f>IFERROR(INDEX(DescMap_Label,MATCH(A57,DescMap_Description,0)),"")</f>
        <v/>
      </c>
    </row>
    <row r="58" ht="15" customHeight="1" s="199">
      <c r="A58">
        <f>IFERROR(TRIM('T12 Input'!B69),)</f>
        <v/>
      </c>
      <c r="B58">
        <f>IFERROR(VALUE('T12 Input'!C69),0)</f>
        <v/>
      </c>
      <c r="C58">
        <f>IFERROR(VALUE('T12 Input'!D69),0)</f>
        <v/>
      </c>
      <c r="D58">
        <f>IFERROR(VALUE('T12 Input'!E69),0)</f>
        <v/>
      </c>
      <c r="E58">
        <f>IFERROR(VALUE('T12 Input'!F69),0)</f>
        <v/>
      </c>
      <c r="F58">
        <f>IFERROR(VALUE('T12 Input'!G69),0)</f>
        <v/>
      </c>
      <c r="G58">
        <f>IFERROR(VALUE('T12 Input'!H69),0)</f>
        <v/>
      </c>
      <c r="H58">
        <f>IFERROR(VALUE('T12 Input'!I69),0)</f>
        <v/>
      </c>
      <c r="I58">
        <f>IFERROR(VALUE('T12 Input'!J69),0)</f>
        <v/>
      </c>
      <c r="J58">
        <f>IFERROR(VALUE('T12 Input'!K69),0)</f>
        <v/>
      </c>
      <c r="K58">
        <f>IFERROR(VALUE('T12 Input'!L69),0)</f>
        <v/>
      </c>
      <c r="L58">
        <f>IFERROR(VALUE('T12 Input'!M69),0)</f>
        <v/>
      </c>
      <c r="M58">
        <f>IFERROR(VALUE('T12 Input'!N69),0)</f>
        <v/>
      </c>
      <c r="N58">
        <f>IFERROR(INDEX(DescMap_Label,MATCH(A58,DescMap_Description,0)),"")</f>
        <v/>
      </c>
    </row>
    <row r="59" ht="15" customHeight="1" s="199">
      <c r="A59">
        <f>IFERROR(TRIM('T12 Input'!B70),)</f>
        <v/>
      </c>
      <c r="B59">
        <f>IFERROR(VALUE('T12 Input'!C70),0)</f>
        <v/>
      </c>
      <c r="C59">
        <f>IFERROR(VALUE('T12 Input'!D70),0)</f>
        <v/>
      </c>
      <c r="D59">
        <f>IFERROR(VALUE('T12 Input'!E70),0)</f>
        <v/>
      </c>
      <c r="E59">
        <f>IFERROR(VALUE('T12 Input'!F70),0)</f>
        <v/>
      </c>
      <c r="F59">
        <f>IFERROR(VALUE('T12 Input'!G70),0)</f>
        <v/>
      </c>
      <c r="G59">
        <f>IFERROR(VALUE('T12 Input'!H70),0)</f>
        <v/>
      </c>
      <c r="H59">
        <f>IFERROR(VALUE('T12 Input'!I70),0)</f>
        <v/>
      </c>
      <c r="I59">
        <f>IFERROR(VALUE('T12 Input'!J70),0)</f>
        <v/>
      </c>
      <c r="J59">
        <f>IFERROR(VALUE('T12 Input'!K70),0)</f>
        <v/>
      </c>
      <c r="K59">
        <f>IFERROR(VALUE('T12 Input'!L70),0)</f>
        <v/>
      </c>
      <c r="L59">
        <f>IFERROR(VALUE('T12 Input'!M70),0)</f>
        <v/>
      </c>
      <c r="M59">
        <f>IFERROR(VALUE('T12 Input'!N70),0)</f>
        <v/>
      </c>
      <c r="N59">
        <f>IFERROR(INDEX(DescMap_Label,MATCH(A59,DescMap_Description,0)),"")</f>
        <v/>
      </c>
    </row>
    <row r="60" ht="15" customHeight="1" s="199">
      <c r="A60">
        <f>IFERROR(TRIM('T12 Input'!B71),)</f>
        <v/>
      </c>
      <c r="B60">
        <f>IFERROR(VALUE('T12 Input'!C71),0)</f>
        <v/>
      </c>
      <c r="C60">
        <f>IFERROR(VALUE('T12 Input'!D71),0)</f>
        <v/>
      </c>
      <c r="D60">
        <f>IFERROR(VALUE('T12 Input'!E71),0)</f>
        <v/>
      </c>
      <c r="E60">
        <f>IFERROR(VALUE('T12 Input'!F71),0)</f>
        <v/>
      </c>
      <c r="F60">
        <f>IFERROR(VALUE('T12 Input'!G71),0)</f>
        <v/>
      </c>
      <c r="G60">
        <f>IFERROR(VALUE('T12 Input'!H71),0)</f>
        <v/>
      </c>
      <c r="H60">
        <f>IFERROR(VALUE('T12 Input'!I71),0)</f>
        <v/>
      </c>
      <c r="I60">
        <f>IFERROR(VALUE('T12 Input'!J71),0)</f>
        <v/>
      </c>
      <c r="J60">
        <f>IFERROR(VALUE('T12 Input'!K71),0)</f>
        <v/>
      </c>
      <c r="K60">
        <f>IFERROR(VALUE('T12 Input'!L71),0)</f>
        <v/>
      </c>
      <c r="L60">
        <f>IFERROR(VALUE('T12 Input'!M71),0)</f>
        <v/>
      </c>
      <c r="M60">
        <f>IFERROR(VALUE('T12 Input'!N71),0)</f>
        <v/>
      </c>
      <c r="N60">
        <f>IFERROR(INDEX(DescMap_Label,MATCH(A60,DescMap_Description,0)),"")</f>
        <v/>
      </c>
    </row>
    <row r="61" ht="15" customHeight="1" s="199">
      <c r="A61">
        <f>IFERROR(TRIM('T12 Input'!B72),)</f>
        <v/>
      </c>
      <c r="B61">
        <f>IFERROR(VALUE('T12 Input'!C72),0)</f>
        <v/>
      </c>
      <c r="C61">
        <f>IFERROR(VALUE('T12 Input'!D72),0)</f>
        <v/>
      </c>
      <c r="D61">
        <f>IFERROR(VALUE('T12 Input'!E72),0)</f>
        <v/>
      </c>
      <c r="E61">
        <f>IFERROR(VALUE('T12 Input'!F72),0)</f>
        <v/>
      </c>
      <c r="F61">
        <f>IFERROR(VALUE('T12 Input'!G72),0)</f>
        <v/>
      </c>
      <c r="G61">
        <f>IFERROR(VALUE('T12 Input'!H72),0)</f>
        <v/>
      </c>
      <c r="H61">
        <f>IFERROR(VALUE('T12 Input'!I72),0)</f>
        <v/>
      </c>
      <c r="I61">
        <f>IFERROR(VALUE('T12 Input'!J72),0)</f>
        <v/>
      </c>
      <c r="J61">
        <f>IFERROR(VALUE('T12 Input'!K72),0)</f>
        <v/>
      </c>
      <c r="K61">
        <f>IFERROR(VALUE('T12 Input'!L72),0)</f>
        <v/>
      </c>
      <c r="L61">
        <f>IFERROR(VALUE('T12 Input'!M72),0)</f>
        <v/>
      </c>
      <c r="M61">
        <f>IFERROR(VALUE('T12 Input'!N72),0)</f>
        <v/>
      </c>
      <c r="N61">
        <f>IFERROR(INDEX(DescMap_Label,MATCH(A61,DescMap_Description,0)),"")</f>
        <v/>
      </c>
    </row>
    <row r="62" ht="15" customHeight="1" s="199">
      <c r="A62">
        <f>IFERROR(TRIM('T12 Input'!B73),)</f>
        <v/>
      </c>
      <c r="B62">
        <f>IFERROR(VALUE('T12 Input'!C73),0)</f>
        <v/>
      </c>
      <c r="C62">
        <f>IFERROR(VALUE('T12 Input'!D73),0)</f>
        <v/>
      </c>
      <c r="D62">
        <f>IFERROR(VALUE('T12 Input'!E73),0)</f>
        <v/>
      </c>
      <c r="E62">
        <f>IFERROR(VALUE('T12 Input'!F73),0)</f>
        <v/>
      </c>
      <c r="F62">
        <f>IFERROR(VALUE('T12 Input'!G73),0)</f>
        <v/>
      </c>
      <c r="G62">
        <f>IFERROR(VALUE('T12 Input'!H73),0)</f>
        <v/>
      </c>
      <c r="H62">
        <f>IFERROR(VALUE('T12 Input'!I73),0)</f>
        <v/>
      </c>
      <c r="I62">
        <f>IFERROR(VALUE('T12 Input'!J73),0)</f>
        <v/>
      </c>
      <c r="J62">
        <f>IFERROR(VALUE('T12 Input'!K73),0)</f>
        <v/>
      </c>
      <c r="K62">
        <f>IFERROR(VALUE('T12 Input'!L73),0)</f>
        <v/>
      </c>
      <c r="L62">
        <f>IFERROR(VALUE('T12 Input'!M73),0)</f>
        <v/>
      </c>
      <c r="M62">
        <f>IFERROR(VALUE('T12 Input'!N73),0)</f>
        <v/>
      </c>
      <c r="N62">
        <f>IFERROR(INDEX(DescMap_Label,MATCH(A62,DescMap_Description,0)),"")</f>
        <v/>
      </c>
    </row>
    <row r="63" ht="15" customHeight="1" s="199">
      <c r="A63">
        <f>IFERROR(TRIM('T12 Input'!B74),)</f>
        <v/>
      </c>
      <c r="B63">
        <f>IFERROR(VALUE('T12 Input'!C74),0)</f>
        <v/>
      </c>
      <c r="C63">
        <f>IFERROR(VALUE('T12 Input'!D74),0)</f>
        <v/>
      </c>
      <c r="D63">
        <f>IFERROR(VALUE('T12 Input'!E74),0)</f>
        <v/>
      </c>
      <c r="E63">
        <f>IFERROR(VALUE('T12 Input'!F74),0)</f>
        <v/>
      </c>
      <c r="F63">
        <f>IFERROR(VALUE('T12 Input'!G74),0)</f>
        <v/>
      </c>
      <c r="G63">
        <f>IFERROR(VALUE('T12 Input'!H74),0)</f>
        <v/>
      </c>
      <c r="H63">
        <f>IFERROR(VALUE('T12 Input'!I74),0)</f>
        <v/>
      </c>
      <c r="I63">
        <f>IFERROR(VALUE('T12 Input'!J74),0)</f>
        <v/>
      </c>
      <c r="J63">
        <f>IFERROR(VALUE('T12 Input'!K74),0)</f>
        <v/>
      </c>
      <c r="K63">
        <f>IFERROR(VALUE('T12 Input'!L74),0)</f>
        <v/>
      </c>
      <c r="L63">
        <f>IFERROR(VALUE('T12 Input'!M74),0)</f>
        <v/>
      </c>
      <c r="M63">
        <f>IFERROR(VALUE('T12 Input'!N74),0)</f>
        <v/>
      </c>
      <c r="N63">
        <f>IFERROR(INDEX(DescMap_Label,MATCH(A63,DescMap_Description,0)),"")</f>
        <v/>
      </c>
    </row>
    <row r="64" ht="15" customHeight="1" s="199">
      <c r="A64">
        <f>IFERROR(TRIM('T12 Input'!B75),)</f>
        <v/>
      </c>
      <c r="B64">
        <f>IFERROR(VALUE('T12 Input'!C75),0)</f>
        <v/>
      </c>
      <c r="C64">
        <f>IFERROR(VALUE('T12 Input'!D75),0)</f>
        <v/>
      </c>
      <c r="D64">
        <f>IFERROR(VALUE('T12 Input'!E75),0)</f>
        <v/>
      </c>
      <c r="E64">
        <f>IFERROR(VALUE('T12 Input'!F75),0)</f>
        <v/>
      </c>
      <c r="F64">
        <f>IFERROR(VALUE('T12 Input'!G75),0)</f>
        <v/>
      </c>
      <c r="G64">
        <f>IFERROR(VALUE('T12 Input'!H75),0)</f>
        <v/>
      </c>
      <c r="H64">
        <f>IFERROR(VALUE('T12 Input'!I75),0)</f>
        <v/>
      </c>
      <c r="I64">
        <f>IFERROR(VALUE('T12 Input'!J75),0)</f>
        <v/>
      </c>
      <c r="J64">
        <f>IFERROR(VALUE('T12 Input'!K75),0)</f>
        <v/>
      </c>
      <c r="K64">
        <f>IFERROR(VALUE('T12 Input'!L75),0)</f>
        <v/>
      </c>
      <c r="L64">
        <f>IFERROR(VALUE('T12 Input'!M75),0)</f>
        <v/>
      </c>
      <c r="M64">
        <f>IFERROR(VALUE('T12 Input'!N75),0)</f>
        <v/>
      </c>
      <c r="N64">
        <f>IFERROR(INDEX(DescMap_Label,MATCH(A64,DescMap_Description,0)),"")</f>
        <v/>
      </c>
    </row>
    <row r="65" ht="15" customHeight="1" s="199">
      <c r="A65">
        <f>IFERROR(TRIM('T12 Input'!B76),)</f>
        <v/>
      </c>
      <c r="B65">
        <f>IFERROR(VALUE('T12 Input'!C76),0)</f>
        <v/>
      </c>
      <c r="C65">
        <f>IFERROR(VALUE('T12 Input'!D76),0)</f>
        <v/>
      </c>
      <c r="D65">
        <f>IFERROR(VALUE('T12 Input'!E76),0)</f>
        <v/>
      </c>
      <c r="E65">
        <f>IFERROR(VALUE('T12 Input'!F76),0)</f>
        <v/>
      </c>
      <c r="F65">
        <f>IFERROR(VALUE('T12 Input'!G76),0)</f>
        <v/>
      </c>
      <c r="G65">
        <f>IFERROR(VALUE('T12 Input'!H76),0)</f>
        <v/>
      </c>
      <c r="H65">
        <f>IFERROR(VALUE('T12 Input'!I76),0)</f>
        <v/>
      </c>
      <c r="I65">
        <f>IFERROR(VALUE('T12 Input'!J76),0)</f>
        <v/>
      </c>
      <c r="J65">
        <f>IFERROR(VALUE('T12 Input'!K76),0)</f>
        <v/>
      </c>
      <c r="K65">
        <f>IFERROR(VALUE('T12 Input'!L76),0)</f>
        <v/>
      </c>
      <c r="L65">
        <f>IFERROR(VALUE('T12 Input'!M76),0)</f>
        <v/>
      </c>
      <c r="M65">
        <f>IFERROR(VALUE('T12 Input'!N76),0)</f>
        <v/>
      </c>
      <c r="N65">
        <f>IFERROR(INDEX(DescMap_Label,MATCH(A65,DescMap_Description,0)),"")</f>
        <v/>
      </c>
    </row>
    <row r="66" ht="15" customHeight="1" s="199">
      <c r="A66">
        <f>IFERROR(TRIM('T12 Input'!B77),)</f>
        <v/>
      </c>
      <c r="B66">
        <f>IFERROR(VALUE('T12 Input'!C77),0)</f>
        <v/>
      </c>
      <c r="C66">
        <f>IFERROR(VALUE('T12 Input'!D77),0)</f>
        <v/>
      </c>
      <c r="D66">
        <f>IFERROR(VALUE('T12 Input'!E77),0)</f>
        <v/>
      </c>
      <c r="E66">
        <f>IFERROR(VALUE('T12 Input'!F77),0)</f>
        <v/>
      </c>
      <c r="F66">
        <f>IFERROR(VALUE('T12 Input'!G77),0)</f>
        <v/>
      </c>
      <c r="G66">
        <f>IFERROR(VALUE('T12 Input'!H77),0)</f>
        <v/>
      </c>
      <c r="H66">
        <f>IFERROR(VALUE('T12 Input'!I77),0)</f>
        <v/>
      </c>
      <c r="I66">
        <f>IFERROR(VALUE('T12 Input'!J77),0)</f>
        <v/>
      </c>
      <c r="J66">
        <f>IFERROR(VALUE('T12 Input'!K77),0)</f>
        <v/>
      </c>
      <c r="K66">
        <f>IFERROR(VALUE('T12 Input'!L77),0)</f>
        <v/>
      </c>
      <c r="L66">
        <f>IFERROR(VALUE('T12 Input'!M77),0)</f>
        <v/>
      </c>
      <c r="M66">
        <f>IFERROR(VALUE('T12 Input'!N77),0)</f>
        <v/>
      </c>
      <c r="N66">
        <f>IFERROR(INDEX(DescMap_Label,MATCH(A66,DescMap_Description,0)),"")</f>
        <v/>
      </c>
    </row>
    <row r="67" ht="15" customHeight="1" s="199">
      <c r="A67">
        <f>IFERROR(TRIM('T12 Input'!B78),)</f>
        <v/>
      </c>
      <c r="B67">
        <f>IFERROR(VALUE('T12 Input'!C78),0)</f>
        <v/>
      </c>
      <c r="C67">
        <f>IFERROR(VALUE('T12 Input'!D78),0)</f>
        <v/>
      </c>
      <c r="D67">
        <f>IFERROR(VALUE('T12 Input'!E78),0)</f>
        <v/>
      </c>
      <c r="E67">
        <f>IFERROR(VALUE('T12 Input'!F78),0)</f>
        <v/>
      </c>
      <c r="F67">
        <f>IFERROR(VALUE('T12 Input'!G78),0)</f>
        <v/>
      </c>
      <c r="G67">
        <f>IFERROR(VALUE('T12 Input'!H78),0)</f>
        <v/>
      </c>
      <c r="H67">
        <f>IFERROR(VALUE('T12 Input'!I78),0)</f>
        <v/>
      </c>
      <c r="I67">
        <f>IFERROR(VALUE('T12 Input'!J78),0)</f>
        <v/>
      </c>
      <c r="J67">
        <f>IFERROR(VALUE('T12 Input'!K78),0)</f>
        <v/>
      </c>
      <c r="K67">
        <f>IFERROR(VALUE('T12 Input'!L78),0)</f>
        <v/>
      </c>
      <c r="L67">
        <f>IFERROR(VALUE('T12 Input'!M78),0)</f>
        <v/>
      </c>
      <c r="M67">
        <f>IFERROR(VALUE('T12 Input'!N78),0)</f>
        <v/>
      </c>
      <c r="N67">
        <f>IFERROR(INDEX(DescMap_Label,MATCH(A67,DescMap_Description,0)),"")</f>
        <v/>
      </c>
    </row>
    <row r="68" ht="15" customHeight="1" s="199">
      <c r="A68">
        <f>IFERROR(TRIM('T12 Input'!B79),)</f>
        <v/>
      </c>
      <c r="B68">
        <f>IFERROR(VALUE('T12 Input'!C79),0)</f>
        <v/>
      </c>
      <c r="C68">
        <f>IFERROR(VALUE('T12 Input'!D79),0)</f>
        <v/>
      </c>
      <c r="D68">
        <f>IFERROR(VALUE('T12 Input'!E79),0)</f>
        <v/>
      </c>
      <c r="E68">
        <f>IFERROR(VALUE('T12 Input'!F79),0)</f>
        <v/>
      </c>
      <c r="F68">
        <f>IFERROR(VALUE('T12 Input'!G79),0)</f>
        <v/>
      </c>
      <c r="G68">
        <f>IFERROR(VALUE('T12 Input'!H79),0)</f>
        <v/>
      </c>
      <c r="H68">
        <f>IFERROR(VALUE('T12 Input'!I79),0)</f>
        <v/>
      </c>
      <c r="I68">
        <f>IFERROR(VALUE('T12 Input'!J79),0)</f>
        <v/>
      </c>
      <c r="J68">
        <f>IFERROR(VALUE('T12 Input'!K79),0)</f>
        <v/>
      </c>
      <c r="K68">
        <f>IFERROR(VALUE('T12 Input'!L79),0)</f>
        <v/>
      </c>
      <c r="L68">
        <f>IFERROR(VALUE('T12 Input'!M79),0)</f>
        <v/>
      </c>
      <c r="M68">
        <f>IFERROR(VALUE('T12 Input'!N79),0)</f>
        <v/>
      </c>
      <c r="N68">
        <f>IFERROR(INDEX(DescMap_Label,MATCH(A68,DescMap_Description,0)),"")</f>
        <v/>
      </c>
    </row>
    <row r="69" ht="15" customHeight="1" s="199">
      <c r="A69">
        <f>IFERROR(TRIM('T12 Input'!B80),)</f>
        <v/>
      </c>
      <c r="B69">
        <f>IFERROR(VALUE('T12 Input'!C80),0)</f>
        <v/>
      </c>
      <c r="C69">
        <f>IFERROR(VALUE('T12 Input'!D80),0)</f>
        <v/>
      </c>
      <c r="D69">
        <f>IFERROR(VALUE('T12 Input'!E80),0)</f>
        <v/>
      </c>
      <c r="E69">
        <f>IFERROR(VALUE('T12 Input'!F80),0)</f>
        <v/>
      </c>
      <c r="F69">
        <f>IFERROR(VALUE('T12 Input'!G80),0)</f>
        <v/>
      </c>
      <c r="G69">
        <f>IFERROR(VALUE('T12 Input'!H80),0)</f>
        <v/>
      </c>
      <c r="H69">
        <f>IFERROR(VALUE('T12 Input'!I80),0)</f>
        <v/>
      </c>
      <c r="I69">
        <f>IFERROR(VALUE('T12 Input'!J80),0)</f>
        <v/>
      </c>
      <c r="J69">
        <f>IFERROR(VALUE('T12 Input'!K80),0)</f>
        <v/>
      </c>
      <c r="K69">
        <f>IFERROR(VALUE('T12 Input'!L80),0)</f>
        <v/>
      </c>
      <c r="L69">
        <f>IFERROR(VALUE('T12 Input'!M80),0)</f>
        <v/>
      </c>
      <c r="M69">
        <f>IFERROR(VALUE('T12 Input'!N80),0)</f>
        <v/>
      </c>
      <c r="N69">
        <f>IFERROR(INDEX(DescMap_Label,MATCH(A69,DescMap_Description,0)),"")</f>
        <v/>
      </c>
    </row>
    <row r="70" ht="15" customHeight="1" s="199">
      <c r="A70">
        <f>IFERROR(TRIM('T12 Input'!B81),)</f>
        <v/>
      </c>
      <c r="B70">
        <f>IFERROR(VALUE('T12 Input'!C81),0)</f>
        <v/>
      </c>
      <c r="C70">
        <f>IFERROR(VALUE('T12 Input'!D81),0)</f>
        <v/>
      </c>
      <c r="D70">
        <f>IFERROR(VALUE('T12 Input'!E81),0)</f>
        <v/>
      </c>
      <c r="E70">
        <f>IFERROR(VALUE('T12 Input'!F81),0)</f>
        <v/>
      </c>
      <c r="F70">
        <f>IFERROR(VALUE('T12 Input'!G81),0)</f>
        <v/>
      </c>
      <c r="G70">
        <f>IFERROR(VALUE('T12 Input'!H81),0)</f>
        <v/>
      </c>
      <c r="H70">
        <f>IFERROR(VALUE('T12 Input'!I81),0)</f>
        <v/>
      </c>
      <c r="I70">
        <f>IFERROR(VALUE('T12 Input'!J81),0)</f>
        <v/>
      </c>
      <c r="J70">
        <f>IFERROR(VALUE('T12 Input'!K81),0)</f>
        <v/>
      </c>
      <c r="K70">
        <f>IFERROR(VALUE('T12 Input'!L81),0)</f>
        <v/>
      </c>
      <c r="L70">
        <f>IFERROR(VALUE('T12 Input'!M81),0)</f>
        <v/>
      </c>
      <c r="M70">
        <f>IFERROR(VALUE('T12 Input'!N81),0)</f>
        <v/>
      </c>
      <c r="N70">
        <f>IFERROR(INDEX(DescMap_Label,MATCH(A70,DescMap_Description,0)),"")</f>
        <v/>
      </c>
    </row>
    <row r="71" ht="15" customHeight="1" s="199">
      <c r="A71">
        <f>IFERROR(TRIM('T12 Input'!B82),)</f>
        <v/>
      </c>
      <c r="B71">
        <f>IFERROR(VALUE('T12 Input'!C82),0)</f>
        <v/>
      </c>
      <c r="C71">
        <f>IFERROR(VALUE('T12 Input'!D82),0)</f>
        <v/>
      </c>
      <c r="D71">
        <f>IFERROR(VALUE('T12 Input'!E82),0)</f>
        <v/>
      </c>
      <c r="E71">
        <f>IFERROR(VALUE('T12 Input'!F82),0)</f>
        <v/>
      </c>
      <c r="F71">
        <f>IFERROR(VALUE('T12 Input'!G82),0)</f>
        <v/>
      </c>
      <c r="G71">
        <f>IFERROR(VALUE('T12 Input'!H82),0)</f>
        <v/>
      </c>
      <c r="H71">
        <f>IFERROR(VALUE('T12 Input'!I82),0)</f>
        <v/>
      </c>
      <c r="I71">
        <f>IFERROR(VALUE('T12 Input'!J82),0)</f>
        <v/>
      </c>
      <c r="J71">
        <f>IFERROR(VALUE('T12 Input'!K82),0)</f>
        <v/>
      </c>
      <c r="K71">
        <f>IFERROR(VALUE('T12 Input'!L82),0)</f>
        <v/>
      </c>
      <c r="L71">
        <f>IFERROR(VALUE('T12 Input'!M82),0)</f>
        <v/>
      </c>
      <c r="M71">
        <f>IFERROR(VALUE('T12 Input'!N82),0)</f>
        <v/>
      </c>
      <c r="N71">
        <f>IFERROR(INDEX(DescMap_Label,MATCH(A71,DescMap_Description,0)),"")</f>
        <v/>
      </c>
    </row>
    <row r="72" ht="15" customHeight="1" s="199">
      <c r="A72">
        <f>IFERROR(TRIM('T12 Input'!B83),)</f>
        <v/>
      </c>
      <c r="B72">
        <f>IFERROR(VALUE('T12 Input'!C83),0)</f>
        <v/>
      </c>
      <c r="C72">
        <f>IFERROR(VALUE('T12 Input'!D83),0)</f>
        <v/>
      </c>
      <c r="D72">
        <f>IFERROR(VALUE('T12 Input'!E83),0)</f>
        <v/>
      </c>
      <c r="E72">
        <f>IFERROR(VALUE('T12 Input'!F83),0)</f>
        <v/>
      </c>
      <c r="F72">
        <f>IFERROR(VALUE('T12 Input'!G83),0)</f>
        <v/>
      </c>
      <c r="G72">
        <f>IFERROR(VALUE('T12 Input'!H83),0)</f>
        <v/>
      </c>
      <c r="H72">
        <f>IFERROR(VALUE('T12 Input'!I83),0)</f>
        <v/>
      </c>
      <c r="I72">
        <f>IFERROR(VALUE('T12 Input'!J83),0)</f>
        <v/>
      </c>
      <c r="J72">
        <f>IFERROR(VALUE('T12 Input'!K83),0)</f>
        <v/>
      </c>
      <c r="K72">
        <f>IFERROR(VALUE('T12 Input'!L83),0)</f>
        <v/>
      </c>
      <c r="L72">
        <f>IFERROR(VALUE('T12 Input'!M83),0)</f>
        <v/>
      </c>
      <c r="M72">
        <f>IFERROR(VALUE('T12 Input'!N83),0)</f>
        <v/>
      </c>
      <c r="N72">
        <f>IFERROR(INDEX(DescMap_Label,MATCH(A72,DescMap_Description,0)),"")</f>
        <v/>
      </c>
    </row>
    <row r="73" ht="15" customHeight="1" s="199">
      <c r="A73">
        <f>IFERROR(TRIM('T12 Input'!B84),)</f>
        <v/>
      </c>
      <c r="B73">
        <f>IFERROR(VALUE('T12 Input'!C84),0)</f>
        <v/>
      </c>
      <c r="C73">
        <f>IFERROR(VALUE('T12 Input'!D84),0)</f>
        <v/>
      </c>
      <c r="D73">
        <f>IFERROR(VALUE('T12 Input'!E84),0)</f>
        <v/>
      </c>
      <c r="E73">
        <f>IFERROR(VALUE('T12 Input'!F84),0)</f>
        <v/>
      </c>
      <c r="F73">
        <f>IFERROR(VALUE('T12 Input'!G84),0)</f>
        <v/>
      </c>
      <c r="G73">
        <f>IFERROR(VALUE('T12 Input'!H84),0)</f>
        <v/>
      </c>
      <c r="H73">
        <f>IFERROR(VALUE('T12 Input'!I84),0)</f>
        <v/>
      </c>
      <c r="I73">
        <f>IFERROR(VALUE('T12 Input'!J84),0)</f>
        <v/>
      </c>
      <c r="J73">
        <f>IFERROR(VALUE('T12 Input'!K84),0)</f>
        <v/>
      </c>
      <c r="K73">
        <f>IFERROR(VALUE('T12 Input'!L84),0)</f>
        <v/>
      </c>
      <c r="L73">
        <f>IFERROR(VALUE('T12 Input'!M84),0)</f>
        <v/>
      </c>
      <c r="M73">
        <f>IFERROR(VALUE('T12 Input'!N84),0)</f>
        <v/>
      </c>
      <c r="N73">
        <f>IFERROR(INDEX(DescMap_Label,MATCH(A73,DescMap_Description,0)),"")</f>
        <v/>
      </c>
    </row>
    <row r="74" ht="15" customHeight="1" s="199">
      <c r="A74">
        <f>IFERROR(TRIM('T12 Input'!B85),)</f>
        <v/>
      </c>
      <c r="B74">
        <f>IFERROR(VALUE('T12 Input'!C85),0)</f>
        <v/>
      </c>
      <c r="C74">
        <f>IFERROR(VALUE('T12 Input'!D85),0)</f>
        <v/>
      </c>
      <c r="D74">
        <f>IFERROR(VALUE('T12 Input'!E85),0)</f>
        <v/>
      </c>
      <c r="E74">
        <f>IFERROR(VALUE('T12 Input'!F85),0)</f>
        <v/>
      </c>
      <c r="F74">
        <f>IFERROR(VALUE('T12 Input'!G85),0)</f>
        <v/>
      </c>
      <c r="G74">
        <f>IFERROR(VALUE('T12 Input'!H85),0)</f>
        <v/>
      </c>
      <c r="H74">
        <f>IFERROR(VALUE('T12 Input'!I85),0)</f>
        <v/>
      </c>
      <c r="I74">
        <f>IFERROR(VALUE('T12 Input'!J85),0)</f>
        <v/>
      </c>
      <c r="J74">
        <f>IFERROR(VALUE('T12 Input'!K85),0)</f>
        <v/>
      </c>
      <c r="K74">
        <f>IFERROR(VALUE('T12 Input'!L85),0)</f>
        <v/>
      </c>
      <c r="L74">
        <f>IFERROR(VALUE('T12 Input'!M85),0)</f>
        <v/>
      </c>
      <c r="M74">
        <f>IFERROR(VALUE('T12 Input'!N85),0)</f>
        <v/>
      </c>
      <c r="N74">
        <f>IFERROR(INDEX(DescMap_Label,MATCH(A74,DescMap_Description,0)),"")</f>
        <v/>
      </c>
    </row>
    <row r="75" ht="15" customHeight="1" s="199">
      <c r="A75">
        <f>IFERROR(TRIM('T12 Input'!B86),)</f>
        <v/>
      </c>
      <c r="B75">
        <f>IFERROR(VALUE('T12 Input'!C86),0)</f>
        <v/>
      </c>
      <c r="C75">
        <f>IFERROR(VALUE('T12 Input'!D86),0)</f>
        <v/>
      </c>
      <c r="D75">
        <f>IFERROR(VALUE('T12 Input'!E86),0)</f>
        <v/>
      </c>
      <c r="E75">
        <f>IFERROR(VALUE('T12 Input'!F86),0)</f>
        <v/>
      </c>
      <c r="F75">
        <f>IFERROR(VALUE('T12 Input'!G86),0)</f>
        <v/>
      </c>
      <c r="G75">
        <f>IFERROR(VALUE('T12 Input'!H86),0)</f>
        <v/>
      </c>
      <c r="H75">
        <f>IFERROR(VALUE('T12 Input'!I86),0)</f>
        <v/>
      </c>
      <c r="I75">
        <f>IFERROR(VALUE('T12 Input'!J86),0)</f>
        <v/>
      </c>
      <c r="J75">
        <f>IFERROR(VALUE('T12 Input'!K86),0)</f>
        <v/>
      </c>
      <c r="K75">
        <f>IFERROR(VALUE('T12 Input'!L86),0)</f>
        <v/>
      </c>
      <c r="L75">
        <f>IFERROR(VALUE('T12 Input'!M86),0)</f>
        <v/>
      </c>
      <c r="M75">
        <f>IFERROR(VALUE('T12 Input'!N86),0)</f>
        <v/>
      </c>
      <c r="N75">
        <f>IFERROR(INDEX(DescMap_Label,MATCH(A75,DescMap_Description,0)),"")</f>
        <v/>
      </c>
    </row>
    <row r="76" ht="15" customHeight="1" s="199">
      <c r="A76">
        <f>IFERROR(TRIM('T12 Input'!B87),)</f>
        <v/>
      </c>
      <c r="B76">
        <f>IFERROR(VALUE('T12 Input'!C87),0)</f>
        <v/>
      </c>
      <c r="C76">
        <f>IFERROR(VALUE('T12 Input'!D87),0)</f>
        <v/>
      </c>
      <c r="D76">
        <f>IFERROR(VALUE('T12 Input'!E87),0)</f>
        <v/>
      </c>
      <c r="E76">
        <f>IFERROR(VALUE('T12 Input'!F87),0)</f>
        <v/>
      </c>
      <c r="F76">
        <f>IFERROR(VALUE('T12 Input'!G87),0)</f>
        <v/>
      </c>
      <c r="G76">
        <f>IFERROR(VALUE('T12 Input'!H87),0)</f>
        <v/>
      </c>
      <c r="H76">
        <f>IFERROR(VALUE('T12 Input'!I87),0)</f>
        <v/>
      </c>
      <c r="I76">
        <f>IFERROR(VALUE('T12 Input'!J87),0)</f>
        <v/>
      </c>
      <c r="J76">
        <f>IFERROR(VALUE('T12 Input'!K87),0)</f>
        <v/>
      </c>
      <c r="K76">
        <f>IFERROR(VALUE('T12 Input'!L87),0)</f>
        <v/>
      </c>
      <c r="L76">
        <f>IFERROR(VALUE('T12 Input'!M87),0)</f>
        <v/>
      </c>
      <c r="M76">
        <f>IFERROR(VALUE('T12 Input'!N87),0)</f>
        <v/>
      </c>
      <c r="N76">
        <f>IFERROR(INDEX(DescMap_Label,MATCH(A76,DescMap_Description,0)),"")</f>
        <v/>
      </c>
    </row>
    <row r="77" ht="15" customHeight="1" s="199">
      <c r="A77">
        <f>IFERROR(TRIM('T12 Input'!B88),)</f>
        <v/>
      </c>
      <c r="B77">
        <f>IFERROR(VALUE('T12 Input'!C88),0)</f>
        <v/>
      </c>
      <c r="C77">
        <f>IFERROR(VALUE('T12 Input'!D88),0)</f>
        <v/>
      </c>
      <c r="D77">
        <f>IFERROR(VALUE('T12 Input'!E88),0)</f>
        <v/>
      </c>
      <c r="E77">
        <f>IFERROR(VALUE('T12 Input'!F88),0)</f>
        <v/>
      </c>
      <c r="F77">
        <f>IFERROR(VALUE('T12 Input'!G88),0)</f>
        <v/>
      </c>
      <c r="G77">
        <f>IFERROR(VALUE('T12 Input'!H88),0)</f>
        <v/>
      </c>
      <c r="H77">
        <f>IFERROR(VALUE('T12 Input'!I88),0)</f>
        <v/>
      </c>
      <c r="I77">
        <f>IFERROR(VALUE('T12 Input'!J88),0)</f>
        <v/>
      </c>
      <c r="J77">
        <f>IFERROR(VALUE('T12 Input'!K88),0)</f>
        <v/>
      </c>
      <c r="K77">
        <f>IFERROR(VALUE('T12 Input'!L88),0)</f>
        <v/>
      </c>
      <c r="L77">
        <f>IFERROR(VALUE('T12 Input'!M88),0)</f>
        <v/>
      </c>
      <c r="M77">
        <f>IFERROR(VALUE('T12 Input'!N88),0)</f>
        <v/>
      </c>
      <c r="N77">
        <f>IFERROR(INDEX(DescMap_Label,MATCH(A77,DescMap_Description,0)),"")</f>
        <v/>
      </c>
    </row>
    <row r="78" ht="15" customHeight="1" s="199">
      <c r="A78">
        <f>IFERROR(TRIM('T12 Input'!B89),)</f>
        <v/>
      </c>
      <c r="B78">
        <f>IFERROR(VALUE('T12 Input'!C89),0)</f>
        <v/>
      </c>
      <c r="C78">
        <f>IFERROR(VALUE('T12 Input'!D89),0)</f>
        <v/>
      </c>
      <c r="D78">
        <f>IFERROR(VALUE('T12 Input'!E89),0)</f>
        <v/>
      </c>
      <c r="E78">
        <f>IFERROR(VALUE('T12 Input'!F89),0)</f>
        <v/>
      </c>
      <c r="F78">
        <f>IFERROR(VALUE('T12 Input'!G89),0)</f>
        <v/>
      </c>
      <c r="G78">
        <f>IFERROR(VALUE('T12 Input'!H89),0)</f>
        <v/>
      </c>
      <c r="H78">
        <f>IFERROR(VALUE('T12 Input'!I89),0)</f>
        <v/>
      </c>
      <c r="I78">
        <f>IFERROR(VALUE('T12 Input'!J89),0)</f>
        <v/>
      </c>
      <c r="J78">
        <f>IFERROR(VALUE('T12 Input'!K89),0)</f>
        <v/>
      </c>
      <c r="K78">
        <f>IFERROR(VALUE('T12 Input'!L89),0)</f>
        <v/>
      </c>
      <c r="L78">
        <f>IFERROR(VALUE('T12 Input'!M89),0)</f>
        <v/>
      </c>
      <c r="M78">
        <f>IFERROR(VALUE('T12 Input'!N89),0)</f>
        <v/>
      </c>
      <c r="N78">
        <f>IFERROR(INDEX(DescMap_Label,MATCH(A78,DescMap_Description,0)),"")</f>
        <v/>
      </c>
    </row>
    <row r="79" ht="15" customHeight="1" s="199">
      <c r="A79">
        <f>IFERROR(TRIM('T12 Input'!B90),)</f>
        <v/>
      </c>
      <c r="B79">
        <f>IFERROR(VALUE('T12 Input'!C90),0)</f>
        <v/>
      </c>
      <c r="C79">
        <f>IFERROR(VALUE('T12 Input'!D90),0)</f>
        <v/>
      </c>
      <c r="D79">
        <f>IFERROR(VALUE('T12 Input'!E90),0)</f>
        <v/>
      </c>
      <c r="E79">
        <f>IFERROR(VALUE('T12 Input'!F90),0)</f>
        <v/>
      </c>
      <c r="F79">
        <f>IFERROR(VALUE('T12 Input'!G90),0)</f>
        <v/>
      </c>
      <c r="G79">
        <f>IFERROR(VALUE('T12 Input'!H90),0)</f>
        <v/>
      </c>
      <c r="H79">
        <f>IFERROR(VALUE('T12 Input'!I90),0)</f>
        <v/>
      </c>
      <c r="I79">
        <f>IFERROR(VALUE('T12 Input'!J90),0)</f>
        <v/>
      </c>
      <c r="J79">
        <f>IFERROR(VALUE('T12 Input'!K90),0)</f>
        <v/>
      </c>
      <c r="K79">
        <f>IFERROR(VALUE('T12 Input'!L90),0)</f>
        <v/>
      </c>
      <c r="L79">
        <f>IFERROR(VALUE('T12 Input'!M90),0)</f>
        <v/>
      </c>
      <c r="M79">
        <f>IFERROR(VALUE('T12 Input'!N90),0)</f>
        <v/>
      </c>
      <c r="N79">
        <f>IFERROR(INDEX(DescMap_Label,MATCH(A79,DescMap_Description,0)),"")</f>
        <v/>
      </c>
    </row>
    <row r="80" ht="15" customHeight="1" s="199">
      <c r="A80">
        <f>IFERROR(TRIM('T12 Input'!B91),)</f>
        <v/>
      </c>
      <c r="B80">
        <f>IFERROR(VALUE('T12 Input'!C91),0)</f>
        <v/>
      </c>
      <c r="C80">
        <f>IFERROR(VALUE('T12 Input'!D91),0)</f>
        <v/>
      </c>
      <c r="D80">
        <f>IFERROR(VALUE('T12 Input'!E91),0)</f>
        <v/>
      </c>
      <c r="E80">
        <f>IFERROR(VALUE('T12 Input'!F91),0)</f>
        <v/>
      </c>
      <c r="F80">
        <f>IFERROR(VALUE('T12 Input'!G91),0)</f>
        <v/>
      </c>
      <c r="G80">
        <f>IFERROR(VALUE('T12 Input'!H91),0)</f>
        <v/>
      </c>
      <c r="H80">
        <f>IFERROR(VALUE('T12 Input'!I91),0)</f>
        <v/>
      </c>
      <c r="I80">
        <f>IFERROR(VALUE('T12 Input'!J91),0)</f>
        <v/>
      </c>
      <c r="J80">
        <f>IFERROR(VALUE('T12 Input'!K91),0)</f>
        <v/>
      </c>
      <c r="K80">
        <f>IFERROR(VALUE('T12 Input'!L91),0)</f>
        <v/>
      </c>
      <c r="L80">
        <f>IFERROR(VALUE('T12 Input'!M91),0)</f>
        <v/>
      </c>
      <c r="M80">
        <f>IFERROR(VALUE('T12 Input'!N91),0)</f>
        <v/>
      </c>
      <c r="N80">
        <f>IFERROR(INDEX(DescMap_Label,MATCH(A80,DescMap_Description,0)),"")</f>
        <v/>
      </c>
    </row>
    <row r="81" ht="15" customHeight="1" s="199">
      <c r="A81">
        <f>IFERROR(TRIM('T12 Input'!B92),)</f>
        <v/>
      </c>
      <c r="B81">
        <f>IFERROR(VALUE('T12 Input'!C92),0)</f>
        <v/>
      </c>
      <c r="C81">
        <f>IFERROR(VALUE('T12 Input'!D92),0)</f>
        <v/>
      </c>
      <c r="D81">
        <f>IFERROR(VALUE('T12 Input'!E92),0)</f>
        <v/>
      </c>
      <c r="E81">
        <f>IFERROR(VALUE('T12 Input'!F92),0)</f>
        <v/>
      </c>
      <c r="F81">
        <f>IFERROR(VALUE('T12 Input'!G92),0)</f>
        <v/>
      </c>
      <c r="G81">
        <f>IFERROR(VALUE('T12 Input'!H92),0)</f>
        <v/>
      </c>
      <c r="H81">
        <f>IFERROR(VALUE('T12 Input'!I92),0)</f>
        <v/>
      </c>
      <c r="I81">
        <f>IFERROR(VALUE('T12 Input'!J92),0)</f>
        <v/>
      </c>
      <c r="J81">
        <f>IFERROR(VALUE('T12 Input'!K92),0)</f>
        <v/>
      </c>
      <c r="K81">
        <f>IFERROR(VALUE('T12 Input'!L92),0)</f>
        <v/>
      </c>
      <c r="L81">
        <f>IFERROR(VALUE('T12 Input'!M92),0)</f>
        <v/>
      </c>
      <c r="M81">
        <f>IFERROR(VALUE('T12 Input'!N92),0)</f>
        <v/>
      </c>
      <c r="N81">
        <f>IFERROR(INDEX(DescMap_Label,MATCH(A81,DescMap_Description,0)),"")</f>
        <v/>
      </c>
    </row>
    <row r="82" ht="15" customHeight="1" s="199">
      <c r="A82">
        <f>IFERROR(TRIM('T12 Input'!B93),)</f>
        <v/>
      </c>
      <c r="B82">
        <f>IFERROR(VALUE('T12 Input'!C93),0)</f>
        <v/>
      </c>
      <c r="C82">
        <f>IFERROR(VALUE('T12 Input'!D93),0)</f>
        <v/>
      </c>
      <c r="D82">
        <f>IFERROR(VALUE('T12 Input'!E93),0)</f>
        <v/>
      </c>
      <c r="E82">
        <f>IFERROR(VALUE('T12 Input'!F93),0)</f>
        <v/>
      </c>
      <c r="F82">
        <f>IFERROR(VALUE('T12 Input'!G93),0)</f>
        <v/>
      </c>
      <c r="G82">
        <f>IFERROR(VALUE('T12 Input'!H93),0)</f>
        <v/>
      </c>
      <c r="H82">
        <f>IFERROR(VALUE('T12 Input'!I93),0)</f>
        <v/>
      </c>
      <c r="I82">
        <f>IFERROR(VALUE('T12 Input'!J93),0)</f>
        <v/>
      </c>
      <c r="J82">
        <f>IFERROR(VALUE('T12 Input'!K93),0)</f>
        <v/>
      </c>
      <c r="K82">
        <f>IFERROR(VALUE('T12 Input'!L93),0)</f>
        <v/>
      </c>
      <c r="L82">
        <f>IFERROR(VALUE('T12 Input'!M93),0)</f>
        <v/>
      </c>
      <c r="M82">
        <f>IFERROR(VALUE('T12 Input'!N93),0)</f>
        <v/>
      </c>
      <c r="N82">
        <f>IFERROR(INDEX(DescMap_Label,MATCH(A82,DescMap_Description,0)),"")</f>
        <v/>
      </c>
    </row>
    <row r="83" ht="15" customHeight="1" s="199">
      <c r="A83">
        <f>IFERROR(TRIM('T12 Input'!B94),)</f>
        <v/>
      </c>
      <c r="B83">
        <f>IFERROR(VALUE('T12 Input'!C94),0)</f>
        <v/>
      </c>
      <c r="C83">
        <f>IFERROR(VALUE('T12 Input'!D94),0)</f>
        <v/>
      </c>
      <c r="D83">
        <f>IFERROR(VALUE('T12 Input'!E94),0)</f>
        <v/>
      </c>
      <c r="E83">
        <f>IFERROR(VALUE('T12 Input'!F94),0)</f>
        <v/>
      </c>
      <c r="F83">
        <f>IFERROR(VALUE('T12 Input'!G94),0)</f>
        <v/>
      </c>
      <c r="G83">
        <f>IFERROR(VALUE('T12 Input'!H94),0)</f>
        <v/>
      </c>
      <c r="H83">
        <f>IFERROR(VALUE('T12 Input'!I94),0)</f>
        <v/>
      </c>
      <c r="I83">
        <f>IFERROR(VALUE('T12 Input'!J94),0)</f>
        <v/>
      </c>
      <c r="J83">
        <f>IFERROR(VALUE('T12 Input'!K94),0)</f>
        <v/>
      </c>
      <c r="K83">
        <f>IFERROR(VALUE('T12 Input'!L94),0)</f>
        <v/>
      </c>
      <c r="L83">
        <f>IFERROR(VALUE('T12 Input'!M94),0)</f>
        <v/>
      </c>
      <c r="M83">
        <f>IFERROR(VALUE('T12 Input'!N94),0)</f>
        <v/>
      </c>
      <c r="N83">
        <f>IFERROR(INDEX(DescMap_Label,MATCH(A83,DescMap_Description,0)),"")</f>
        <v/>
      </c>
    </row>
    <row r="84" ht="15" customHeight="1" s="199">
      <c r="A84">
        <f>IFERROR(TRIM('T12 Input'!B95),)</f>
        <v/>
      </c>
      <c r="B84">
        <f>IFERROR(VALUE('T12 Input'!C95),0)</f>
        <v/>
      </c>
      <c r="C84">
        <f>IFERROR(VALUE('T12 Input'!D95),0)</f>
        <v/>
      </c>
      <c r="D84">
        <f>IFERROR(VALUE('T12 Input'!E95),0)</f>
        <v/>
      </c>
      <c r="E84">
        <f>IFERROR(VALUE('T12 Input'!F95),0)</f>
        <v/>
      </c>
      <c r="F84">
        <f>IFERROR(VALUE('T12 Input'!G95),0)</f>
        <v/>
      </c>
      <c r="G84">
        <f>IFERROR(VALUE('T12 Input'!H95),0)</f>
        <v/>
      </c>
      <c r="H84">
        <f>IFERROR(VALUE('T12 Input'!I95),0)</f>
        <v/>
      </c>
      <c r="I84">
        <f>IFERROR(VALUE('T12 Input'!J95),0)</f>
        <v/>
      </c>
      <c r="J84">
        <f>IFERROR(VALUE('T12 Input'!K95),0)</f>
        <v/>
      </c>
      <c r="K84">
        <f>IFERROR(VALUE('T12 Input'!L95),0)</f>
        <v/>
      </c>
      <c r="L84">
        <f>IFERROR(VALUE('T12 Input'!M95),0)</f>
        <v/>
      </c>
      <c r="M84">
        <f>IFERROR(VALUE('T12 Input'!N95),0)</f>
        <v/>
      </c>
      <c r="N84">
        <f>IFERROR(INDEX(DescMap_Label,MATCH(A84,DescMap_Description,0)),"")</f>
        <v/>
      </c>
    </row>
    <row r="85" ht="15" customHeight="1" s="199">
      <c r="A85">
        <f>IFERROR(TRIM('T12 Input'!B96),)</f>
        <v/>
      </c>
      <c r="B85">
        <f>IFERROR(VALUE('T12 Input'!C96),0)</f>
        <v/>
      </c>
      <c r="C85">
        <f>IFERROR(VALUE('T12 Input'!D96),0)</f>
        <v/>
      </c>
      <c r="D85">
        <f>IFERROR(VALUE('T12 Input'!E96),0)</f>
        <v/>
      </c>
      <c r="E85">
        <f>IFERROR(VALUE('T12 Input'!F96),0)</f>
        <v/>
      </c>
      <c r="F85">
        <f>IFERROR(VALUE('T12 Input'!G96),0)</f>
        <v/>
      </c>
      <c r="G85">
        <f>IFERROR(VALUE('T12 Input'!H96),0)</f>
        <v/>
      </c>
      <c r="H85">
        <f>IFERROR(VALUE('T12 Input'!I96),0)</f>
        <v/>
      </c>
      <c r="I85">
        <f>IFERROR(VALUE('T12 Input'!J96),0)</f>
        <v/>
      </c>
      <c r="J85">
        <f>IFERROR(VALUE('T12 Input'!K96),0)</f>
        <v/>
      </c>
      <c r="K85">
        <f>IFERROR(VALUE('T12 Input'!L96),0)</f>
        <v/>
      </c>
      <c r="L85">
        <f>IFERROR(VALUE('T12 Input'!M96),0)</f>
        <v/>
      </c>
      <c r="M85">
        <f>IFERROR(VALUE('T12 Input'!N96),0)</f>
        <v/>
      </c>
      <c r="N85">
        <f>IFERROR(INDEX(DescMap_Label,MATCH(A85,DescMap_Description,0)),"")</f>
        <v/>
      </c>
    </row>
    <row r="86" ht="15" customHeight="1" s="199">
      <c r="A86">
        <f>IFERROR(TRIM('T12 Input'!B97),)</f>
        <v/>
      </c>
      <c r="B86">
        <f>IFERROR(VALUE('T12 Input'!C97),0)</f>
        <v/>
      </c>
      <c r="C86">
        <f>IFERROR(VALUE('T12 Input'!D97),0)</f>
        <v/>
      </c>
      <c r="D86">
        <f>IFERROR(VALUE('T12 Input'!E97),0)</f>
        <v/>
      </c>
      <c r="E86">
        <f>IFERROR(VALUE('T12 Input'!F97),0)</f>
        <v/>
      </c>
      <c r="F86">
        <f>IFERROR(VALUE('T12 Input'!G97),0)</f>
        <v/>
      </c>
      <c r="G86">
        <f>IFERROR(VALUE('T12 Input'!H97),0)</f>
        <v/>
      </c>
      <c r="H86">
        <f>IFERROR(VALUE('T12 Input'!I97),0)</f>
        <v/>
      </c>
      <c r="I86">
        <f>IFERROR(VALUE('T12 Input'!J97),0)</f>
        <v/>
      </c>
      <c r="J86">
        <f>IFERROR(VALUE('T12 Input'!K97),0)</f>
        <v/>
      </c>
      <c r="K86">
        <f>IFERROR(VALUE('T12 Input'!L97),0)</f>
        <v/>
      </c>
      <c r="L86">
        <f>IFERROR(VALUE('T12 Input'!M97),0)</f>
        <v/>
      </c>
      <c r="M86">
        <f>IFERROR(VALUE('T12 Input'!N97),0)</f>
        <v/>
      </c>
      <c r="N86">
        <f>IFERROR(INDEX(DescMap_Label,MATCH(A86,DescMap_Description,0)),"")</f>
        <v/>
      </c>
    </row>
    <row r="87" ht="15" customHeight="1" s="199">
      <c r="A87">
        <f>IFERROR(TRIM('T12 Input'!B98),)</f>
        <v/>
      </c>
      <c r="B87">
        <f>IFERROR(VALUE('T12 Input'!C98),0)</f>
        <v/>
      </c>
      <c r="C87">
        <f>IFERROR(VALUE('T12 Input'!D98),0)</f>
        <v/>
      </c>
      <c r="D87">
        <f>IFERROR(VALUE('T12 Input'!E98),0)</f>
        <v/>
      </c>
      <c r="E87">
        <f>IFERROR(VALUE('T12 Input'!F98),0)</f>
        <v/>
      </c>
      <c r="F87">
        <f>IFERROR(VALUE('T12 Input'!G98),0)</f>
        <v/>
      </c>
      <c r="G87">
        <f>IFERROR(VALUE('T12 Input'!H98),0)</f>
        <v/>
      </c>
      <c r="H87">
        <f>IFERROR(VALUE('T12 Input'!I98),0)</f>
        <v/>
      </c>
      <c r="I87">
        <f>IFERROR(VALUE('T12 Input'!J98),0)</f>
        <v/>
      </c>
      <c r="J87">
        <f>IFERROR(VALUE('T12 Input'!K98),0)</f>
        <v/>
      </c>
      <c r="K87">
        <f>IFERROR(VALUE('T12 Input'!L98),0)</f>
        <v/>
      </c>
      <c r="L87">
        <f>IFERROR(VALUE('T12 Input'!M98),0)</f>
        <v/>
      </c>
      <c r="M87">
        <f>IFERROR(VALUE('T12 Input'!N98),0)</f>
        <v/>
      </c>
      <c r="N87">
        <f>IFERROR(INDEX(DescMap_Label,MATCH(A87,DescMap_Description,0)),"")</f>
        <v/>
      </c>
    </row>
    <row r="88" ht="15" customHeight="1" s="199">
      <c r="A88">
        <f>IFERROR(TRIM('T12 Input'!B99),)</f>
        <v/>
      </c>
      <c r="B88">
        <f>IFERROR(VALUE('T12 Input'!C99),0)</f>
        <v/>
      </c>
      <c r="C88">
        <f>IFERROR(VALUE('T12 Input'!D99),0)</f>
        <v/>
      </c>
      <c r="D88">
        <f>IFERROR(VALUE('T12 Input'!E99),0)</f>
        <v/>
      </c>
      <c r="E88">
        <f>IFERROR(VALUE('T12 Input'!F99),0)</f>
        <v/>
      </c>
      <c r="F88">
        <f>IFERROR(VALUE('T12 Input'!G99),0)</f>
        <v/>
      </c>
      <c r="G88">
        <f>IFERROR(VALUE('T12 Input'!H99),0)</f>
        <v/>
      </c>
      <c r="H88">
        <f>IFERROR(VALUE('T12 Input'!I99),0)</f>
        <v/>
      </c>
      <c r="I88">
        <f>IFERROR(VALUE('T12 Input'!J99),0)</f>
        <v/>
      </c>
      <c r="J88">
        <f>IFERROR(VALUE('T12 Input'!K99),0)</f>
        <v/>
      </c>
      <c r="K88">
        <f>IFERROR(VALUE('T12 Input'!L99),0)</f>
        <v/>
      </c>
      <c r="L88">
        <f>IFERROR(VALUE('T12 Input'!M99),0)</f>
        <v/>
      </c>
      <c r="M88">
        <f>IFERROR(VALUE('T12 Input'!N99),0)</f>
        <v/>
      </c>
      <c r="N88">
        <f>IFERROR(INDEX(DescMap_Label,MATCH(A88,DescMap_Description,0)),"")</f>
        <v/>
      </c>
    </row>
    <row r="89" ht="15" customHeight="1" s="199">
      <c r="A89">
        <f>IFERROR(TRIM('T12 Input'!B100),)</f>
        <v/>
      </c>
      <c r="B89">
        <f>IFERROR(VALUE('T12 Input'!C100),0)</f>
        <v/>
      </c>
      <c r="C89">
        <f>IFERROR(VALUE('T12 Input'!D100),0)</f>
        <v/>
      </c>
      <c r="D89">
        <f>IFERROR(VALUE('T12 Input'!E100),0)</f>
        <v/>
      </c>
      <c r="E89">
        <f>IFERROR(VALUE('T12 Input'!F100),0)</f>
        <v/>
      </c>
      <c r="F89">
        <f>IFERROR(VALUE('T12 Input'!G100),0)</f>
        <v/>
      </c>
      <c r="G89">
        <f>IFERROR(VALUE('T12 Input'!H100),0)</f>
        <v/>
      </c>
      <c r="H89">
        <f>IFERROR(VALUE('T12 Input'!I100),0)</f>
        <v/>
      </c>
      <c r="I89">
        <f>IFERROR(VALUE('T12 Input'!J100),0)</f>
        <v/>
      </c>
      <c r="J89">
        <f>IFERROR(VALUE('T12 Input'!K100),0)</f>
        <v/>
      </c>
      <c r="K89">
        <f>IFERROR(VALUE('T12 Input'!L100),0)</f>
        <v/>
      </c>
      <c r="L89">
        <f>IFERROR(VALUE('T12 Input'!M100),0)</f>
        <v/>
      </c>
      <c r="M89">
        <f>IFERROR(VALUE('T12 Input'!N100),0)</f>
        <v/>
      </c>
      <c r="N89">
        <f>IFERROR(INDEX(DescMap_Label,MATCH(A89,DescMap_Description,0)),"")</f>
        <v/>
      </c>
    </row>
    <row r="90" ht="15" customHeight="1" s="199">
      <c r="A90">
        <f>IFERROR(TRIM('T12 Input'!B101),)</f>
        <v/>
      </c>
      <c r="B90">
        <f>IFERROR(VALUE('T12 Input'!C101),0)</f>
        <v/>
      </c>
      <c r="C90">
        <f>IFERROR(VALUE('T12 Input'!D101),0)</f>
        <v/>
      </c>
      <c r="D90">
        <f>IFERROR(VALUE('T12 Input'!E101),0)</f>
        <v/>
      </c>
      <c r="E90">
        <f>IFERROR(VALUE('T12 Input'!F101),0)</f>
        <v/>
      </c>
      <c r="F90">
        <f>IFERROR(VALUE('T12 Input'!G101),0)</f>
        <v/>
      </c>
      <c r="G90">
        <f>IFERROR(VALUE('T12 Input'!H101),0)</f>
        <v/>
      </c>
      <c r="H90">
        <f>IFERROR(VALUE('T12 Input'!I101),0)</f>
        <v/>
      </c>
      <c r="I90">
        <f>IFERROR(VALUE('T12 Input'!J101),0)</f>
        <v/>
      </c>
      <c r="J90">
        <f>IFERROR(VALUE('T12 Input'!K101),0)</f>
        <v/>
      </c>
      <c r="K90">
        <f>IFERROR(VALUE('T12 Input'!L101),0)</f>
        <v/>
      </c>
      <c r="L90">
        <f>IFERROR(VALUE('T12 Input'!M101),0)</f>
        <v/>
      </c>
      <c r="M90">
        <f>IFERROR(VALUE('T12 Input'!N101),0)</f>
        <v/>
      </c>
      <c r="N90">
        <f>IFERROR(INDEX(DescMap_Label,MATCH(A90,DescMap_Description,0)),"")</f>
        <v/>
      </c>
    </row>
    <row r="91" ht="15" customHeight="1" s="199">
      <c r="A91">
        <f>IFERROR(TRIM('T12 Input'!B102),)</f>
        <v/>
      </c>
      <c r="B91">
        <f>IFERROR(VALUE('T12 Input'!C102),0)</f>
        <v/>
      </c>
      <c r="C91">
        <f>IFERROR(VALUE('T12 Input'!D102),0)</f>
        <v/>
      </c>
      <c r="D91">
        <f>IFERROR(VALUE('T12 Input'!E102),0)</f>
        <v/>
      </c>
      <c r="E91">
        <f>IFERROR(VALUE('T12 Input'!F102),0)</f>
        <v/>
      </c>
      <c r="F91">
        <f>IFERROR(VALUE('T12 Input'!G102),0)</f>
        <v/>
      </c>
      <c r="G91">
        <f>IFERROR(VALUE('T12 Input'!H102),0)</f>
        <v/>
      </c>
      <c r="H91">
        <f>IFERROR(VALUE('T12 Input'!I102),0)</f>
        <v/>
      </c>
      <c r="I91">
        <f>IFERROR(VALUE('T12 Input'!J102),0)</f>
        <v/>
      </c>
      <c r="J91">
        <f>IFERROR(VALUE('T12 Input'!K102),0)</f>
        <v/>
      </c>
      <c r="K91">
        <f>IFERROR(VALUE('T12 Input'!L102),0)</f>
        <v/>
      </c>
      <c r="L91">
        <f>IFERROR(VALUE('T12 Input'!M102),0)</f>
        <v/>
      </c>
      <c r="M91">
        <f>IFERROR(VALUE('T12 Input'!N102),0)</f>
        <v/>
      </c>
      <c r="N91">
        <f>IFERROR(INDEX(DescMap_Label,MATCH(A91,DescMap_Description,0)),"")</f>
        <v/>
      </c>
    </row>
    <row r="92" ht="15" customHeight="1" s="199">
      <c r="A92">
        <f>IFERROR(TRIM('T12 Input'!B103),)</f>
        <v/>
      </c>
      <c r="B92">
        <f>IFERROR(VALUE('T12 Input'!C103),0)</f>
        <v/>
      </c>
      <c r="C92">
        <f>IFERROR(VALUE('T12 Input'!D103),0)</f>
        <v/>
      </c>
      <c r="D92">
        <f>IFERROR(VALUE('T12 Input'!E103),0)</f>
        <v/>
      </c>
      <c r="E92">
        <f>IFERROR(VALUE('T12 Input'!F103),0)</f>
        <v/>
      </c>
      <c r="F92">
        <f>IFERROR(VALUE('T12 Input'!G103),0)</f>
        <v/>
      </c>
      <c r="G92">
        <f>IFERROR(VALUE('T12 Input'!H103),0)</f>
        <v/>
      </c>
      <c r="H92">
        <f>IFERROR(VALUE('T12 Input'!I103),0)</f>
        <v/>
      </c>
      <c r="I92">
        <f>IFERROR(VALUE('T12 Input'!J103),0)</f>
        <v/>
      </c>
      <c r="J92">
        <f>IFERROR(VALUE('T12 Input'!K103),0)</f>
        <v/>
      </c>
      <c r="K92">
        <f>IFERROR(VALUE('T12 Input'!L103),0)</f>
        <v/>
      </c>
      <c r="L92">
        <f>IFERROR(VALUE('T12 Input'!M103),0)</f>
        <v/>
      </c>
      <c r="M92">
        <f>IFERROR(VALUE('T12 Input'!N103),0)</f>
        <v/>
      </c>
      <c r="N92">
        <f>IFERROR(INDEX(DescMap_Label,MATCH(A92,DescMap_Description,0)),"")</f>
        <v/>
      </c>
    </row>
    <row r="93" ht="15" customHeight="1" s="199">
      <c r="A93">
        <f>IFERROR(TRIM('T12 Input'!B104),)</f>
        <v/>
      </c>
      <c r="B93">
        <f>IFERROR(VALUE('T12 Input'!C104),0)</f>
        <v/>
      </c>
      <c r="C93">
        <f>IFERROR(VALUE('T12 Input'!D104),0)</f>
        <v/>
      </c>
      <c r="D93">
        <f>IFERROR(VALUE('T12 Input'!E104),0)</f>
        <v/>
      </c>
      <c r="E93">
        <f>IFERROR(VALUE('T12 Input'!F104),0)</f>
        <v/>
      </c>
      <c r="F93">
        <f>IFERROR(VALUE('T12 Input'!G104),0)</f>
        <v/>
      </c>
      <c r="G93">
        <f>IFERROR(VALUE('T12 Input'!H104),0)</f>
        <v/>
      </c>
      <c r="H93">
        <f>IFERROR(VALUE('T12 Input'!I104),0)</f>
        <v/>
      </c>
      <c r="I93">
        <f>IFERROR(VALUE('T12 Input'!J104),0)</f>
        <v/>
      </c>
      <c r="J93">
        <f>IFERROR(VALUE('T12 Input'!K104),0)</f>
        <v/>
      </c>
      <c r="K93">
        <f>IFERROR(VALUE('T12 Input'!L104),0)</f>
        <v/>
      </c>
      <c r="L93">
        <f>IFERROR(VALUE('T12 Input'!M104),0)</f>
        <v/>
      </c>
      <c r="M93">
        <f>IFERROR(VALUE('T12 Input'!N104),0)</f>
        <v/>
      </c>
      <c r="N93">
        <f>IFERROR(INDEX(DescMap_Label,MATCH(A93,DescMap_Description,0)),"")</f>
        <v/>
      </c>
    </row>
    <row r="94" ht="15" customHeight="1" s="199">
      <c r="A94">
        <f>IFERROR(TRIM('T12 Input'!B105),)</f>
        <v/>
      </c>
      <c r="B94">
        <f>IFERROR(VALUE('T12 Input'!C105),0)</f>
        <v/>
      </c>
      <c r="C94">
        <f>IFERROR(VALUE('T12 Input'!D105),0)</f>
        <v/>
      </c>
      <c r="D94">
        <f>IFERROR(VALUE('T12 Input'!E105),0)</f>
        <v/>
      </c>
      <c r="E94">
        <f>IFERROR(VALUE('T12 Input'!F105),0)</f>
        <v/>
      </c>
      <c r="F94">
        <f>IFERROR(VALUE('T12 Input'!G105),0)</f>
        <v/>
      </c>
      <c r="G94">
        <f>IFERROR(VALUE('T12 Input'!H105),0)</f>
        <v/>
      </c>
      <c r="H94">
        <f>IFERROR(VALUE('T12 Input'!I105),0)</f>
        <v/>
      </c>
      <c r="I94">
        <f>IFERROR(VALUE('T12 Input'!J105),0)</f>
        <v/>
      </c>
      <c r="J94">
        <f>IFERROR(VALUE('T12 Input'!K105),0)</f>
        <v/>
      </c>
      <c r="K94">
        <f>IFERROR(VALUE('T12 Input'!L105),0)</f>
        <v/>
      </c>
      <c r="L94">
        <f>IFERROR(VALUE('T12 Input'!M105),0)</f>
        <v/>
      </c>
      <c r="M94">
        <f>IFERROR(VALUE('T12 Input'!N105),0)</f>
        <v/>
      </c>
      <c r="N94">
        <f>IFERROR(INDEX(DescMap_Label,MATCH(A94,DescMap_Description,0)),"")</f>
        <v/>
      </c>
    </row>
    <row r="95" ht="15" customHeight="1" s="199">
      <c r="A95">
        <f>IFERROR(TRIM('T12 Input'!B106),)</f>
        <v/>
      </c>
      <c r="B95">
        <f>IFERROR(VALUE('T12 Input'!C106),0)</f>
        <v/>
      </c>
      <c r="C95">
        <f>IFERROR(VALUE('T12 Input'!D106),0)</f>
        <v/>
      </c>
      <c r="D95">
        <f>IFERROR(VALUE('T12 Input'!E106),0)</f>
        <v/>
      </c>
      <c r="E95">
        <f>IFERROR(VALUE('T12 Input'!F106),0)</f>
        <v/>
      </c>
      <c r="F95">
        <f>IFERROR(VALUE('T12 Input'!G106),0)</f>
        <v/>
      </c>
      <c r="G95">
        <f>IFERROR(VALUE('T12 Input'!H106),0)</f>
        <v/>
      </c>
      <c r="H95">
        <f>IFERROR(VALUE('T12 Input'!I106),0)</f>
        <v/>
      </c>
      <c r="I95">
        <f>IFERROR(VALUE('T12 Input'!J106),0)</f>
        <v/>
      </c>
      <c r="J95">
        <f>IFERROR(VALUE('T12 Input'!K106),0)</f>
        <v/>
      </c>
      <c r="K95">
        <f>IFERROR(VALUE('T12 Input'!L106),0)</f>
        <v/>
      </c>
      <c r="L95">
        <f>IFERROR(VALUE('T12 Input'!M106),0)</f>
        <v/>
      </c>
      <c r="M95">
        <f>IFERROR(VALUE('T12 Input'!N106),0)</f>
        <v/>
      </c>
      <c r="N95">
        <f>IFERROR(INDEX(DescMap_Label,MATCH(A95,DescMap_Description,0)),"")</f>
        <v/>
      </c>
    </row>
    <row r="96" ht="15" customHeight="1" s="199">
      <c r="A96">
        <f>IFERROR(TRIM('T12 Input'!B107),)</f>
        <v/>
      </c>
      <c r="B96">
        <f>IFERROR(VALUE('T12 Input'!C107),0)</f>
        <v/>
      </c>
      <c r="C96">
        <f>IFERROR(VALUE('T12 Input'!D107),0)</f>
        <v/>
      </c>
      <c r="D96">
        <f>IFERROR(VALUE('T12 Input'!E107),0)</f>
        <v/>
      </c>
      <c r="E96">
        <f>IFERROR(VALUE('T12 Input'!F107),0)</f>
        <v/>
      </c>
      <c r="F96">
        <f>IFERROR(VALUE('T12 Input'!G107),0)</f>
        <v/>
      </c>
      <c r="G96">
        <f>IFERROR(VALUE('T12 Input'!H107),0)</f>
        <v/>
      </c>
      <c r="H96">
        <f>IFERROR(VALUE('T12 Input'!I107),0)</f>
        <v/>
      </c>
      <c r="I96">
        <f>IFERROR(VALUE('T12 Input'!J107),0)</f>
        <v/>
      </c>
      <c r="J96">
        <f>IFERROR(VALUE('T12 Input'!K107),0)</f>
        <v/>
      </c>
      <c r="K96">
        <f>IFERROR(VALUE('T12 Input'!L107),0)</f>
        <v/>
      </c>
      <c r="L96">
        <f>IFERROR(VALUE('T12 Input'!M107),0)</f>
        <v/>
      </c>
      <c r="M96">
        <f>IFERROR(VALUE('T12 Input'!N107),0)</f>
        <v/>
      </c>
      <c r="N96">
        <f>IFERROR(INDEX(DescMap_Label,MATCH(A96,DescMap_Description,0)),"")</f>
        <v/>
      </c>
    </row>
    <row r="97" ht="15" customHeight="1" s="199">
      <c r="A97">
        <f>IFERROR(TRIM('T12 Input'!B108),)</f>
        <v/>
      </c>
      <c r="B97">
        <f>IFERROR(VALUE('T12 Input'!C108),0)</f>
        <v/>
      </c>
      <c r="C97">
        <f>IFERROR(VALUE('T12 Input'!D108),0)</f>
        <v/>
      </c>
      <c r="D97">
        <f>IFERROR(VALUE('T12 Input'!E108),0)</f>
        <v/>
      </c>
      <c r="E97">
        <f>IFERROR(VALUE('T12 Input'!F108),0)</f>
        <v/>
      </c>
      <c r="F97">
        <f>IFERROR(VALUE('T12 Input'!G108),0)</f>
        <v/>
      </c>
      <c r="G97">
        <f>IFERROR(VALUE('T12 Input'!H108),0)</f>
        <v/>
      </c>
      <c r="H97">
        <f>IFERROR(VALUE('T12 Input'!I108),0)</f>
        <v/>
      </c>
      <c r="I97">
        <f>IFERROR(VALUE('T12 Input'!J108),0)</f>
        <v/>
      </c>
      <c r="J97">
        <f>IFERROR(VALUE('T12 Input'!K108),0)</f>
        <v/>
      </c>
      <c r="K97">
        <f>IFERROR(VALUE('T12 Input'!L108),0)</f>
        <v/>
      </c>
      <c r="L97">
        <f>IFERROR(VALUE('T12 Input'!M108),0)</f>
        <v/>
      </c>
      <c r="M97">
        <f>IFERROR(VALUE('T12 Input'!N108),0)</f>
        <v/>
      </c>
      <c r="N97">
        <f>IFERROR(INDEX(DescMap_Label,MATCH(A97,DescMap_Description,0)),"")</f>
        <v/>
      </c>
    </row>
    <row r="98" ht="15" customHeight="1" s="199">
      <c r="A98">
        <f>IFERROR(TRIM('T12 Input'!B109),)</f>
        <v/>
      </c>
      <c r="B98">
        <f>IFERROR(VALUE('T12 Input'!C109),0)</f>
        <v/>
      </c>
      <c r="C98">
        <f>IFERROR(VALUE('T12 Input'!D109),0)</f>
        <v/>
      </c>
      <c r="D98">
        <f>IFERROR(VALUE('T12 Input'!E109),0)</f>
        <v/>
      </c>
      <c r="E98">
        <f>IFERROR(VALUE('T12 Input'!F109),0)</f>
        <v/>
      </c>
      <c r="F98">
        <f>IFERROR(VALUE('T12 Input'!G109),0)</f>
        <v/>
      </c>
      <c r="G98">
        <f>IFERROR(VALUE('T12 Input'!H109),0)</f>
        <v/>
      </c>
      <c r="H98">
        <f>IFERROR(VALUE('T12 Input'!I109),0)</f>
        <v/>
      </c>
      <c r="I98">
        <f>IFERROR(VALUE('T12 Input'!J109),0)</f>
        <v/>
      </c>
      <c r="J98">
        <f>IFERROR(VALUE('T12 Input'!K109),0)</f>
        <v/>
      </c>
      <c r="K98">
        <f>IFERROR(VALUE('T12 Input'!L109),0)</f>
        <v/>
      </c>
      <c r="L98">
        <f>IFERROR(VALUE('T12 Input'!M109),0)</f>
        <v/>
      </c>
      <c r="M98">
        <f>IFERROR(VALUE('T12 Input'!N109),0)</f>
        <v/>
      </c>
      <c r="N98">
        <f>IFERROR(INDEX(DescMap_Label,MATCH(A98,DescMap_Description,0)),"")</f>
        <v/>
      </c>
    </row>
    <row r="99" ht="15" customHeight="1" s="199">
      <c r="A99">
        <f>IFERROR(TRIM('T12 Input'!B110),)</f>
        <v/>
      </c>
      <c r="B99">
        <f>IFERROR(VALUE('T12 Input'!C110),0)</f>
        <v/>
      </c>
      <c r="C99">
        <f>IFERROR(VALUE('T12 Input'!D110),0)</f>
        <v/>
      </c>
      <c r="D99">
        <f>IFERROR(VALUE('T12 Input'!E110),0)</f>
        <v/>
      </c>
      <c r="E99">
        <f>IFERROR(VALUE('T12 Input'!F110),0)</f>
        <v/>
      </c>
      <c r="F99">
        <f>IFERROR(VALUE('T12 Input'!G110),0)</f>
        <v/>
      </c>
      <c r="G99">
        <f>IFERROR(VALUE('T12 Input'!H110),0)</f>
        <v/>
      </c>
      <c r="H99">
        <f>IFERROR(VALUE('T12 Input'!I110),0)</f>
        <v/>
      </c>
      <c r="I99">
        <f>IFERROR(VALUE('T12 Input'!J110),0)</f>
        <v/>
      </c>
      <c r="J99">
        <f>IFERROR(VALUE('T12 Input'!K110),0)</f>
        <v/>
      </c>
      <c r="K99">
        <f>IFERROR(VALUE('T12 Input'!L110),0)</f>
        <v/>
      </c>
      <c r="L99">
        <f>IFERROR(VALUE('T12 Input'!M110),0)</f>
        <v/>
      </c>
      <c r="M99">
        <f>IFERROR(VALUE('T12 Input'!N110),0)</f>
        <v/>
      </c>
      <c r="N99">
        <f>IFERROR(INDEX(DescMap_Label,MATCH(A99,DescMap_Description,0)),"")</f>
        <v/>
      </c>
    </row>
    <row r="100" ht="15" customHeight="1" s="199">
      <c r="A100">
        <f>IFERROR(TRIM('T12 Input'!B111),)</f>
        <v/>
      </c>
      <c r="B100">
        <f>IFERROR(VALUE('T12 Input'!C111),0)</f>
        <v/>
      </c>
      <c r="C100">
        <f>IFERROR(VALUE('T12 Input'!D111),0)</f>
        <v/>
      </c>
      <c r="D100">
        <f>IFERROR(VALUE('T12 Input'!E111),0)</f>
        <v/>
      </c>
      <c r="E100">
        <f>IFERROR(VALUE('T12 Input'!F111),0)</f>
        <v/>
      </c>
      <c r="F100">
        <f>IFERROR(VALUE('T12 Input'!G111),0)</f>
        <v/>
      </c>
      <c r="G100">
        <f>IFERROR(VALUE('T12 Input'!H111),0)</f>
        <v/>
      </c>
      <c r="H100">
        <f>IFERROR(VALUE('T12 Input'!I111),0)</f>
        <v/>
      </c>
      <c r="I100">
        <f>IFERROR(VALUE('T12 Input'!J111),0)</f>
        <v/>
      </c>
      <c r="J100">
        <f>IFERROR(VALUE('T12 Input'!K111),0)</f>
        <v/>
      </c>
      <c r="K100">
        <f>IFERROR(VALUE('T12 Input'!L111),0)</f>
        <v/>
      </c>
      <c r="L100">
        <f>IFERROR(VALUE('T12 Input'!M111),0)</f>
        <v/>
      </c>
      <c r="M100">
        <f>IFERROR(VALUE('T12 Input'!N111),0)</f>
        <v/>
      </c>
      <c r="N100">
        <f>IFERROR(INDEX(DescMap_Label,MATCH(A100,DescMap_Description,0)),"")</f>
        <v/>
      </c>
    </row>
    <row r="101" ht="15" customHeight="1" s="199">
      <c r="A101">
        <f>IFERROR(TRIM('T12 Input'!B112),)</f>
        <v/>
      </c>
      <c r="B101">
        <f>IFERROR(VALUE('T12 Input'!C112),0)</f>
        <v/>
      </c>
      <c r="C101">
        <f>IFERROR(VALUE('T12 Input'!D112),0)</f>
        <v/>
      </c>
      <c r="D101">
        <f>IFERROR(VALUE('T12 Input'!E112),0)</f>
        <v/>
      </c>
      <c r="E101">
        <f>IFERROR(VALUE('T12 Input'!F112),0)</f>
        <v/>
      </c>
      <c r="F101">
        <f>IFERROR(VALUE('T12 Input'!G112),0)</f>
        <v/>
      </c>
      <c r="G101">
        <f>IFERROR(VALUE('T12 Input'!H112),0)</f>
        <v/>
      </c>
      <c r="H101">
        <f>IFERROR(VALUE('T12 Input'!I112),0)</f>
        <v/>
      </c>
      <c r="I101">
        <f>IFERROR(VALUE('T12 Input'!J112),0)</f>
        <v/>
      </c>
      <c r="J101">
        <f>IFERROR(VALUE('T12 Input'!K112),0)</f>
        <v/>
      </c>
      <c r="K101">
        <f>IFERROR(VALUE('T12 Input'!L112),0)</f>
        <v/>
      </c>
      <c r="L101">
        <f>IFERROR(VALUE('T12 Input'!M112),0)</f>
        <v/>
      </c>
      <c r="M101">
        <f>IFERROR(VALUE('T12 Input'!N112),0)</f>
        <v/>
      </c>
      <c r="N101">
        <f>IFERROR(INDEX(DescMap_Label,MATCH(A101,DescMap_Description,0)),"")</f>
        <v/>
      </c>
    </row>
    <row r="102" ht="15" customHeight="1" s="199">
      <c r="A102">
        <f>IFERROR(TRIM('T12 Input'!B113),)</f>
        <v/>
      </c>
      <c r="B102">
        <f>IFERROR(VALUE('T12 Input'!C113),0)</f>
        <v/>
      </c>
      <c r="C102">
        <f>IFERROR(VALUE('T12 Input'!D113),0)</f>
        <v/>
      </c>
      <c r="D102">
        <f>IFERROR(VALUE('T12 Input'!E113),0)</f>
        <v/>
      </c>
      <c r="E102">
        <f>IFERROR(VALUE('T12 Input'!F113),0)</f>
        <v/>
      </c>
      <c r="F102">
        <f>IFERROR(VALUE('T12 Input'!G113),0)</f>
        <v/>
      </c>
      <c r="G102">
        <f>IFERROR(VALUE('T12 Input'!H113),0)</f>
        <v/>
      </c>
      <c r="H102">
        <f>IFERROR(VALUE('T12 Input'!I113),0)</f>
        <v/>
      </c>
      <c r="I102">
        <f>IFERROR(VALUE('T12 Input'!J113),0)</f>
        <v/>
      </c>
      <c r="J102">
        <f>IFERROR(VALUE('T12 Input'!K113),0)</f>
        <v/>
      </c>
      <c r="K102">
        <f>IFERROR(VALUE('T12 Input'!L113),0)</f>
        <v/>
      </c>
      <c r="L102">
        <f>IFERROR(VALUE('T12 Input'!M113),0)</f>
        <v/>
      </c>
      <c r="M102">
        <f>IFERROR(VALUE('T12 Input'!N113),0)</f>
        <v/>
      </c>
      <c r="N102">
        <f>IFERROR(INDEX(DescMap_Label,MATCH(A102,DescMap_Description,0)),"")</f>
        <v/>
      </c>
    </row>
    <row r="103" ht="15" customHeight="1" s="199">
      <c r="A103">
        <f>IFERROR(TRIM('T12 Input'!B114),)</f>
        <v/>
      </c>
      <c r="B103">
        <f>IFERROR(VALUE('T12 Input'!C114),0)</f>
        <v/>
      </c>
      <c r="C103">
        <f>IFERROR(VALUE('T12 Input'!D114),0)</f>
        <v/>
      </c>
      <c r="D103">
        <f>IFERROR(VALUE('T12 Input'!E114),0)</f>
        <v/>
      </c>
      <c r="E103">
        <f>IFERROR(VALUE('T12 Input'!F114),0)</f>
        <v/>
      </c>
      <c r="F103">
        <f>IFERROR(VALUE('T12 Input'!G114),0)</f>
        <v/>
      </c>
      <c r="G103">
        <f>IFERROR(VALUE('T12 Input'!H114),0)</f>
        <v/>
      </c>
      <c r="H103">
        <f>IFERROR(VALUE('T12 Input'!I114),0)</f>
        <v/>
      </c>
      <c r="I103">
        <f>IFERROR(VALUE('T12 Input'!J114),0)</f>
        <v/>
      </c>
      <c r="J103">
        <f>IFERROR(VALUE('T12 Input'!K114),0)</f>
        <v/>
      </c>
      <c r="K103">
        <f>IFERROR(VALUE('T12 Input'!L114),0)</f>
        <v/>
      </c>
      <c r="L103">
        <f>IFERROR(VALUE('T12 Input'!M114),0)</f>
        <v/>
      </c>
      <c r="M103">
        <f>IFERROR(VALUE('T12 Input'!N114),0)</f>
        <v/>
      </c>
      <c r="N103">
        <f>IFERROR(INDEX(DescMap_Label,MATCH(A103,DescMap_Description,0)),"")</f>
        <v/>
      </c>
    </row>
    <row r="104" ht="15" customHeight="1" s="199">
      <c r="A104">
        <f>IFERROR(TRIM('T12 Input'!B115),)</f>
        <v/>
      </c>
      <c r="B104">
        <f>IFERROR(VALUE('T12 Input'!C115),0)</f>
        <v/>
      </c>
      <c r="C104">
        <f>IFERROR(VALUE('T12 Input'!D115),0)</f>
        <v/>
      </c>
      <c r="D104">
        <f>IFERROR(VALUE('T12 Input'!E115),0)</f>
        <v/>
      </c>
      <c r="E104">
        <f>IFERROR(VALUE('T12 Input'!F115),0)</f>
        <v/>
      </c>
      <c r="F104">
        <f>IFERROR(VALUE('T12 Input'!G115),0)</f>
        <v/>
      </c>
      <c r="G104">
        <f>IFERROR(VALUE('T12 Input'!H115),0)</f>
        <v/>
      </c>
      <c r="H104">
        <f>IFERROR(VALUE('T12 Input'!I115),0)</f>
        <v/>
      </c>
      <c r="I104">
        <f>IFERROR(VALUE('T12 Input'!J115),0)</f>
        <v/>
      </c>
      <c r="J104">
        <f>IFERROR(VALUE('T12 Input'!K115),0)</f>
        <v/>
      </c>
      <c r="K104">
        <f>IFERROR(VALUE('T12 Input'!L115),0)</f>
        <v/>
      </c>
      <c r="L104">
        <f>IFERROR(VALUE('T12 Input'!M115),0)</f>
        <v/>
      </c>
      <c r="M104">
        <f>IFERROR(VALUE('T12 Input'!N115),0)</f>
        <v/>
      </c>
      <c r="N104">
        <f>IFERROR(INDEX(DescMap_Label,MATCH(A104,DescMap_Description,0)),"")</f>
        <v/>
      </c>
    </row>
    <row r="105" ht="15" customHeight="1" s="199">
      <c r="A105">
        <f>IFERROR(TRIM('T12 Input'!B116),)</f>
        <v/>
      </c>
      <c r="B105">
        <f>IFERROR(VALUE('T12 Input'!C116),0)</f>
        <v/>
      </c>
      <c r="C105">
        <f>IFERROR(VALUE('T12 Input'!D116),0)</f>
        <v/>
      </c>
      <c r="D105">
        <f>IFERROR(VALUE('T12 Input'!E116),0)</f>
        <v/>
      </c>
      <c r="E105">
        <f>IFERROR(VALUE('T12 Input'!F116),0)</f>
        <v/>
      </c>
      <c r="F105">
        <f>IFERROR(VALUE('T12 Input'!G116),0)</f>
        <v/>
      </c>
      <c r="G105">
        <f>IFERROR(VALUE('T12 Input'!H116),0)</f>
        <v/>
      </c>
      <c r="H105">
        <f>IFERROR(VALUE('T12 Input'!I116),0)</f>
        <v/>
      </c>
      <c r="I105">
        <f>IFERROR(VALUE('T12 Input'!J116),0)</f>
        <v/>
      </c>
      <c r="J105">
        <f>IFERROR(VALUE('T12 Input'!K116),0)</f>
        <v/>
      </c>
      <c r="K105">
        <f>IFERROR(VALUE('T12 Input'!L116),0)</f>
        <v/>
      </c>
      <c r="L105">
        <f>IFERROR(VALUE('T12 Input'!M116),0)</f>
        <v/>
      </c>
      <c r="M105">
        <f>IFERROR(VALUE('T12 Input'!N116),0)</f>
        <v/>
      </c>
      <c r="N105">
        <f>IFERROR(INDEX(DescMap_Label,MATCH(A105,DescMap_Description,0)),"")</f>
        <v/>
      </c>
    </row>
    <row r="106" ht="15" customHeight="1" s="199">
      <c r="A106">
        <f>IFERROR(TRIM('T12 Input'!B117),)</f>
        <v/>
      </c>
      <c r="B106">
        <f>IFERROR(VALUE('T12 Input'!C117),0)</f>
        <v/>
      </c>
      <c r="C106">
        <f>IFERROR(VALUE('T12 Input'!D117),0)</f>
        <v/>
      </c>
      <c r="D106">
        <f>IFERROR(VALUE('T12 Input'!E117),0)</f>
        <v/>
      </c>
      <c r="E106">
        <f>IFERROR(VALUE('T12 Input'!F117),0)</f>
        <v/>
      </c>
      <c r="F106">
        <f>IFERROR(VALUE('T12 Input'!G117),0)</f>
        <v/>
      </c>
      <c r="G106">
        <f>IFERROR(VALUE('T12 Input'!H117),0)</f>
        <v/>
      </c>
      <c r="H106">
        <f>IFERROR(VALUE('T12 Input'!I117),0)</f>
        <v/>
      </c>
      <c r="I106">
        <f>IFERROR(VALUE('T12 Input'!J117),0)</f>
        <v/>
      </c>
      <c r="J106">
        <f>IFERROR(VALUE('T12 Input'!K117),0)</f>
        <v/>
      </c>
      <c r="K106">
        <f>IFERROR(VALUE('T12 Input'!L117),0)</f>
        <v/>
      </c>
      <c r="L106">
        <f>IFERROR(VALUE('T12 Input'!M117),0)</f>
        <v/>
      </c>
      <c r="M106">
        <f>IFERROR(VALUE('T12 Input'!N117),0)</f>
        <v/>
      </c>
      <c r="N106">
        <f>IFERROR(INDEX(DescMap_Label,MATCH(A106,DescMap_Description,0)),"")</f>
        <v/>
      </c>
    </row>
    <row r="107" ht="15" customHeight="1" s="199">
      <c r="A107">
        <f>IFERROR(TRIM('T12 Input'!B118),)</f>
        <v/>
      </c>
      <c r="B107">
        <f>IFERROR(VALUE('T12 Input'!C118),0)</f>
        <v/>
      </c>
      <c r="C107">
        <f>IFERROR(VALUE('T12 Input'!D118),0)</f>
        <v/>
      </c>
      <c r="D107">
        <f>IFERROR(VALUE('T12 Input'!E118),0)</f>
        <v/>
      </c>
      <c r="E107">
        <f>IFERROR(VALUE('T12 Input'!F118),0)</f>
        <v/>
      </c>
      <c r="F107">
        <f>IFERROR(VALUE('T12 Input'!G118),0)</f>
        <v/>
      </c>
      <c r="G107">
        <f>IFERROR(VALUE('T12 Input'!H118),0)</f>
        <v/>
      </c>
      <c r="H107">
        <f>IFERROR(VALUE('T12 Input'!I118),0)</f>
        <v/>
      </c>
      <c r="I107">
        <f>IFERROR(VALUE('T12 Input'!J118),0)</f>
        <v/>
      </c>
      <c r="J107">
        <f>IFERROR(VALUE('T12 Input'!K118),0)</f>
        <v/>
      </c>
      <c r="K107">
        <f>IFERROR(VALUE('T12 Input'!L118),0)</f>
        <v/>
      </c>
      <c r="L107">
        <f>IFERROR(VALUE('T12 Input'!M118),0)</f>
        <v/>
      </c>
      <c r="M107">
        <f>IFERROR(VALUE('T12 Input'!N118),0)</f>
        <v/>
      </c>
      <c r="N107">
        <f>IFERROR(INDEX(DescMap_Label,MATCH(A107,DescMap_Description,0)),"")</f>
        <v/>
      </c>
    </row>
    <row r="108" ht="15" customHeight="1" s="199">
      <c r="A108">
        <f>IFERROR(TRIM('T12 Input'!B119),)</f>
        <v/>
      </c>
      <c r="B108">
        <f>IFERROR(VALUE('T12 Input'!C119),0)</f>
        <v/>
      </c>
      <c r="C108">
        <f>IFERROR(VALUE('T12 Input'!D119),0)</f>
        <v/>
      </c>
      <c r="D108">
        <f>IFERROR(VALUE('T12 Input'!E119),0)</f>
        <v/>
      </c>
      <c r="E108">
        <f>IFERROR(VALUE('T12 Input'!F119),0)</f>
        <v/>
      </c>
      <c r="F108">
        <f>IFERROR(VALUE('T12 Input'!G119),0)</f>
        <v/>
      </c>
      <c r="G108">
        <f>IFERROR(VALUE('T12 Input'!H119),0)</f>
        <v/>
      </c>
      <c r="H108">
        <f>IFERROR(VALUE('T12 Input'!I119),0)</f>
        <v/>
      </c>
      <c r="I108">
        <f>IFERROR(VALUE('T12 Input'!J119),0)</f>
        <v/>
      </c>
      <c r="J108">
        <f>IFERROR(VALUE('T12 Input'!K119),0)</f>
        <v/>
      </c>
      <c r="K108">
        <f>IFERROR(VALUE('T12 Input'!L119),0)</f>
        <v/>
      </c>
      <c r="L108">
        <f>IFERROR(VALUE('T12 Input'!M119),0)</f>
        <v/>
      </c>
      <c r="M108">
        <f>IFERROR(VALUE('T12 Input'!N119),0)</f>
        <v/>
      </c>
      <c r="N108">
        <f>IFERROR(INDEX(DescMap_Label,MATCH(A108,DescMap_Description,0)),"")</f>
        <v/>
      </c>
    </row>
    <row r="109" ht="15" customHeight="1" s="199">
      <c r="A109">
        <f>IFERROR(TRIM('T12 Input'!B120),)</f>
        <v/>
      </c>
      <c r="B109">
        <f>IFERROR(VALUE('T12 Input'!C120),0)</f>
        <v/>
      </c>
      <c r="C109">
        <f>IFERROR(VALUE('T12 Input'!D120),0)</f>
        <v/>
      </c>
      <c r="D109">
        <f>IFERROR(VALUE('T12 Input'!E120),0)</f>
        <v/>
      </c>
      <c r="E109">
        <f>IFERROR(VALUE('T12 Input'!F120),0)</f>
        <v/>
      </c>
      <c r="F109">
        <f>IFERROR(VALUE('T12 Input'!G120),0)</f>
        <v/>
      </c>
      <c r="G109">
        <f>IFERROR(VALUE('T12 Input'!H120),0)</f>
        <v/>
      </c>
      <c r="H109">
        <f>IFERROR(VALUE('T12 Input'!I120),0)</f>
        <v/>
      </c>
      <c r="I109">
        <f>IFERROR(VALUE('T12 Input'!J120),0)</f>
        <v/>
      </c>
      <c r="J109">
        <f>IFERROR(VALUE('T12 Input'!K120),0)</f>
        <v/>
      </c>
      <c r="K109">
        <f>IFERROR(VALUE('T12 Input'!L120),0)</f>
        <v/>
      </c>
      <c r="L109">
        <f>IFERROR(VALUE('T12 Input'!M120),0)</f>
        <v/>
      </c>
      <c r="M109">
        <f>IFERROR(VALUE('T12 Input'!N120),0)</f>
        <v/>
      </c>
      <c r="N109">
        <f>IFERROR(INDEX(DescMap_Label,MATCH(A109,DescMap_Description,0)),"")</f>
        <v/>
      </c>
    </row>
    <row r="110" ht="15" customHeight="1" s="199">
      <c r="A110">
        <f>IFERROR(TRIM('T12 Input'!B121),)</f>
        <v/>
      </c>
      <c r="B110">
        <f>IFERROR(VALUE('T12 Input'!C121),0)</f>
        <v/>
      </c>
      <c r="C110">
        <f>IFERROR(VALUE('T12 Input'!D121),0)</f>
        <v/>
      </c>
      <c r="D110">
        <f>IFERROR(VALUE('T12 Input'!E121),0)</f>
        <v/>
      </c>
      <c r="E110">
        <f>IFERROR(VALUE('T12 Input'!F121),0)</f>
        <v/>
      </c>
      <c r="F110">
        <f>IFERROR(VALUE('T12 Input'!G121),0)</f>
        <v/>
      </c>
      <c r="G110">
        <f>IFERROR(VALUE('T12 Input'!H121),0)</f>
        <v/>
      </c>
      <c r="H110">
        <f>IFERROR(VALUE('T12 Input'!I121),0)</f>
        <v/>
      </c>
      <c r="I110">
        <f>IFERROR(VALUE('T12 Input'!J121),0)</f>
        <v/>
      </c>
      <c r="J110">
        <f>IFERROR(VALUE('T12 Input'!K121),0)</f>
        <v/>
      </c>
      <c r="K110">
        <f>IFERROR(VALUE('T12 Input'!L121),0)</f>
        <v/>
      </c>
      <c r="L110">
        <f>IFERROR(VALUE('T12 Input'!M121),0)</f>
        <v/>
      </c>
      <c r="M110">
        <f>IFERROR(VALUE('T12 Input'!N121),0)</f>
        <v/>
      </c>
      <c r="N110">
        <f>IFERROR(INDEX(DescMap_Label,MATCH(A110,DescMap_Description,0)),"")</f>
        <v/>
      </c>
    </row>
    <row r="111" ht="15" customHeight="1" s="199">
      <c r="A111">
        <f>IFERROR(TRIM('T12 Input'!B122),)</f>
        <v/>
      </c>
      <c r="B111">
        <f>IFERROR(VALUE('T12 Input'!C122),0)</f>
        <v/>
      </c>
      <c r="C111">
        <f>IFERROR(VALUE('T12 Input'!D122),0)</f>
        <v/>
      </c>
      <c r="D111">
        <f>IFERROR(VALUE('T12 Input'!E122),0)</f>
        <v/>
      </c>
      <c r="E111">
        <f>IFERROR(VALUE('T12 Input'!F122),0)</f>
        <v/>
      </c>
      <c r="F111">
        <f>IFERROR(VALUE('T12 Input'!G122),0)</f>
        <v/>
      </c>
      <c r="G111">
        <f>IFERROR(VALUE('T12 Input'!H122),0)</f>
        <v/>
      </c>
      <c r="H111">
        <f>IFERROR(VALUE('T12 Input'!I122),0)</f>
        <v/>
      </c>
      <c r="I111">
        <f>IFERROR(VALUE('T12 Input'!J122),0)</f>
        <v/>
      </c>
      <c r="J111">
        <f>IFERROR(VALUE('T12 Input'!K122),0)</f>
        <v/>
      </c>
      <c r="K111">
        <f>IFERROR(VALUE('T12 Input'!L122),0)</f>
        <v/>
      </c>
      <c r="L111">
        <f>IFERROR(VALUE('T12 Input'!M122),0)</f>
        <v/>
      </c>
      <c r="M111">
        <f>IFERROR(VALUE('T12 Input'!N122),0)</f>
        <v/>
      </c>
      <c r="N111">
        <f>IFERROR(INDEX(DescMap_Label,MATCH(A111,DescMap_Description,0)),"")</f>
        <v/>
      </c>
    </row>
    <row r="112" ht="15" customHeight="1" s="199">
      <c r="A112">
        <f>IFERROR(TRIM('T12 Input'!B123),)</f>
        <v/>
      </c>
      <c r="B112">
        <f>IFERROR(VALUE('T12 Input'!C123),0)</f>
        <v/>
      </c>
      <c r="C112">
        <f>IFERROR(VALUE('T12 Input'!D123),0)</f>
        <v/>
      </c>
      <c r="D112">
        <f>IFERROR(VALUE('T12 Input'!E123),0)</f>
        <v/>
      </c>
      <c r="E112">
        <f>IFERROR(VALUE('T12 Input'!F123),0)</f>
        <v/>
      </c>
      <c r="F112">
        <f>IFERROR(VALUE('T12 Input'!G123),0)</f>
        <v/>
      </c>
      <c r="G112">
        <f>IFERROR(VALUE('T12 Input'!H123),0)</f>
        <v/>
      </c>
      <c r="H112">
        <f>IFERROR(VALUE('T12 Input'!I123),0)</f>
        <v/>
      </c>
      <c r="I112">
        <f>IFERROR(VALUE('T12 Input'!J123),0)</f>
        <v/>
      </c>
      <c r="J112">
        <f>IFERROR(VALUE('T12 Input'!K123),0)</f>
        <v/>
      </c>
      <c r="K112">
        <f>IFERROR(VALUE('T12 Input'!L123),0)</f>
        <v/>
      </c>
      <c r="L112">
        <f>IFERROR(VALUE('T12 Input'!M123),0)</f>
        <v/>
      </c>
      <c r="M112">
        <f>IFERROR(VALUE('T12 Input'!N123),0)</f>
        <v/>
      </c>
      <c r="N112">
        <f>IFERROR(INDEX(DescMap_Label,MATCH(A112,DescMap_Description,0)),"")</f>
        <v/>
      </c>
    </row>
    <row r="113" ht="15" customHeight="1" s="199">
      <c r="A113">
        <f>IFERROR(TRIM('T12 Input'!B124),)</f>
        <v/>
      </c>
      <c r="B113">
        <f>IFERROR(VALUE('T12 Input'!C124),0)</f>
        <v/>
      </c>
      <c r="C113">
        <f>IFERROR(VALUE('T12 Input'!D124),0)</f>
        <v/>
      </c>
      <c r="D113">
        <f>IFERROR(VALUE('T12 Input'!E124),0)</f>
        <v/>
      </c>
      <c r="E113">
        <f>IFERROR(VALUE('T12 Input'!F124),0)</f>
        <v/>
      </c>
      <c r="F113">
        <f>IFERROR(VALUE('T12 Input'!G124),0)</f>
        <v/>
      </c>
      <c r="G113">
        <f>IFERROR(VALUE('T12 Input'!H124),0)</f>
        <v/>
      </c>
      <c r="H113">
        <f>IFERROR(VALUE('T12 Input'!I124),0)</f>
        <v/>
      </c>
      <c r="I113">
        <f>IFERROR(VALUE('T12 Input'!J124),0)</f>
        <v/>
      </c>
      <c r="J113">
        <f>IFERROR(VALUE('T12 Input'!K124),0)</f>
        <v/>
      </c>
      <c r="K113">
        <f>IFERROR(VALUE('T12 Input'!L124),0)</f>
        <v/>
      </c>
      <c r="L113">
        <f>IFERROR(VALUE('T12 Input'!M124),0)</f>
        <v/>
      </c>
      <c r="M113">
        <f>IFERROR(VALUE('T12 Input'!N124),0)</f>
        <v/>
      </c>
      <c r="N113">
        <f>IFERROR(INDEX(DescMap_Label,MATCH(A113,DescMap_Description,0)),"")</f>
        <v/>
      </c>
    </row>
    <row r="114" ht="15" customHeight="1" s="199">
      <c r="A114">
        <f>IFERROR(TRIM('T12 Input'!B125),)</f>
        <v/>
      </c>
      <c r="B114">
        <f>IFERROR(VALUE('T12 Input'!C125),0)</f>
        <v/>
      </c>
      <c r="C114">
        <f>IFERROR(VALUE('T12 Input'!D125),0)</f>
        <v/>
      </c>
      <c r="D114">
        <f>IFERROR(VALUE('T12 Input'!E125),0)</f>
        <v/>
      </c>
      <c r="E114">
        <f>IFERROR(VALUE('T12 Input'!F125),0)</f>
        <v/>
      </c>
      <c r="F114">
        <f>IFERROR(VALUE('T12 Input'!G125),0)</f>
        <v/>
      </c>
      <c r="G114">
        <f>IFERROR(VALUE('T12 Input'!H125),0)</f>
        <v/>
      </c>
      <c r="H114">
        <f>IFERROR(VALUE('T12 Input'!I125),0)</f>
        <v/>
      </c>
      <c r="I114">
        <f>IFERROR(VALUE('T12 Input'!J125),0)</f>
        <v/>
      </c>
      <c r="J114">
        <f>IFERROR(VALUE('T12 Input'!K125),0)</f>
        <v/>
      </c>
      <c r="K114">
        <f>IFERROR(VALUE('T12 Input'!L125),0)</f>
        <v/>
      </c>
      <c r="L114">
        <f>IFERROR(VALUE('T12 Input'!M125),0)</f>
        <v/>
      </c>
      <c r="M114">
        <f>IFERROR(VALUE('T12 Input'!N125),0)</f>
        <v/>
      </c>
      <c r="N114">
        <f>IFERROR(INDEX(DescMap_Label,MATCH(A114,DescMap_Description,0)),"")</f>
        <v/>
      </c>
    </row>
    <row r="115" ht="15" customHeight="1" s="199">
      <c r="A115">
        <f>IFERROR(TRIM('T12 Input'!B126),)</f>
        <v/>
      </c>
      <c r="B115">
        <f>IFERROR(VALUE('T12 Input'!C126),0)</f>
        <v/>
      </c>
      <c r="C115">
        <f>IFERROR(VALUE('T12 Input'!D126),0)</f>
        <v/>
      </c>
      <c r="D115">
        <f>IFERROR(VALUE('T12 Input'!E126),0)</f>
        <v/>
      </c>
      <c r="E115">
        <f>IFERROR(VALUE('T12 Input'!F126),0)</f>
        <v/>
      </c>
      <c r="F115">
        <f>IFERROR(VALUE('T12 Input'!G126),0)</f>
        <v/>
      </c>
      <c r="G115">
        <f>IFERROR(VALUE('T12 Input'!H126),0)</f>
        <v/>
      </c>
      <c r="H115">
        <f>IFERROR(VALUE('T12 Input'!I126),0)</f>
        <v/>
      </c>
      <c r="I115">
        <f>IFERROR(VALUE('T12 Input'!J126),0)</f>
        <v/>
      </c>
      <c r="J115">
        <f>IFERROR(VALUE('T12 Input'!K126),0)</f>
        <v/>
      </c>
      <c r="K115">
        <f>IFERROR(VALUE('T12 Input'!L126),0)</f>
        <v/>
      </c>
      <c r="L115">
        <f>IFERROR(VALUE('T12 Input'!M126),0)</f>
        <v/>
      </c>
      <c r="M115">
        <f>IFERROR(VALUE('T12 Input'!N126),0)</f>
        <v/>
      </c>
      <c r="N115">
        <f>IFERROR(INDEX(DescMap_Label,MATCH(A115,DescMap_Description,0)),"")</f>
        <v/>
      </c>
    </row>
    <row r="116" ht="15" customHeight="1" s="199">
      <c r="A116">
        <f>IFERROR(TRIM('T12 Input'!B127),)</f>
        <v/>
      </c>
      <c r="B116">
        <f>IFERROR(VALUE('T12 Input'!C127),0)</f>
        <v/>
      </c>
      <c r="C116">
        <f>IFERROR(VALUE('T12 Input'!D127),0)</f>
        <v/>
      </c>
      <c r="D116">
        <f>IFERROR(VALUE('T12 Input'!E127),0)</f>
        <v/>
      </c>
      <c r="E116">
        <f>IFERROR(VALUE('T12 Input'!F127),0)</f>
        <v/>
      </c>
      <c r="F116">
        <f>IFERROR(VALUE('T12 Input'!G127),0)</f>
        <v/>
      </c>
      <c r="G116">
        <f>IFERROR(VALUE('T12 Input'!H127),0)</f>
        <v/>
      </c>
      <c r="H116">
        <f>IFERROR(VALUE('T12 Input'!I127),0)</f>
        <v/>
      </c>
      <c r="I116">
        <f>IFERROR(VALUE('T12 Input'!J127),0)</f>
        <v/>
      </c>
      <c r="J116">
        <f>IFERROR(VALUE('T12 Input'!K127),0)</f>
        <v/>
      </c>
      <c r="K116">
        <f>IFERROR(VALUE('T12 Input'!L127),0)</f>
        <v/>
      </c>
      <c r="L116">
        <f>IFERROR(VALUE('T12 Input'!M127),0)</f>
        <v/>
      </c>
      <c r="M116">
        <f>IFERROR(VALUE('T12 Input'!N127),0)</f>
        <v/>
      </c>
      <c r="N116">
        <f>IFERROR(INDEX(DescMap_Label,MATCH(A116,DescMap_Description,0)),"")</f>
        <v/>
      </c>
    </row>
    <row r="117" ht="15" customHeight="1" s="199">
      <c r="A117">
        <f>IFERROR(TRIM('T12 Input'!B128),)</f>
        <v/>
      </c>
      <c r="B117">
        <f>IFERROR(VALUE('T12 Input'!C128),0)</f>
        <v/>
      </c>
      <c r="C117">
        <f>IFERROR(VALUE('T12 Input'!D128),0)</f>
        <v/>
      </c>
      <c r="D117">
        <f>IFERROR(VALUE('T12 Input'!E128),0)</f>
        <v/>
      </c>
      <c r="E117">
        <f>IFERROR(VALUE('T12 Input'!F128),0)</f>
        <v/>
      </c>
      <c r="F117">
        <f>IFERROR(VALUE('T12 Input'!G128),0)</f>
        <v/>
      </c>
      <c r="G117">
        <f>IFERROR(VALUE('T12 Input'!H128),0)</f>
        <v/>
      </c>
      <c r="H117">
        <f>IFERROR(VALUE('T12 Input'!I128),0)</f>
        <v/>
      </c>
      <c r="I117">
        <f>IFERROR(VALUE('T12 Input'!J128),0)</f>
        <v/>
      </c>
      <c r="J117">
        <f>IFERROR(VALUE('T12 Input'!K128),0)</f>
        <v/>
      </c>
      <c r="K117">
        <f>IFERROR(VALUE('T12 Input'!L128),0)</f>
        <v/>
      </c>
      <c r="L117">
        <f>IFERROR(VALUE('T12 Input'!M128),0)</f>
        <v/>
      </c>
      <c r="M117">
        <f>IFERROR(VALUE('T12 Input'!N128),0)</f>
        <v/>
      </c>
      <c r="N117">
        <f>IFERROR(INDEX(DescMap_Label,MATCH(A117,DescMap_Description,0)),"")</f>
        <v/>
      </c>
    </row>
    <row r="118" ht="15" customHeight="1" s="199">
      <c r="A118">
        <f>IFERROR(TRIM('T12 Input'!B129),)</f>
        <v/>
      </c>
      <c r="B118">
        <f>IFERROR(VALUE('T12 Input'!C129),0)</f>
        <v/>
      </c>
      <c r="C118">
        <f>IFERROR(VALUE('T12 Input'!D129),0)</f>
        <v/>
      </c>
      <c r="D118">
        <f>IFERROR(VALUE('T12 Input'!E129),0)</f>
        <v/>
      </c>
      <c r="E118">
        <f>IFERROR(VALUE('T12 Input'!F129),0)</f>
        <v/>
      </c>
      <c r="F118">
        <f>IFERROR(VALUE('T12 Input'!G129),0)</f>
        <v/>
      </c>
      <c r="G118">
        <f>IFERROR(VALUE('T12 Input'!H129),0)</f>
        <v/>
      </c>
      <c r="H118">
        <f>IFERROR(VALUE('T12 Input'!I129),0)</f>
        <v/>
      </c>
      <c r="I118">
        <f>IFERROR(VALUE('T12 Input'!J129),0)</f>
        <v/>
      </c>
      <c r="J118">
        <f>IFERROR(VALUE('T12 Input'!K129),0)</f>
        <v/>
      </c>
      <c r="K118">
        <f>IFERROR(VALUE('T12 Input'!L129),0)</f>
        <v/>
      </c>
      <c r="L118">
        <f>IFERROR(VALUE('T12 Input'!M129),0)</f>
        <v/>
      </c>
      <c r="M118">
        <f>IFERROR(VALUE('T12 Input'!N129),0)</f>
        <v/>
      </c>
      <c r="N118">
        <f>IFERROR(INDEX(DescMap_Label,MATCH(A118,DescMap_Description,0)),"")</f>
        <v/>
      </c>
    </row>
    <row r="119" ht="15" customHeight="1" s="199">
      <c r="A119">
        <f>IFERROR(TRIM('T12 Input'!B130),)</f>
        <v/>
      </c>
      <c r="B119">
        <f>IFERROR(VALUE('T12 Input'!C130),0)</f>
        <v/>
      </c>
      <c r="C119">
        <f>IFERROR(VALUE('T12 Input'!D130),0)</f>
        <v/>
      </c>
      <c r="D119">
        <f>IFERROR(VALUE('T12 Input'!E130),0)</f>
        <v/>
      </c>
      <c r="E119">
        <f>IFERROR(VALUE('T12 Input'!F130),0)</f>
        <v/>
      </c>
      <c r="F119">
        <f>IFERROR(VALUE('T12 Input'!G130),0)</f>
        <v/>
      </c>
      <c r="G119">
        <f>IFERROR(VALUE('T12 Input'!H130),0)</f>
        <v/>
      </c>
      <c r="H119">
        <f>IFERROR(VALUE('T12 Input'!I130),0)</f>
        <v/>
      </c>
      <c r="I119">
        <f>IFERROR(VALUE('T12 Input'!J130),0)</f>
        <v/>
      </c>
      <c r="J119">
        <f>IFERROR(VALUE('T12 Input'!K130),0)</f>
        <v/>
      </c>
      <c r="K119">
        <f>IFERROR(VALUE('T12 Input'!L130),0)</f>
        <v/>
      </c>
      <c r="L119">
        <f>IFERROR(VALUE('T12 Input'!M130),0)</f>
        <v/>
      </c>
      <c r="M119">
        <f>IFERROR(VALUE('T12 Input'!N130),0)</f>
        <v/>
      </c>
      <c r="N119">
        <f>IFERROR(INDEX(DescMap_Label,MATCH(A119,DescMap_Description,0)),"")</f>
        <v/>
      </c>
    </row>
    <row r="120" ht="15" customHeight="1" s="199">
      <c r="A120">
        <f>IFERROR(TRIM('T12 Input'!B131),)</f>
        <v/>
      </c>
      <c r="B120">
        <f>IFERROR(VALUE('T12 Input'!C131),0)</f>
        <v/>
      </c>
      <c r="C120">
        <f>IFERROR(VALUE('T12 Input'!D131),0)</f>
        <v/>
      </c>
      <c r="D120">
        <f>IFERROR(VALUE('T12 Input'!E131),0)</f>
        <v/>
      </c>
      <c r="E120">
        <f>IFERROR(VALUE('T12 Input'!F131),0)</f>
        <v/>
      </c>
      <c r="F120">
        <f>IFERROR(VALUE('T12 Input'!G131),0)</f>
        <v/>
      </c>
      <c r="G120">
        <f>IFERROR(VALUE('T12 Input'!H131),0)</f>
        <v/>
      </c>
      <c r="H120">
        <f>IFERROR(VALUE('T12 Input'!I131),0)</f>
        <v/>
      </c>
      <c r="I120">
        <f>IFERROR(VALUE('T12 Input'!J131),0)</f>
        <v/>
      </c>
      <c r="J120">
        <f>IFERROR(VALUE('T12 Input'!K131),0)</f>
        <v/>
      </c>
      <c r="K120">
        <f>IFERROR(VALUE('T12 Input'!L131),0)</f>
        <v/>
      </c>
      <c r="L120">
        <f>IFERROR(VALUE('T12 Input'!M131),0)</f>
        <v/>
      </c>
      <c r="M120">
        <f>IFERROR(VALUE('T12 Input'!N131),0)</f>
        <v/>
      </c>
      <c r="N120">
        <f>IFERROR(INDEX(DescMap_Label,MATCH(A120,DescMap_Description,0)),"")</f>
        <v/>
      </c>
    </row>
    <row r="121" ht="15" customHeight="1" s="199">
      <c r="A121">
        <f>IFERROR(TRIM('T12 Input'!B132),)</f>
        <v/>
      </c>
      <c r="B121">
        <f>IFERROR(VALUE('T12 Input'!C132),0)</f>
        <v/>
      </c>
      <c r="C121">
        <f>IFERROR(VALUE('T12 Input'!D132),0)</f>
        <v/>
      </c>
      <c r="D121">
        <f>IFERROR(VALUE('T12 Input'!E132),0)</f>
        <v/>
      </c>
      <c r="E121">
        <f>IFERROR(VALUE('T12 Input'!F132),0)</f>
        <v/>
      </c>
      <c r="F121">
        <f>IFERROR(VALUE('T12 Input'!G132),0)</f>
        <v/>
      </c>
      <c r="G121">
        <f>IFERROR(VALUE('T12 Input'!H132),0)</f>
        <v/>
      </c>
      <c r="H121">
        <f>IFERROR(VALUE('T12 Input'!I132),0)</f>
        <v/>
      </c>
      <c r="I121">
        <f>IFERROR(VALUE('T12 Input'!J132),0)</f>
        <v/>
      </c>
      <c r="J121">
        <f>IFERROR(VALUE('T12 Input'!K132),0)</f>
        <v/>
      </c>
      <c r="K121">
        <f>IFERROR(VALUE('T12 Input'!L132),0)</f>
        <v/>
      </c>
      <c r="L121">
        <f>IFERROR(VALUE('T12 Input'!M132),0)</f>
        <v/>
      </c>
      <c r="M121">
        <f>IFERROR(VALUE('T12 Input'!N132),0)</f>
        <v/>
      </c>
      <c r="N121">
        <f>IFERROR(INDEX(DescMap_Label,MATCH(A121,DescMap_Description,0)),"")</f>
        <v/>
      </c>
    </row>
    <row r="122" ht="15" customHeight="1" s="199">
      <c r="A122">
        <f>IFERROR(TRIM('T12 Input'!B133),)</f>
        <v/>
      </c>
      <c r="B122">
        <f>IFERROR(VALUE('T12 Input'!C133),0)</f>
        <v/>
      </c>
      <c r="C122">
        <f>IFERROR(VALUE('T12 Input'!D133),0)</f>
        <v/>
      </c>
      <c r="D122">
        <f>IFERROR(VALUE('T12 Input'!E133),0)</f>
        <v/>
      </c>
      <c r="E122">
        <f>IFERROR(VALUE('T12 Input'!F133),0)</f>
        <v/>
      </c>
      <c r="F122">
        <f>IFERROR(VALUE('T12 Input'!G133),0)</f>
        <v/>
      </c>
      <c r="G122">
        <f>IFERROR(VALUE('T12 Input'!H133),0)</f>
        <v/>
      </c>
      <c r="H122">
        <f>IFERROR(VALUE('T12 Input'!I133),0)</f>
        <v/>
      </c>
      <c r="I122">
        <f>IFERROR(VALUE('T12 Input'!J133),0)</f>
        <v/>
      </c>
      <c r="J122">
        <f>IFERROR(VALUE('T12 Input'!K133),0)</f>
        <v/>
      </c>
      <c r="K122">
        <f>IFERROR(VALUE('T12 Input'!L133),0)</f>
        <v/>
      </c>
      <c r="L122">
        <f>IFERROR(VALUE('T12 Input'!M133),0)</f>
        <v/>
      </c>
      <c r="M122">
        <f>IFERROR(VALUE('T12 Input'!N133),0)</f>
        <v/>
      </c>
      <c r="N122">
        <f>IFERROR(INDEX(DescMap_Label,MATCH(A122,DescMap_Description,0)),"")</f>
        <v/>
      </c>
    </row>
    <row r="123" ht="15" customHeight="1" s="199">
      <c r="A123">
        <f>IFERROR(TRIM('T12 Input'!B134),)</f>
        <v/>
      </c>
      <c r="B123">
        <f>IFERROR(VALUE('T12 Input'!C134),0)</f>
        <v/>
      </c>
      <c r="C123">
        <f>IFERROR(VALUE('T12 Input'!D134),0)</f>
        <v/>
      </c>
      <c r="D123">
        <f>IFERROR(VALUE('T12 Input'!E134),0)</f>
        <v/>
      </c>
      <c r="E123">
        <f>IFERROR(VALUE('T12 Input'!F134),0)</f>
        <v/>
      </c>
      <c r="F123">
        <f>IFERROR(VALUE('T12 Input'!G134),0)</f>
        <v/>
      </c>
      <c r="G123">
        <f>IFERROR(VALUE('T12 Input'!H134),0)</f>
        <v/>
      </c>
      <c r="H123">
        <f>IFERROR(VALUE('T12 Input'!I134),0)</f>
        <v/>
      </c>
      <c r="I123">
        <f>IFERROR(VALUE('T12 Input'!J134),0)</f>
        <v/>
      </c>
      <c r="J123">
        <f>IFERROR(VALUE('T12 Input'!K134),0)</f>
        <v/>
      </c>
      <c r="K123">
        <f>IFERROR(VALUE('T12 Input'!L134),0)</f>
        <v/>
      </c>
      <c r="L123">
        <f>IFERROR(VALUE('T12 Input'!M134),0)</f>
        <v/>
      </c>
      <c r="M123">
        <f>IFERROR(VALUE('T12 Input'!N134),0)</f>
        <v/>
      </c>
      <c r="N123">
        <f>IFERROR(INDEX(DescMap_Label,MATCH(A123,DescMap_Description,0)),"")</f>
        <v/>
      </c>
    </row>
    <row r="124" ht="15" customHeight="1" s="199">
      <c r="A124">
        <f>IFERROR(TRIM('T12 Input'!B135),)</f>
        <v/>
      </c>
      <c r="B124">
        <f>IFERROR(VALUE('T12 Input'!C135),0)</f>
        <v/>
      </c>
      <c r="C124">
        <f>IFERROR(VALUE('T12 Input'!D135),0)</f>
        <v/>
      </c>
      <c r="D124">
        <f>IFERROR(VALUE('T12 Input'!E135),0)</f>
        <v/>
      </c>
      <c r="E124">
        <f>IFERROR(VALUE('T12 Input'!F135),0)</f>
        <v/>
      </c>
      <c r="F124">
        <f>IFERROR(VALUE('T12 Input'!G135),0)</f>
        <v/>
      </c>
      <c r="G124">
        <f>IFERROR(VALUE('T12 Input'!H135),0)</f>
        <v/>
      </c>
      <c r="H124">
        <f>IFERROR(VALUE('T12 Input'!I135),0)</f>
        <v/>
      </c>
      <c r="I124">
        <f>IFERROR(VALUE('T12 Input'!J135),0)</f>
        <v/>
      </c>
      <c r="J124">
        <f>IFERROR(VALUE('T12 Input'!K135),0)</f>
        <v/>
      </c>
      <c r="K124">
        <f>IFERROR(VALUE('T12 Input'!L135),0)</f>
        <v/>
      </c>
      <c r="L124">
        <f>IFERROR(VALUE('T12 Input'!M135),0)</f>
        <v/>
      </c>
      <c r="M124">
        <f>IFERROR(VALUE('T12 Input'!N135),0)</f>
        <v/>
      </c>
      <c r="N124">
        <f>IFERROR(INDEX(DescMap_Label,MATCH(A124,DescMap_Description,0)),"")</f>
        <v/>
      </c>
    </row>
    <row r="125" ht="15" customHeight="1" s="199">
      <c r="A125">
        <f>IFERROR(TRIM('T12 Input'!B136),)</f>
        <v/>
      </c>
      <c r="B125">
        <f>IFERROR(VALUE('T12 Input'!C136),0)</f>
        <v/>
      </c>
      <c r="C125">
        <f>IFERROR(VALUE('T12 Input'!D136),0)</f>
        <v/>
      </c>
      <c r="D125">
        <f>IFERROR(VALUE('T12 Input'!E136),0)</f>
        <v/>
      </c>
      <c r="E125">
        <f>IFERROR(VALUE('T12 Input'!F136),0)</f>
        <v/>
      </c>
      <c r="F125">
        <f>IFERROR(VALUE('T12 Input'!G136),0)</f>
        <v/>
      </c>
      <c r="G125">
        <f>IFERROR(VALUE('T12 Input'!H136),0)</f>
        <v/>
      </c>
      <c r="H125">
        <f>IFERROR(VALUE('T12 Input'!I136),0)</f>
        <v/>
      </c>
      <c r="I125">
        <f>IFERROR(VALUE('T12 Input'!J136),0)</f>
        <v/>
      </c>
      <c r="J125">
        <f>IFERROR(VALUE('T12 Input'!K136),0)</f>
        <v/>
      </c>
      <c r="K125">
        <f>IFERROR(VALUE('T12 Input'!L136),0)</f>
        <v/>
      </c>
      <c r="L125">
        <f>IFERROR(VALUE('T12 Input'!M136),0)</f>
        <v/>
      </c>
      <c r="M125">
        <f>IFERROR(VALUE('T12 Input'!N136),0)</f>
        <v/>
      </c>
      <c r="N125">
        <f>IFERROR(INDEX(DescMap_Label,MATCH(A125,DescMap_Description,0)),"")</f>
        <v/>
      </c>
    </row>
    <row r="126" ht="15" customHeight="1" s="199">
      <c r="A126">
        <f>IFERROR(TRIM('T12 Input'!B137),)</f>
        <v/>
      </c>
      <c r="B126">
        <f>IFERROR(VALUE('T12 Input'!C137),0)</f>
        <v/>
      </c>
      <c r="C126">
        <f>IFERROR(VALUE('T12 Input'!D137),0)</f>
        <v/>
      </c>
      <c r="D126">
        <f>IFERROR(VALUE('T12 Input'!E137),0)</f>
        <v/>
      </c>
      <c r="E126">
        <f>IFERROR(VALUE('T12 Input'!F137),0)</f>
        <v/>
      </c>
      <c r="F126">
        <f>IFERROR(VALUE('T12 Input'!G137),0)</f>
        <v/>
      </c>
      <c r="G126">
        <f>IFERROR(VALUE('T12 Input'!H137),0)</f>
        <v/>
      </c>
      <c r="H126">
        <f>IFERROR(VALUE('T12 Input'!I137),0)</f>
        <v/>
      </c>
      <c r="I126">
        <f>IFERROR(VALUE('T12 Input'!J137),0)</f>
        <v/>
      </c>
      <c r="J126">
        <f>IFERROR(VALUE('T12 Input'!K137),0)</f>
        <v/>
      </c>
      <c r="K126">
        <f>IFERROR(VALUE('T12 Input'!L137),0)</f>
        <v/>
      </c>
      <c r="L126">
        <f>IFERROR(VALUE('T12 Input'!M137),0)</f>
        <v/>
      </c>
      <c r="M126">
        <f>IFERROR(VALUE('T12 Input'!N137),0)</f>
        <v/>
      </c>
      <c r="N126">
        <f>IFERROR(INDEX(DescMap_Label,MATCH(A126,DescMap_Description,0)),"")</f>
        <v/>
      </c>
    </row>
    <row r="127" ht="15" customHeight="1" s="199">
      <c r="A127">
        <f>IFERROR(TRIM('T12 Input'!B138),)</f>
        <v/>
      </c>
      <c r="B127">
        <f>IFERROR(VALUE('T12 Input'!C138),0)</f>
        <v/>
      </c>
      <c r="C127">
        <f>IFERROR(VALUE('T12 Input'!D138),0)</f>
        <v/>
      </c>
      <c r="D127">
        <f>IFERROR(VALUE('T12 Input'!E138),0)</f>
        <v/>
      </c>
      <c r="E127">
        <f>IFERROR(VALUE('T12 Input'!F138),0)</f>
        <v/>
      </c>
      <c r="F127">
        <f>IFERROR(VALUE('T12 Input'!G138),0)</f>
        <v/>
      </c>
      <c r="G127">
        <f>IFERROR(VALUE('T12 Input'!H138),0)</f>
        <v/>
      </c>
      <c r="H127">
        <f>IFERROR(VALUE('T12 Input'!I138),0)</f>
        <v/>
      </c>
      <c r="I127">
        <f>IFERROR(VALUE('T12 Input'!J138),0)</f>
        <v/>
      </c>
      <c r="J127">
        <f>IFERROR(VALUE('T12 Input'!K138),0)</f>
        <v/>
      </c>
      <c r="K127">
        <f>IFERROR(VALUE('T12 Input'!L138),0)</f>
        <v/>
      </c>
      <c r="L127">
        <f>IFERROR(VALUE('T12 Input'!M138),0)</f>
        <v/>
      </c>
      <c r="M127">
        <f>IFERROR(VALUE('T12 Input'!N138),0)</f>
        <v/>
      </c>
      <c r="N127">
        <f>IFERROR(INDEX(DescMap_Label,MATCH(A127,DescMap_Description,0)),"")</f>
        <v/>
      </c>
    </row>
    <row r="128" ht="15" customHeight="1" s="199">
      <c r="A128">
        <f>IFERROR(TRIM('T12 Input'!B139),)</f>
        <v/>
      </c>
      <c r="B128">
        <f>IFERROR(VALUE('T12 Input'!C139),0)</f>
        <v/>
      </c>
      <c r="C128">
        <f>IFERROR(VALUE('T12 Input'!D139),0)</f>
        <v/>
      </c>
      <c r="D128">
        <f>IFERROR(VALUE('T12 Input'!E139),0)</f>
        <v/>
      </c>
      <c r="E128">
        <f>IFERROR(VALUE('T12 Input'!F139),0)</f>
        <v/>
      </c>
      <c r="F128">
        <f>IFERROR(VALUE('T12 Input'!G139),0)</f>
        <v/>
      </c>
      <c r="G128">
        <f>IFERROR(VALUE('T12 Input'!H139),0)</f>
        <v/>
      </c>
      <c r="H128">
        <f>IFERROR(VALUE('T12 Input'!I139),0)</f>
        <v/>
      </c>
      <c r="I128">
        <f>IFERROR(VALUE('T12 Input'!J139),0)</f>
        <v/>
      </c>
      <c r="J128">
        <f>IFERROR(VALUE('T12 Input'!K139),0)</f>
        <v/>
      </c>
      <c r="K128">
        <f>IFERROR(VALUE('T12 Input'!L139),0)</f>
        <v/>
      </c>
      <c r="L128">
        <f>IFERROR(VALUE('T12 Input'!M139),0)</f>
        <v/>
      </c>
      <c r="M128">
        <f>IFERROR(VALUE('T12 Input'!N139),0)</f>
        <v/>
      </c>
      <c r="N128">
        <f>IFERROR(INDEX(DescMap_Label,MATCH(A128,DescMap_Description,0)),"")</f>
        <v/>
      </c>
    </row>
    <row r="129" ht="15" customHeight="1" s="199">
      <c r="A129">
        <f>IFERROR(TRIM('T12 Input'!B140),)</f>
        <v/>
      </c>
      <c r="B129">
        <f>IFERROR(VALUE('T12 Input'!C140),0)</f>
        <v/>
      </c>
      <c r="C129">
        <f>IFERROR(VALUE('T12 Input'!D140),0)</f>
        <v/>
      </c>
      <c r="D129">
        <f>IFERROR(VALUE('T12 Input'!E140),0)</f>
        <v/>
      </c>
      <c r="E129">
        <f>IFERROR(VALUE('T12 Input'!F140),0)</f>
        <v/>
      </c>
      <c r="F129">
        <f>IFERROR(VALUE('T12 Input'!G140),0)</f>
        <v/>
      </c>
      <c r="G129">
        <f>IFERROR(VALUE('T12 Input'!H140),0)</f>
        <v/>
      </c>
      <c r="H129">
        <f>IFERROR(VALUE('T12 Input'!I140),0)</f>
        <v/>
      </c>
      <c r="I129">
        <f>IFERROR(VALUE('T12 Input'!J140),0)</f>
        <v/>
      </c>
      <c r="J129">
        <f>IFERROR(VALUE('T12 Input'!K140),0)</f>
        <v/>
      </c>
      <c r="K129">
        <f>IFERROR(VALUE('T12 Input'!L140),0)</f>
        <v/>
      </c>
      <c r="L129">
        <f>IFERROR(VALUE('T12 Input'!M140),0)</f>
        <v/>
      </c>
      <c r="M129">
        <f>IFERROR(VALUE('T12 Input'!N140),0)</f>
        <v/>
      </c>
      <c r="N129">
        <f>IFERROR(INDEX(DescMap_Label,MATCH(A129,DescMap_Description,0)),"")</f>
        <v/>
      </c>
    </row>
    <row r="130" ht="15" customHeight="1" s="199">
      <c r="A130">
        <f>IFERROR(TRIM('T12 Input'!B141),)</f>
        <v/>
      </c>
      <c r="B130">
        <f>IFERROR(VALUE('T12 Input'!C141),0)</f>
        <v/>
      </c>
      <c r="C130">
        <f>IFERROR(VALUE('T12 Input'!D141),0)</f>
        <v/>
      </c>
      <c r="D130">
        <f>IFERROR(VALUE('T12 Input'!E141),0)</f>
        <v/>
      </c>
      <c r="E130">
        <f>IFERROR(VALUE('T12 Input'!F141),0)</f>
        <v/>
      </c>
      <c r="F130">
        <f>IFERROR(VALUE('T12 Input'!G141),0)</f>
        <v/>
      </c>
      <c r="G130">
        <f>IFERROR(VALUE('T12 Input'!H141),0)</f>
        <v/>
      </c>
      <c r="H130">
        <f>IFERROR(VALUE('T12 Input'!I141),0)</f>
        <v/>
      </c>
      <c r="I130">
        <f>IFERROR(VALUE('T12 Input'!J141),0)</f>
        <v/>
      </c>
      <c r="J130">
        <f>IFERROR(VALUE('T12 Input'!K141),0)</f>
        <v/>
      </c>
      <c r="K130">
        <f>IFERROR(VALUE('T12 Input'!L141),0)</f>
        <v/>
      </c>
      <c r="L130">
        <f>IFERROR(VALUE('T12 Input'!M141),0)</f>
        <v/>
      </c>
      <c r="M130">
        <f>IFERROR(VALUE('T12 Input'!N141),0)</f>
        <v/>
      </c>
      <c r="N130">
        <f>IFERROR(INDEX(DescMap_Label,MATCH(A130,DescMap_Description,0)),"")</f>
        <v/>
      </c>
    </row>
    <row r="131" ht="15" customHeight="1" s="199">
      <c r="A131">
        <f>IFERROR(TRIM('T12 Input'!B142),)</f>
        <v/>
      </c>
      <c r="B131">
        <f>IFERROR(VALUE('T12 Input'!C142),0)</f>
        <v/>
      </c>
      <c r="C131">
        <f>IFERROR(VALUE('T12 Input'!D142),0)</f>
        <v/>
      </c>
      <c r="D131">
        <f>IFERROR(VALUE('T12 Input'!E142),0)</f>
        <v/>
      </c>
      <c r="E131">
        <f>IFERROR(VALUE('T12 Input'!F142),0)</f>
        <v/>
      </c>
      <c r="F131">
        <f>IFERROR(VALUE('T12 Input'!G142),0)</f>
        <v/>
      </c>
      <c r="G131">
        <f>IFERROR(VALUE('T12 Input'!H142),0)</f>
        <v/>
      </c>
      <c r="H131">
        <f>IFERROR(VALUE('T12 Input'!I142),0)</f>
        <v/>
      </c>
      <c r="I131">
        <f>IFERROR(VALUE('T12 Input'!J142),0)</f>
        <v/>
      </c>
      <c r="J131">
        <f>IFERROR(VALUE('T12 Input'!K142),0)</f>
        <v/>
      </c>
      <c r="K131">
        <f>IFERROR(VALUE('T12 Input'!L142),0)</f>
        <v/>
      </c>
      <c r="L131">
        <f>IFERROR(VALUE('T12 Input'!M142),0)</f>
        <v/>
      </c>
      <c r="M131">
        <f>IFERROR(VALUE('T12 Input'!N142),0)</f>
        <v/>
      </c>
      <c r="N131">
        <f>IFERROR(INDEX(DescMap_Label,MATCH(A131,DescMap_Description,0)),"")</f>
        <v/>
      </c>
    </row>
    <row r="132" ht="15" customHeight="1" s="199">
      <c r="A132">
        <f>IFERROR(TRIM('T12 Input'!B143),)</f>
        <v/>
      </c>
      <c r="B132">
        <f>IFERROR(VALUE('T12 Input'!C143),0)</f>
        <v/>
      </c>
      <c r="C132">
        <f>IFERROR(VALUE('T12 Input'!D143),0)</f>
        <v/>
      </c>
      <c r="D132">
        <f>IFERROR(VALUE('T12 Input'!E143),0)</f>
        <v/>
      </c>
      <c r="E132">
        <f>IFERROR(VALUE('T12 Input'!F143),0)</f>
        <v/>
      </c>
      <c r="F132">
        <f>IFERROR(VALUE('T12 Input'!G143),0)</f>
        <v/>
      </c>
      <c r="G132">
        <f>IFERROR(VALUE('T12 Input'!H143),0)</f>
        <v/>
      </c>
      <c r="H132">
        <f>IFERROR(VALUE('T12 Input'!I143),0)</f>
        <v/>
      </c>
      <c r="I132">
        <f>IFERROR(VALUE('T12 Input'!J143),0)</f>
        <v/>
      </c>
      <c r="J132">
        <f>IFERROR(VALUE('T12 Input'!K143),0)</f>
        <v/>
      </c>
      <c r="K132">
        <f>IFERROR(VALUE('T12 Input'!L143),0)</f>
        <v/>
      </c>
      <c r="L132">
        <f>IFERROR(VALUE('T12 Input'!M143),0)</f>
        <v/>
      </c>
      <c r="M132">
        <f>IFERROR(VALUE('T12 Input'!N143),0)</f>
        <v/>
      </c>
      <c r="N132">
        <f>IFERROR(INDEX(DescMap_Label,MATCH(A132,DescMap_Description,0)),"")</f>
        <v/>
      </c>
    </row>
    <row r="133" ht="15" customHeight="1" s="199">
      <c r="A133">
        <f>IFERROR(TRIM('T12 Input'!B144),)</f>
        <v/>
      </c>
      <c r="B133">
        <f>IFERROR(VALUE('T12 Input'!C144),0)</f>
        <v/>
      </c>
      <c r="C133">
        <f>IFERROR(VALUE('T12 Input'!D144),0)</f>
        <v/>
      </c>
      <c r="D133">
        <f>IFERROR(VALUE('T12 Input'!E144),0)</f>
        <v/>
      </c>
      <c r="E133">
        <f>IFERROR(VALUE('T12 Input'!F144),0)</f>
        <v/>
      </c>
      <c r="F133">
        <f>IFERROR(VALUE('T12 Input'!G144),0)</f>
        <v/>
      </c>
      <c r="G133">
        <f>IFERROR(VALUE('T12 Input'!H144),0)</f>
        <v/>
      </c>
      <c r="H133">
        <f>IFERROR(VALUE('T12 Input'!I144),0)</f>
        <v/>
      </c>
      <c r="I133">
        <f>IFERROR(VALUE('T12 Input'!J144),0)</f>
        <v/>
      </c>
      <c r="J133">
        <f>IFERROR(VALUE('T12 Input'!K144),0)</f>
        <v/>
      </c>
      <c r="K133">
        <f>IFERROR(VALUE('T12 Input'!L144),0)</f>
        <v/>
      </c>
      <c r="L133">
        <f>IFERROR(VALUE('T12 Input'!M144),0)</f>
        <v/>
      </c>
      <c r="M133">
        <f>IFERROR(VALUE('T12 Input'!N144),0)</f>
        <v/>
      </c>
      <c r="N133">
        <f>IFERROR(INDEX(DescMap_Label,MATCH(A133,DescMap_Description,0)),"")</f>
        <v/>
      </c>
    </row>
    <row r="134" ht="15" customHeight="1" s="199">
      <c r="A134">
        <f>IFERROR(TRIM('T12 Input'!B145),)</f>
        <v/>
      </c>
      <c r="B134">
        <f>IFERROR(VALUE('T12 Input'!C145),0)</f>
        <v/>
      </c>
      <c r="C134">
        <f>IFERROR(VALUE('T12 Input'!D145),0)</f>
        <v/>
      </c>
      <c r="D134">
        <f>IFERROR(VALUE('T12 Input'!E145),0)</f>
        <v/>
      </c>
      <c r="E134">
        <f>IFERROR(VALUE('T12 Input'!F145),0)</f>
        <v/>
      </c>
      <c r="F134">
        <f>IFERROR(VALUE('T12 Input'!G145),0)</f>
        <v/>
      </c>
      <c r="G134">
        <f>IFERROR(VALUE('T12 Input'!H145),0)</f>
        <v/>
      </c>
      <c r="H134">
        <f>IFERROR(VALUE('T12 Input'!I145),0)</f>
        <v/>
      </c>
      <c r="I134">
        <f>IFERROR(VALUE('T12 Input'!J145),0)</f>
        <v/>
      </c>
      <c r="J134">
        <f>IFERROR(VALUE('T12 Input'!K145),0)</f>
        <v/>
      </c>
      <c r="K134">
        <f>IFERROR(VALUE('T12 Input'!L145),0)</f>
        <v/>
      </c>
      <c r="L134">
        <f>IFERROR(VALUE('T12 Input'!M145),0)</f>
        <v/>
      </c>
      <c r="M134">
        <f>IFERROR(VALUE('T12 Input'!N145),0)</f>
        <v/>
      </c>
      <c r="N134">
        <f>IFERROR(INDEX(DescMap_Label,MATCH(A134,DescMap_Description,0)),"")</f>
        <v/>
      </c>
    </row>
    <row r="135" ht="15" customHeight="1" s="199">
      <c r="A135">
        <f>IFERROR(TRIM('T12 Input'!B146),)</f>
        <v/>
      </c>
      <c r="B135">
        <f>IFERROR(VALUE('T12 Input'!C146),0)</f>
        <v/>
      </c>
      <c r="C135">
        <f>IFERROR(VALUE('T12 Input'!D146),0)</f>
        <v/>
      </c>
      <c r="D135">
        <f>IFERROR(VALUE('T12 Input'!E146),0)</f>
        <v/>
      </c>
      <c r="E135">
        <f>IFERROR(VALUE('T12 Input'!F146),0)</f>
        <v/>
      </c>
      <c r="F135">
        <f>IFERROR(VALUE('T12 Input'!G146),0)</f>
        <v/>
      </c>
      <c r="G135">
        <f>IFERROR(VALUE('T12 Input'!H146),0)</f>
        <v/>
      </c>
      <c r="H135">
        <f>IFERROR(VALUE('T12 Input'!I146),0)</f>
        <v/>
      </c>
      <c r="I135">
        <f>IFERROR(VALUE('T12 Input'!J146),0)</f>
        <v/>
      </c>
      <c r="J135">
        <f>IFERROR(VALUE('T12 Input'!K146),0)</f>
        <v/>
      </c>
      <c r="K135">
        <f>IFERROR(VALUE('T12 Input'!L146),0)</f>
        <v/>
      </c>
      <c r="L135">
        <f>IFERROR(VALUE('T12 Input'!M146),0)</f>
        <v/>
      </c>
      <c r="M135">
        <f>IFERROR(VALUE('T12 Input'!N146),0)</f>
        <v/>
      </c>
      <c r="N135">
        <f>IFERROR(INDEX(DescMap_Label,MATCH(A135,DescMap_Description,0)),"")</f>
        <v/>
      </c>
    </row>
    <row r="136" ht="15" customHeight="1" s="199">
      <c r="A136">
        <f>IFERROR(TRIM('T12 Input'!B147),)</f>
        <v/>
      </c>
      <c r="B136">
        <f>IFERROR(VALUE('T12 Input'!C147),0)</f>
        <v/>
      </c>
      <c r="C136">
        <f>IFERROR(VALUE('T12 Input'!D147),0)</f>
        <v/>
      </c>
      <c r="D136">
        <f>IFERROR(VALUE('T12 Input'!E147),0)</f>
        <v/>
      </c>
      <c r="E136">
        <f>IFERROR(VALUE('T12 Input'!F147),0)</f>
        <v/>
      </c>
      <c r="F136">
        <f>IFERROR(VALUE('T12 Input'!G147),0)</f>
        <v/>
      </c>
      <c r="G136">
        <f>IFERROR(VALUE('T12 Input'!H147),0)</f>
        <v/>
      </c>
      <c r="H136">
        <f>IFERROR(VALUE('T12 Input'!I147),0)</f>
        <v/>
      </c>
      <c r="I136">
        <f>IFERROR(VALUE('T12 Input'!J147),0)</f>
        <v/>
      </c>
      <c r="J136">
        <f>IFERROR(VALUE('T12 Input'!K147),0)</f>
        <v/>
      </c>
      <c r="K136">
        <f>IFERROR(VALUE('T12 Input'!L147),0)</f>
        <v/>
      </c>
      <c r="L136">
        <f>IFERROR(VALUE('T12 Input'!M147),0)</f>
        <v/>
      </c>
      <c r="M136">
        <f>IFERROR(VALUE('T12 Input'!N147),0)</f>
        <v/>
      </c>
      <c r="N136">
        <f>IFERROR(INDEX(DescMap_Label,MATCH(A136,DescMap_Description,0)),"")</f>
        <v/>
      </c>
    </row>
    <row r="137" ht="15" customHeight="1" s="199">
      <c r="A137">
        <f>IFERROR(TRIM('T12 Input'!B148),)</f>
        <v/>
      </c>
      <c r="B137">
        <f>IFERROR(VALUE('T12 Input'!C148),0)</f>
        <v/>
      </c>
      <c r="C137">
        <f>IFERROR(VALUE('T12 Input'!D148),0)</f>
        <v/>
      </c>
      <c r="D137">
        <f>IFERROR(VALUE('T12 Input'!E148),0)</f>
        <v/>
      </c>
      <c r="E137">
        <f>IFERROR(VALUE('T12 Input'!F148),0)</f>
        <v/>
      </c>
      <c r="F137">
        <f>IFERROR(VALUE('T12 Input'!G148),0)</f>
        <v/>
      </c>
      <c r="G137">
        <f>IFERROR(VALUE('T12 Input'!H148),0)</f>
        <v/>
      </c>
      <c r="H137">
        <f>IFERROR(VALUE('T12 Input'!I148),0)</f>
        <v/>
      </c>
      <c r="I137">
        <f>IFERROR(VALUE('T12 Input'!J148),0)</f>
        <v/>
      </c>
      <c r="J137">
        <f>IFERROR(VALUE('T12 Input'!K148),0)</f>
        <v/>
      </c>
      <c r="K137">
        <f>IFERROR(VALUE('T12 Input'!L148),0)</f>
        <v/>
      </c>
      <c r="L137">
        <f>IFERROR(VALUE('T12 Input'!M148),0)</f>
        <v/>
      </c>
      <c r="M137">
        <f>IFERROR(VALUE('T12 Input'!N148),0)</f>
        <v/>
      </c>
      <c r="N137">
        <f>IFERROR(INDEX(DescMap_Label,MATCH(A137,DescMap_Description,0)),"")</f>
        <v/>
      </c>
    </row>
    <row r="138" ht="15" customHeight="1" s="199">
      <c r="A138">
        <f>IFERROR(TRIM('T12 Input'!B149),)</f>
        <v/>
      </c>
      <c r="B138">
        <f>IFERROR(VALUE('T12 Input'!C149),0)</f>
        <v/>
      </c>
      <c r="C138">
        <f>IFERROR(VALUE('T12 Input'!D149),0)</f>
        <v/>
      </c>
      <c r="D138">
        <f>IFERROR(VALUE('T12 Input'!E149),0)</f>
        <v/>
      </c>
      <c r="E138">
        <f>IFERROR(VALUE('T12 Input'!F149),0)</f>
        <v/>
      </c>
      <c r="F138">
        <f>IFERROR(VALUE('T12 Input'!G149),0)</f>
        <v/>
      </c>
      <c r="G138">
        <f>IFERROR(VALUE('T12 Input'!H149),0)</f>
        <v/>
      </c>
      <c r="H138">
        <f>IFERROR(VALUE('T12 Input'!I149),0)</f>
        <v/>
      </c>
      <c r="I138">
        <f>IFERROR(VALUE('T12 Input'!J149),0)</f>
        <v/>
      </c>
      <c r="J138">
        <f>IFERROR(VALUE('T12 Input'!K149),0)</f>
        <v/>
      </c>
      <c r="K138">
        <f>IFERROR(VALUE('T12 Input'!L149),0)</f>
        <v/>
      </c>
      <c r="L138">
        <f>IFERROR(VALUE('T12 Input'!M149),0)</f>
        <v/>
      </c>
      <c r="M138">
        <f>IFERROR(VALUE('T12 Input'!N149),0)</f>
        <v/>
      </c>
      <c r="N138">
        <f>IFERROR(INDEX(DescMap_Label,MATCH(A138,DescMap_Description,0)),"")</f>
        <v/>
      </c>
    </row>
    <row r="139" ht="15" customHeight="1" s="199">
      <c r="A139">
        <f>IFERROR(TRIM('T12 Input'!B150),)</f>
        <v/>
      </c>
      <c r="B139">
        <f>IFERROR(VALUE('T12 Input'!C150),0)</f>
        <v/>
      </c>
      <c r="C139">
        <f>IFERROR(VALUE('T12 Input'!D150),0)</f>
        <v/>
      </c>
      <c r="D139">
        <f>IFERROR(VALUE('T12 Input'!E150),0)</f>
        <v/>
      </c>
      <c r="E139">
        <f>IFERROR(VALUE('T12 Input'!F150),0)</f>
        <v/>
      </c>
      <c r="F139">
        <f>IFERROR(VALUE('T12 Input'!G150),0)</f>
        <v/>
      </c>
      <c r="G139">
        <f>IFERROR(VALUE('T12 Input'!H150),0)</f>
        <v/>
      </c>
      <c r="H139">
        <f>IFERROR(VALUE('T12 Input'!I150),0)</f>
        <v/>
      </c>
      <c r="I139">
        <f>IFERROR(VALUE('T12 Input'!J150),0)</f>
        <v/>
      </c>
      <c r="J139">
        <f>IFERROR(VALUE('T12 Input'!K150),0)</f>
        <v/>
      </c>
      <c r="K139">
        <f>IFERROR(VALUE('T12 Input'!L150),0)</f>
        <v/>
      </c>
      <c r="L139">
        <f>IFERROR(VALUE('T12 Input'!M150),0)</f>
        <v/>
      </c>
      <c r="M139">
        <f>IFERROR(VALUE('T12 Input'!N150),0)</f>
        <v/>
      </c>
      <c r="N139">
        <f>IFERROR(INDEX(DescMap_Label,MATCH(A139,DescMap_Description,0)),"")</f>
        <v/>
      </c>
    </row>
    <row r="140" ht="15" customHeight="1" s="199">
      <c r="A140">
        <f>IFERROR(TRIM('T12 Input'!B151),)</f>
        <v/>
      </c>
      <c r="B140">
        <f>IFERROR(VALUE('T12 Input'!C151),0)</f>
        <v/>
      </c>
      <c r="C140">
        <f>IFERROR(VALUE('T12 Input'!D151),0)</f>
        <v/>
      </c>
      <c r="D140">
        <f>IFERROR(VALUE('T12 Input'!E151),0)</f>
        <v/>
      </c>
      <c r="E140">
        <f>IFERROR(VALUE('T12 Input'!F151),0)</f>
        <v/>
      </c>
      <c r="F140">
        <f>IFERROR(VALUE('T12 Input'!G151),0)</f>
        <v/>
      </c>
      <c r="G140">
        <f>IFERROR(VALUE('T12 Input'!H151),0)</f>
        <v/>
      </c>
      <c r="H140">
        <f>IFERROR(VALUE('T12 Input'!I151),0)</f>
        <v/>
      </c>
      <c r="I140">
        <f>IFERROR(VALUE('T12 Input'!J151),0)</f>
        <v/>
      </c>
      <c r="J140">
        <f>IFERROR(VALUE('T12 Input'!K151),0)</f>
        <v/>
      </c>
      <c r="K140">
        <f>IFERROR(VALUE('T12 Input'!L151),0)</f>
        <v/>
      </c>
      <c r="L140">
        <f>IFERROR(VALUE('T12 Input'!M151),0)</f>
        <v/>
      </c>
      <c r="M140">
        <f>IFERROR(VALUE('T12 Input'!N151),0)</f>
        <v/>
      </c>
      <c r="N140">
        <f>IFERROR(INDEX(DescMap_Label,MATCH(A140,DescMap_Description,0)),"")</f>
        <v/>
      </c>
    </row>
    <row r="141" ht="15" customHeight="1" s="199">
      <c r="A141">
        <f>IFERROR(TRIM('T12 Input'!B152),)</f>
        <v/>
      </c>
      <c r="B141">
        <f>IFERROR(VALUE('T12 Input'!C152),0)</f>
        <v/>
      </c>
      <c r="C141">
        <f>IFERROR(VALUE('T12 Input'!D152),0)</f>
        <v/>
      </c>
      <c r="D141">
        <f>IFERROR(VALUE('T12 Input'!E152),0)</f>
        <v/>
      </c>
      <c r="E141">
        <f>IFERROR(VALUE('T12 Input'!F152),0)</f>
        <v/>
      </c>
      <c r="F141">
        <f>IFERROR(VALUE('T12 Input'!G152),0)</f>
        <v/>
      </c>
      <c r="G141">
        <f>IFERROR(VALUE('T12 Input'!H152),0)</f>
        <v/>
      </c>
      <c r="H141">
        <f>IFERROR(VALUE('T12 Input'!I152),0)</f>
        <v/>
      </c>
      <c r="I141">
        <f>IFERROR(VALUE('T12 Input'!J152),0)</f>
        <v/>
      </c>
      <c r="J141">
        <f>IFERROR(VALUE('T12 Input'!K152),0)</f>
        <v/>
      </c>
      <c r="K141">
        <f>IFERROR(VALUE('T12 Input'!L152),0)</f>
        <v/>
      </c>
      <c r="L141">
        <f>IFERROR(VALUE('T12 Input'!M152),0)</f>
        <v/>
      </c>
      <c r="M141">
        <f>IFERROR(VALUE('T12 Input'!N152),0)</f>
        <v/>
      </c>
      <c r="N141">
        <f>IFERROR(INDEX(DescMap_Label,MATCH(A141,DescMap_Description,0)),"")</f>
        <v/>
      </c>
    </row>
    <row r="142" ht="15" customHeight="1" s="199">
      <c r="A142">
        <f>IFERROR(TRIM('T12 Input'!B153),)</f>
        <v/>
      </c>
      <c r="B142">
        <f>IFERROR(VALUE('T12 Input'!C153),0)</f>
        <v/>
      </c>
      <c r="C142">
        <f>IFERROR(VALUE('T12 Input'!D153),0)</f>
        <v/>
      </c>
      <c r="D142">
        <f>IFERROR(VALUE('T12 Input'!E153),0)</f>
        <v/>
      </c>
      <c r="E142">
        <f>IFERROR(VALUE('T12 Input'!F153),0)</f>
        <v/>
      </c>
      <c r="F142">
        <f>IFERROR(VALUE('T12 Input'!G153),0)</f>
        <v/>
      </c>
      <c r="G142">
        <f>IFERROR(VALUE('T12 Input'!H153),0)</f>
        <v/>
      </c>
      <c r="H142">
        <f>IFERROR(VALUE('T12 Input'!I153),0)</f>
        <v/>
      </c>
      <c r="I142">
        <f>IFERROR(VALUE('T12 Input'!J153),0)</f>
        <v/>
      </c>
      <c r="J142">
        <f>IFERROR(VALUE('T12 Input'!K153),0)</f>
        <v/>
      </c>
      <c r="K142">
        <f>IFERROR(VALUE('T12 Input'!L153),0)</f>
        <v/>
      </c>
      <c r="L142">
        <f>IFERROR(VALUE('T12 Input'!M153),0)</f>
        <v/>
      </c>
      <c r="M142">
        <f>IFERROR(VALUE('T12 Input'!N153),0)</f>
        <v/>
      </c>
      <c r="N142">
        <f>IFERROR(INDEX(DescMap_Label,MATCH(A142,DescMap_Description,0)),"")</f>
        <v/>
      </c>
    </row>
    <row r="143" ht="15" customHeight="1" s="199">
      <c r="A143">
        <f>IFERROR(TRIM('T12 Input'!B154),)</f>
        <v/>
      </c>
      <c r="B143">
        <f>IFERROR(VALUE('T12 Input'!C154),0)</f>
        <v/>
      </c>
      <c r="C143">
        <f>IFERROR(VALUE('T12 Input'!D154),0)</f>
        <v/>
      </c>
      <c r="D143">
        <f>IFERROR(VALUE('T12 Input'!E154),0)</f>
        <v/>
      </c>
      <c r="E143">
        <f>IFERROR(VALUE('T12 Input'!F154),0)</f>
        <v/>
      </c>
      <c r="F143">
        <f>IFERROR(VALUE('T12 Input'!G154),0)</f>
        <v/>
      </c>
      <c r="G143">
        <f>IFERROR(VALUE('T12 Input'!H154),0)</f>
        <v/>
      </c>
      <c r="H143">
        <f>IFERROR(VALUE('T12 Input'!I154),0)</f>
        <v/>
      </c>
      <c r="I143">
        <f>IFERROR(VALUE('T12 Input'!J154),0)</f>
        <v/>
      </c>
      <c r="J143">
        <f>IFERROR(VALUE('T12 Input'!K154),0)</f>
        <v/>
      </c>
      <c r="K143">
        <f>IFERROR(VALUE('T12 Input'!L154),0)</f>
        <v/>
      </c>
      <c r="L143">
        <f>IFERROR(VALUE('T12 Input'!M154),0)</f>
        <v/>
      </c>
      <c r="M143">
        <f>IFERROR(VALUE('T12 Input'!N154),0)</f>
        <v/>
      </c>
      <c r="N143">
        <f>IFERROR(INDEX(DescMap_Label,MATCH(A143,DescMap_Description,0)),"")</f>
        <v/>
      </c>
    </row>
    <row r="144" ht="15" customHeight="1" s="199">
      <c r="A144">
        <f>IFERROR(TRIM('T12 Input'!B155),)</f>
        <v/>
      </c>
      <c r="B144">
        <f>IFERROR(VALUE('T12 Input'!C155),0)</f>
        <v/>
      </c>
      <c r="C144">
        <f>IFERROR(VALUE('T12 Input'!D155),0)</f>
        <v/>
      </c>
      <c r="D144">
        <f>IFERROR(VALUE('T12 Input'!E155),0)</f>
        <v/>
      </c>
      <c r="E144">
        <f>IFERROR(VALUE('T12 Input'!F155),0)</f>
        <v/>
      </c>
      <c r="F144">
        <f>IFERROR(VALUE('T12 Input'!G155),0)</f>
        <v/>
      </c>
      <c r="G144">
        <f>IFERROR(VALUE('T12 Input'!H155),0)</f>
        <v/>
      </c>
      <c r="H144">
        <f>IFERROR(VALUE('T12 Input'!I155),0)</f>
        <v/>
      </c>
      <c r="I144">
        <f>IFERROR(VALUE('T12 Input'!J155),0)</f>
        <v/>
      </c>
      <c r="J144">
        <f>IFERROR(VALUE('T12 Input'!K155),0)</f>
        <v/>
      </c>
      <c r="K144">
        <f>IFERROR(VALUE('T12 Input'!L155),0)</f>
        <v/>
      </c>
      <c r="L144">
        <f>IFERROR(VALUE('T12 Input'!M155),0)</f>
        <v/>
      </c>
      <c r="M144">
        <f>IFERROR(VALUE('T12 Input'!N155),0)</f>
        <v/>
      </c>
      <c r="N144">
        <f>IFERROR(INDEX(DescMap_Label,MATCH(A144,DescMap_Description,0)),"")</f>
        <v/>
      </c>
    </row>
    <row r="145" ht="15" customHeight="1" s="199">
      <c r="A145">
        <f>IFERROR(TRIM('T12 Input'!B156),)</f>
        <v/>
      </c>
      <c r="B145">
        <f>IFERROR(VALUE('T12 Input'!C156),0)</f>
        <v/>
      </c>
      <c r="C145">
        <f>IFERROR(VALUE('T12 Input'!D156),0)</f>
        <v/>
      </c>
      <c r="D145">
        <f>IFERROR(VALUE('T12 Input'!E156),0)</f>
        <v/>
      </c>
      <c r="E145">
        <f>IFERROR(VALUE('T12 Input'!F156),0)</f>
        <v/>
      </c>
      <c r="F145">
        <f>IFERROR(VALUE('T12 Input'!G156),0)</f>
        <v/>
      </c>
      <c r="G145">
        <f>IFERROR(VALUE('T12 Input'!H156),0)</f>
        <v/>
      </c>
      <c r="H145">
        <f>IFERROR(VALUE('T12 Input'!I156),0)</f>
        <v/>
      </c>
      <c r="I145">
        <f>IFERROR(VALUE('T12 Input'!J156),0)</f>
        <v/>
      </c>
      <c r="J145">
        <f>IFERROR(VALUE('T12 Input'!K156),0)</f>
        <v/>
      </c>
      <c r="K145">
        <f>IFERROR(VALUE('T12 Input'!L156),0)</f>
        <v/>
      </c>
      <c r="L145">
        <f>IFERROR(VALUE('T12 Input'!M156),0)</f>
        <v/>
      </c>
      <c r="M145">
        <f>IFERROR(VALUE('T12 Input'!N156),0)</f>
        <v/>
      </c>
      <c r="N145">
        <f>IFERROR(INDEX(DescMap_Label,MATCH(A145,DescMap_Description,0)),"")</f>
        <v/>
      </c>
    </row>
    <row r="146" ht="15" customHeight="1" s="199">
      <c r="A146">
        <f>IFERROR(TRIM('T12 Input'!B157),)</f>
        <v/>
      </c>
      <c r="B146">
        <f>IFERROR(VALUE('T12 Input'!C157),0)</f>
        <v/>
      </c>
      <c r="C146">
        <f>IFERROR(VALUE('T12 Input'!D157),0)</f>
        <v/>
      </c>
      <c r="D146">
        <f>IFERROR(VALUE('T12 Input'!E157),0)</f>
        <v/>
      </c>
      <c r="E146">
        <f>IFERROR(VALUE('T12 Input'!F157),0)</f>
        <v/>
      </c>
      <c r="F146">
        <f>IFERROR(VALUE('T12 Input'!G157),0)</f>
        <v/>
      </c>
      <c r="G146">
        <f>IFERROR(VALUE('T12 Input'!H157),0)</f>
        <v/>
      </c>
      <c r="H146">
        <f>IFERROR(VALUE('T12 Input'!I157),0)</f>
        <v/>
      </c>
      <c r="I146">
        <f>IFERROR(VALUE('T12 Input'!J157),0)</f>
        <v/>
      </c>
      <c r="J146">
        <f>IFERROR(VALUE('T12 Input'!K157),0)</f>
        <v/>
      </c>
      <c r="K146">
        <f>IFERROR(VALUE('T12 Input'!L157),0)</f>
        <v/>
      </c>
      <c r="L146">
        <f>IFERROR(VALUE('T12 Input'!M157),0)</f>
        <v/>
      </c>
      <c r="M146">
        <f>IFERROR(VALUE('T12 Input'!N157),0)</f>
        <v/>
      </c>
      <c r="N146">
        <f>IFERROR(INDEX(DescMap_Label,MATCH(A146,DescMap_Description,0)),"")</f>
        <v/>
      </c>
    </row>
    <row r="147" ht="15" customHeight="1" s="199">
      <c r="A147">
        <f>IFERROR(TRIM('T12 Input'!B158),)</f>
        <v/>
      </c>
      <c r="B147">
        <f>IFERROR(VALUE('T12 Input'!C158),0)</f>
        <v/>
      </c>
      <c r="C147">
        <f>IFERROR(VALUE('T12 Input'!D158),0)</f>
        <v/>
      </c>
      <c r="D147">
        <f>IFERROR(VALUE('T12 Input'!E158),0)</f>
        <v/>
      </c>
      <c r="E147">
        <f>IFERROR(VALUE('T12 Input'!F158),0)</f>
        <v/>
      </c>
      <c r="F147">
        <f>IFERROR(VALUE('T12 Input'!G158),0)</f>
        <v/>
      </c>
      <c r="G147">
        <f>IFERROR(VALUE('T12 Input'!H158),0)</f>
        <v/>
      </c>
      <c r="H147">
        <f>IFERROR(VALUE('T12 Input'!I158),0)</f>
        <v/>
      </c>
      <c r="I147">
        <f>IFERROR(VALUE('T12 Input'!J158),0)</f>
        <v/>
      </c>
      <c r="J147">
        <f>IFERROR(VALUE('T12 Input'!K158),0)</f>
        <v/>
      </c>
      <c r="K147">
        <f>IFERROR(VALUE('T12 Input'!L158),0)</f>
        <v/>
      </c>
      <c r="L147">
        <f>IFERROR(VALUE('T12 Input'!M158),0)</f>
        <v/>
      </c>
      <c r="M147">
        <f>IFERROR(VALUE('T12 Input'!N158),0)</f>
        <v/>
      </c>
      <c r="N147">
        <f>IFERROR(INDEX(DescMap_Label,MATCH(A147,DescMap_Description,0)),"")</f>
        <v/>
      </c>
    </row>
    <row r="148" ht="15" customHeight="1" s="199">
      <c r="A148">
        <f>IFERROR(TRIM('T12 Input'!B159),)</f>
        <v/>
      </c>
      <c r="B148">
        <f>IFERROR(VALUE('T12 Input'!C159),0)</f>
        <v/>
      </c>
      <c r="C148">
        <f>IFERROR(VALUE('T12 Input'!D159),0)</f>
        <v/>
      </c>
      <c r="D148">
        <f>IFERROR(VALUE('T12 Input'!E159),0)</f>
        <v/>
      </c>
      <c r="E148">
        <f>IFERROR(VALUE('T12 Input'!F159),0)</f>
        <v/>
      </c>
      <c r="F148">
        <f>IFERROR(VALUE('T12 Input'!G159),0)</f>
        <v/>
      </c>
      <c r="G148">
        <f>IFERROR(VALUE('T12 Input'!H159),0)</f>
        <v/>
      </c>
      <c r="H148">
        <f>IFERROR(VALUE('T12 Input'!I159),0)</f>
        <v/>
      </c>
      <c r="I148">
        <f>IFERROR(VALUE('T12 Input'!J159),0)</f>
        <v/>
      </c>
      <c r="J148">
        <f>IFERROR(VALUE('T12 Input'!K159),0)</f>
        <v/>
      </c>
      <c r="K148">
        <f>IFERROR(VALUE('T12 Input'!L159),0)</f>
        <v/>
      </c>
      <c r="L148">
        <f>IFERROR(VALUE('T12 Input'!M159),0)</f>
        <v/>
      </c>
      <c r="M148">
        <f>IFERROR(VALUE('T12 Input'!N159),0)</f>
        <v/>
      </c>
      <c r="N148">
        <f>IFERROR(INDEX(DescMap_Label,MATCH(A148,DescMap_Description,0)),"")</f>
        <v/>
      </c>
    </row>
    <row r="149" ht="15" customHeight="1" s="199">
      <c r="A149">
        <f>IFERROR(TRIM('T12 Input'!B160),)</f>
        <v/>
      </c>
      <c r="B149">
        <f>IFERROR(VALUE('T12 Input'!C160),0)</f>
        <v/>
      </c>
      <c r="C149">
        <f>IFERROR(VALUE('T12 Input'!D160),0)</f>
        <v/>
      </c>
      <c r="D149">
        <f>IFERROR(VALUE('T12 Input'!E160),0)</f>
        <v/>
      </c>
      <c r="E149">
        <f>IFERROR(VALUE('T12 Input'!F160),0)</f>
        <v/>
      </c>
      <c r="F149">
        <f>IFERROR(VALUE('T12 Input'!G160),0)</f>
        <v/>
      </c>
      <c r="G149">
        <f>IFERROR(VALUE('T12 Input'!H160),0)</f>
        <v/>
      </c>
      <c r="H149">
        <f>IFERROR(VALUE('T12 Input'!I160),0)</f>
        <v/>
      </c>
      <c r="I149">
        <f>IFERROR(VALUE('T12 Input'!J160),0)</f>
        <v/>
      </c>
      <c r="J149">
        <f>IFERROR(VALUE('T12 Input'!K160),0)</f>
        <v/>
      </c>
      <c r="K149">
        <f>IFERROR(VALUE('T12 Input'!L160),0)</f>
        <v/>
      </c>
      <c r="L149">
        <f>IFERROR(VALUE('T12 Input'!M160),0)</f>
        <v/>
      </c>
      <c r="M149">
        <f>IFERROR(VALUE('T12 Input'!N160),0)</f>
        <v/>
      </c>
      <c r="N149">
        <f>IFERROR(INDEX(DescMap_Label,MATCH(A149,DescMap_Description,0)),"")</f>
        <v/>
      </c>
    </row>
    <row r="150" ht="15" customHeight="1" s="199">
      <c r="A150">
        <f>IFERROR(TRIM('T12 Input'!B161),)</f>
        <v/>
      </c>
      <c r="B150">
        <f>IFERROR(VALUE('T12 Input'!C161),0)</f>
        <v/>
      </c>
      <c r="C150">
        <f>IFERROR(VALUE('T12 Input'!D161),0)</f>
        <v/>
      </c>
      <c r="D150">
        <f>IFERROR(VALUE('T12 Input'!E161),0)</f>
        <v/>
      </c>
      <c r="E150">
        <f>IFERROR(VALUE('T12 Input'!F161),0)</f>
        <v/>
      </c>
      <c r="F150">
        <f>IFERROR(VALUE('T12 Input'!G161),0)</f>
        <v/>
      </c>
      <c r="G150">
        <f>IFERROR(VALUE('T12 Input'!H161),0)</f>
        <v/>
      </c>
      <c r="H150">
        <f>IFERROR(VALUE('T12 Input'!I161),0)</f>
        <v/>
      </c>
      <c r="I150">
        <f>IFERROR(VALUE('T12 Input'!J161),0)</f>
        <v/>
      </c>
      <c r="J150">
        <f>IFERROR(VALUE('T12 Input'!K161),0)</f>
        <v/>
      </c>
      <c r="K150">
        <f>IFERROR(VALUE('T12 Input'!L161),0)</f>
        <v/>
      </c>
      <c r="L150">
        <f>IFERROR(VALUE('T12 Input'!M161),0)</f>
        <v/>
      </c>
      <c r="M150">
        <f>IFERROR(VALUE('T12 Input'!N161),0)</f>
        <v/>
      </c>
      <c r="N150">
        <f>IFERROR(INDEX(DescMap_Label,MATCH(A150,DescMap_Description,0)),"")</f>
        <v/>
      </c>
    </row>
    <row r="151" ht="15" customHeight="1" s="199">
      <c r="A151">
        <f>IFERROR(TRIM('T12 Input'!B162),)</f>
        <v/>
      </c>
      <c r="B151">
        <f>IFERROR(VALUE('T12 Input'!C162),0)</f>
        <v/>
      </c>
      <c r="C151">
        <f>IFERROR(VALUE('T12 Input'!D162),0)</f>
        <v/>
      </c>
      <c r="D151">
        <f>IFERROR(VALUE('T12 Input'!E162),0)</f>
        <v/>
      </c>
      <c r="E151">
        <f>IFERROR(VALUE('T12 Input'!F162),0)</f>
        <v/>
      </c>
      <c r="F151">
        <f>IFERROR(VALUE('T12 Input'!G162),0)</f>
        <v/>
      </c>
      <c r="G151">
        <f>IFERROR(VALUE('T12 Input'!H162),0)</f>
        <v/>
      </c>
      <c r="H151">
        <f>IFERROR(VALUE('T12 Input'!I162),0)</f>
        <v/>
      </c>
      <c r="I151">
        <f>IFERROR(VALUE('T12 Input'!J162),0)</f>
        <v/>
      </c>
      <c r="J151">
        <f>IFERROR(VALUE('T12 Input'!K162),0)</f>
        <v/>
      </c>
      <c r="K151">
        <f>IFERROR(VALUE('T12 Input'!L162),0)</f>
        <v/>
      </c>
      <c r="L151">
        <f>IFERROR(VALUE('T12 Input'!M162),0)</f>
        <v/>
      </c>
      <c r="M151">
        <f>IFERROR(VALUE('T12 Input'!N162),0)</f>
        <v/>
      </c>
      <c r="N151">
        <f>IFERROR(INDEX(DescMap_Label,MATCH(A151,DescMap_Description,0)),"")</f>
        <v/>
      </c>
    </row>
    <row r="152" ht="15" customHeight="1" s="199">
      <c r="A152">
        <f>IFERROR(TRIM('T12 Input'!B163),)</f>
        <v/>
      </c>
      <c r="B152">
        <f>IFERROR(VALUE('T12 Input'!C163),0)</f>
        <v/>
      </c>
      <c r="C152">
        <f>IFERROR(VALUE('T12 Input'!D163),0)</f>
        <v/>
      </c>
      <c r="D152">
        <f>IFERROR(VALUE('T12 Input'!E163),0)</f>
        <v/>
      </c>
      <c r="E152">
        <f>IFERROR(VALUE('T12 Input'!F163),0)</f>
        <v/>
      </c>
      <c r="F152">
        <f>IFERROR(VALUE('T12 Input'!G163),0)</f>
        <v/>
      </c>
      <c r="G152">
        <f>IFERROR(VALUE('T12 Input'!H163),0)</f>
        <v/>
      </c>
      <c r="H152">
        <f>IFERROR(VALUE('T12 Input'!I163),0)</f>
        <v/>
      </c>
      <c r="I152">
        <f>IFERROR(VALUE('T12 Input'!J163),0)</f>
        <v/>
      </c>
      <c r="J152">
        <f>IFERROR(VALUE('T12 Input'!K163),0)</f>
        <v/>
      </c>
      <c r="K152">
        <f>IFERROR(VALUE('T12 Input'!L163),0)</f>
        <v/>
      </c>
      <c r="L152">
        <f>IFERROR(VALUE('T12 Input'!M163),0)</f>
        <v/>
      </c>
      <c r="M152">
        <f>IFERROR(VALUE('T12 Input'!N163),0)</f>
        <v/>
      </c>
      <c r="N152">
        <f>IFERROR(INDEX(DescMap_Label,MATCH(A152,DescMap_Description,0)),"")</f>
        <v/>
      </c>
    </row>
    <row r="153" ht="15" customHeight="1" s="199">
      <c r="A153">
        <f>IFERROR(TRIM('T12 Input'!B164),)</f>
        <v/>
      </c>
      <c r="B153">
        <f>IFERROR(VALUE('T12 Input'!C164),0)</f>
        <v/>
      </c>
      <c r="C153">
        <f>IFERROR(VALUE('T12 Input'!D164),0)</f>
        <v/>
      </c>
      <c r="D153">
        <f>IFERROR(VALUE('T12 Input'!E164),0)</f>
        <v/>
      </c>
      <c r="E153">
        <f>IFERROR(VALUE('T12 Input'!F164),0)</f>
        <v/>
      </c>
      <c r="F153">
        <f>IFERROR(VALUE('T12 Input'!G164),0)</f>
        <v/>
      </c>
      <c r="G153">
        <f>IFERROR(VALUE('T12 Input'!H164),0)</f>
        <v/>
      </c>
      <c r="H153">
        <f>IFERROR(VALUE('T12 Input'!I164),0)</f>
        <v/>
      </c>
      <c r="I153">
        <f>IFERROR(VALUE('T12 Input'!J164),0)</f>
        <v/>
      </c>
      <c r="J153">
        <f>IFERROR(VALUE('T12 Input'!K164),0)</f>
        <v/>
      </c>
      <c r="K153">
        <f>IFERROR(VALUE('T12 Input'!L164),0)</f>
        <v/>
      </c>
      <c r="L153">
        <f>IFERROR(VALUE('T12 Input'!M164),0)</f>
        <v/>
      </c>
      <c r="M153">
        <f>IFERROR(VALUE('T12 Input'!N164),0)</f>
        <v/>
      </c>
      <c r="N153">
        <f>IFERROR(INDEX(DescMap_Label,MATCH(A153,DescMap_Description,0)),"")</f>
        <v/>
      </c>
    </row>
    <row r="154" ht="15" customHeight="1" s="199">
      <c r="A154">
        <f>IFERROR(TRIM('T12 Input'!B165),)</f>
        <v/>
      </c>
      <c r="B154">
        <f>IFERROR(VALUE('T12 Input'!C165),0)</f>
        <v/>
      </c>
      <c r="C154">
        <f>IFERROR(VALUE('T12 Input'!D165),0)</f>
        <v/>
      </c>
      <c r="D154">
        <f>IFERROR(VALUE('T12 Input'!E165),0)</f>
        <v/>
      </c>
      <c r="E154">
        <f>IFERROR(VALUE('T12 Input'!F165),0)</f>
        <v/>
      </c>
      <c r="F154">
        <f>IFERROR(VALUE('T12 Input'!G165),0)</f>
        <v/>
      </c>
      <c r="G154">
        <f>IFERROR(VALUE('T12 Input'!H165),0)</f>
        <v/>
      </c>
      <c r="H154">
        <f>IFERROR(VALUE('T12 Input'!I165),0)</f>
        <v/>
      </c>
      <c r="I154">
        <f>IFERROR(VALUE('T12 Input'!J165),0)</f>
        <v/>
      </c>
      <c r="J154">
        <f>IFERROR(VALUE('T12 Input'!K165),0)</f>
        <v/>
      </c>
      <c r="K154">
        <f>IFERROR(VALUE('T12 Input'!L165),0)</f>
        <v/>
      </c>
      <c r="L154">
        <f>IFERROR(VALUE('T12 Input'!M165),0)</f>
        <v/>
      </c>
      <c r="M154">
        <f>IFERROR(VALUE('T12 Input'!N165),0)</f>
        <v/>
      </c>
      <c r="N154">
        <f>IFERROR(INDEX(DescMap_Label,MATCH(A154,DescMap_Description,0)),"")</f>
        <v/>
      </c>
    </row>
    <row r="155" ht="15" customHeight="1" s="199">
      <c r="A155">
        <f>IFERROR(TRIM('T12 Input'!B166),)</f>
        <v/>
      </c>
      <c r="B155">
        <f>IFERROR(VALUE('T12 Input'!C166),0)</f>
        <v/>
      </c>
      <c r="C155">
        <f>IFERROR(VALUE('T12 Input'!D166),0)</f>
        <v/>
      </c>
      <c r="D155">
        <f>IFERROR(VALUE('T12 Input'!E166),0)</f>
        <v/>
      </c>
      <c r="E155">
        <f>IFERROR(VALUE('T12 Input'!F166),0)</f>
        <v/>
      </c>
      <c r="F155">
        <f>IFERROR(VALUE('T12 Input'!G166),0)</f>
        <v/>
      </c>
      <c r="G155">
        <f>IFERROR(VALUE('T12 Input'!H166),0)</f>
        <v/>
      </c>
      <c r="H155">
        <f>IFERROR(VALUE('T12 Input'!I166),0)</f>
        <v/>
      </c>
      <c r="I155">
        <f>IFERROR(VALUE('T12 Input'!J166),0)</f>
        <v/>
      </c>
      <c r="J155">
        <f>IFERROR(VALUE('T12 Input'!K166),0)</f>
        <v/>
      </c>
      <c r="K155">
        <f>IFERROR(VALUE('T12 Input'!L166),0)</f>
        <v/>
      </c>
      <c r="L155">
        <f>IFERROR(VALUE('T12 Input'!M166),0)</f>
        <v/>
      </c>
      <c r="M155">
        <f>IFERROR(VALUE('T12 Input'!N166),0)</f>
        <v/>
      </c>
      <c r="N155">
        <f>IFERROR(INDEX(DescMap_Label,MATCH(A155,DescMap_Description,0)),"")</f>
        <v/>
      </c>
    </row>
    <row r="156" ht="15" customHeight="1" s="199">
      <c r="A156">
        <f>IFERROR(TRIM('T12 Input'!B167),)</f>
        <v/>
      </c>
      <c r="B156">
        <f>IFERROR(VALUE('T12 Input'!C167),0)</f>
        <v/>
      </c>
      <c r="C156">
        <f>IFERROR(VALUE('T12 Input'!D167),0)</f>
        <v/>
      </c>
      <c r="D156">
        <f>IFERROR(VALUE('T12 Input'!E167),0)</f>
        <v/>
      </c>
      <c r="E156">
        <f>IFERROR(VALUE('T12 Input'!F167),0)</f>
        <v/>
      </c>
      <c r="F156">
        <f>IFERROR(VALUE('T12 Input'!G167),0)</f>
        <v/>
      </c>
      <c r="G156">
        <f>IFERROR(VALUE('T12 Input'!H167),0)</f>
        <v/>
      </c>
      <c r="H156">
        <f>IFERROR(VALUE('T12 Input'!I167),0)</f>
        <v/>
      </c>
      <c r="I156">
        <f>IFERROR(VALUE('T12 Input'!J167),0)</f>
        <v/>
      </c>
      <c r="J156">
        <f>IFERROR(VALUE('T12 Input'!K167),0)</f>
        <v/>
      </c>
      <c r="K156">
        <f>IFERROR(VALUE('T12 Input'!L167),0)</f>
        <v/>
      </c>
      <c r="L156">
        <f>IFERROR(VALUE('T12 Input'!M167),0)</f>
        <v/>
      </c>
      <c r="M156">
        <f>IFERROR(VALUE('T12 Input'!N167),0)</f>
        <v/>
      </c>
      <c r="N156">
        <f>IFERROR(INDEX(DescMap_Label,MATCH(A156,DescMap_Description,0)),"")</f>
        <v/>
      </c>
    </row>
    <row r="157" ht="15" customHeight="1" s="199">
      <c r="A157">
        <f>IFERROR(TRIM('T12 Input'!B168),)</f>
        <v/>
      </c>
      <c r="B157">
        <f>IFERROR(VALUE('T12 Input'!C168),0)</f>
        <v/>
      </c>
      <c r="C157">
        <f>IFERROR(VALUE('T12 Input'!D168),0)</f>
        <v/>
      </c>
      <c r="D157">
        <f>IFERROR(VALUE('T12 Input'!E168),0)</f>
        <v/>
      </c>
      <c r="E157">
        <f>IFERROR(VALUE('T12 Input'!F168),0)</f>
        <v/>
      </c>
      <c r="F157">
        <f>IFERROR(VALUE('T12 Input'!G168),0)</f>
        <v/>
      </c>
      <c r="G157">
        <f>IFERROR(VALUE('T12 Input'!H168),0)</f>
        <v/>
      </c>
      <c r="H157">
        <f>IFERROR(VALUE('T12 Input'!I168),0)</f>
        <v/>
      </c>
      <c r="I157">
        <f>IFERROR(VALUE('T12 Input'!J168),0)</f>
        <v/>
      </c>
      <c r="J157">
        <f>IFERROR(VALUE('T12 Input'!K168),0)</f>
        <v/>
      </c>
      <c r="K157">
        <f>IFERROR(VALUE('T12 Input'!L168),0)</f>
        <v/>
      </c>
      <c r="L157">
        <f>IFERROR(VALUE('T12 Input'!M168),0)</f>
        <v/>
      </c>
      <c r="M157">
        <f>IFERROR(VALUE('T12 Input'!N168),0)</f>
        <v/>
      </c>
      <c r="N157">
        <f>IFERROR(INDEX(DescMap_Label,MATCH(A157,DescMap_Description,0)),"")</f>
        <v/>
      </c>
    </row>
    <row r="158" ht="15" customHeight="1" s="199">
      <c r="A158">
        <f>IFERROR(TRIM('T12 Input'!B169),)</f>
        <v/>
      </c>
      <c r="B158">
        <f>IFERROR(VALUE('T12 Input'!C169),0)</f>
        <v/>
      </c>
      <c r="C158">
        <f>IFERROR(VALUE('T12 Input'!D169),0)</f>
        <v/>
      </c>
      <c r="D158">
        <f>IFERROR(VALUE('T12 Input'!E169),0)</f>
        <v/>
      </c>
      <c r="E158">
        <f>IFERROR(VALUE('T12 Input'!F169),0)</f>
        <v/>
      </c>
      <c r="F158">
        <f>IFERROR(VALUE('T12 Input'!G169),0)</f>
        <v/>
      </c>
      <c r="G158">
        <f>IFERROR(VALUE('T12 Input'!H169),0)</f>
        <v/>
      </c>
      <c r="H158">
        <f>IFERROR(VALUE('T12 Input'!I169),0)</f>
        <v/>
      </c>
      <c r="I158">
        <f>IFERROR(VALUE('T12 Input'!J169),0)</f>
        <v/>
      </c>
      <c r="J158">
        <f>IFERROR(VALUE('T12 Input'!K169),0)</f>
        <v/>
      </c>
      <c r="K158">
        <f>IFERROR(VALUE('T12 Input'!L169),0)</f>
        <v/>
      </c>
      <c r="L158">
        <f>IFERROR(VALUE('T12 Input'!M169),0)</f>
        <v/>
      </c>
      <c r="M158">
        <f>IFERROR(VALUE('T12 Input'!N169),0)</f>
        <v/>
      </c>
      <c r="N158">
        <f>IFERROR(INDEX(DescMap_Label,MATCH(A158,DescMap_Description,0)),"")</f>
        <v/>
      </c>
    </row>
    <row r="159" ht="15" customHeight="1" s="199">
      <c r="A159">
        <f>IFERROR(TRIM('T12 Input'!B170),)</f>
        <v/>
      </c>
      <c r="B159">
        <f>IFERROR(VALUE('T12 Input'!C170),0)</f>
        <v/>
      </c>
      <c r="C159">
        <f>IFERROR(VALUE('T12 Input'!D170),0)</f>
        <v/>
      </c>
      <c r="D159">
        <f>IFERROR(VALUE('T12 Input'!E170),0)</f>
        <v/>
      </c>
      <c r="E159">
        <f>IFERROR(VALUE('T12 Input'!F170),0)</f>
        <v/>
      </c>
      <c r="F159">
        <f>IFERROR(VALUE('T12 Input'!G170),0)</f>
        <v/>
      </c>
      <c r="G159">
        <f>IFERROR(VALUE('T12 Input'!H170),0)</f>
        <v/>
      </c>
      <c r="H159">
        <f>IFERROR(VALUE('T12 Input'!I170),0)</f>
        <v/>
      </c>
      <c r="I159">
        <f>IFERROR(VALUE('T12 Input'!J170),0)</f>
        <v/>
      </c>
      <c r="J159">
        <f>IFERROR(VALUE('T12 Input'!K170),0)</f>
        <v/>
      </c>
      <c r="K159">
        <f>IFERROR(VALUE('T12 Input'!L170),0)</f>
        <v/>
      </c>
      <c r="L159">
        <f>IFERROR(VALUE('T12 Input'!M170),0)</f>
        <v/>
      </c>
      <c r="M159">
        <f>IFERROR(VALUE('T12 Input'!N170),0)</f>
        <v/>
      </c>
      <c r="N159">
        <f>IFERROR(INDEX(DescMap_Label,MATCH(A159,DescMap_Description,0)),"")</f>
        <v/>
      </c>
    </row>
    <row r="160" ht="15" customHeight="1" s="199">
      <c r="A160">
        <f>IFERROR(TRIM('T12 Input'!B171),)</f>
        <v/>
      </c>
      <c r="B160">
        <f>IFERROR(VALUE('T12 Input'!C171),0)</f>
        <v/>
      </c>
      <c r="C160">
        <f>IFERROR(VALUE('T12 Input'!D171),0)</f>
        <v/>
      </c>
      <c r="D160">
        <f>IFERROR(VALUE('T12 Input'!E171),0)</f>
        <v/>
      </c>
      <c r="E160">
        <f>IFERROR(VALUE('T12 Input'!F171),0)</f>
        <v/>
      </c>
      <c r="F160">
        <f>IFERROR(VALUE('T12 Input'!G171),0)</f>
        <v/>
      </c>
      <c r="G160">
        <f>IFERROR(VALUE('T12 Input'!H171),0)</f>
        <v/>
      </c>
      <c r="H160">
        <f>IFERROR(VALUE('T12 Input'!I171),0)</f>
        <v/>
      </c>
      <c r="I160">
        <f>IFERROR(VALUE('T12 Input'!J171),0)</f>
        <v/>
      </c>
      <c r="J160">
        <f>IFERROR(VALUE('T12 Input'!K171),0)</f>
        <v/>
      </c>
      <c r="K160">
        <f>IFERROR(VALUE('T12 Input'!L171),0)</f>
        <v/>
      </c>
      <c r="L160">
        <f>IFERROR(VALUE('T12 Input'!M171),0)</f>
        <v/>
      </c>
      <c r="M160">
        <f>IFERROR(VALUE('T12 Input'!N171),0)</f>
        <v/>
      </c>
      <c r="N160">
        <f>IFERROR(INDEX(DescMap_Label,MATCH(A160,DescMap_Description,0)),"")</f>
        <v/>
      </c>
    </row>
    <row r="161" ht="15" customHeight="1" s="199">
      <c r="A161">
        <f>IFERROR(TRIM('T12 Input'!B172),)</f>
        <v/>
      </c>
      <c r="B161">
        <f>IFERROR(VALUE('T12 Input'!C172),0)</f>
        <v/>
      </c>
      <c r="C161">
        <f>IFERROR(VALUE('T12 Input'!D172),0)</f>
        <v/>
      </c>
      <c r="D161">
        <f>IFERROR(VALUE('T12 Input'!E172),0)</f>
        <v/>
      </c>
      <c r="E161">
        <f>IFERROR(VALUE('T12 Input'!F172),0)</f>
        <v/>
      </c>
      <c r="F161">
        <f>IFERROR(VALUE('T12 Input'!G172),0)</f>
        <v/>
      </c>
      <c r="G161">
        <f>IFERROR(VALUE('T12 Input'!H172),0)</f>
        <v/>
      </c>
      <c r="H161">
        <f>IFERROR(VALUE('T12 Input'!I172),0)</f>
        <v/>
      </c>
      <c r="I161">
        <f>IFERROR(VALUE('T12 Input'!J172),0)</f>
        <v/>
      </c>
      <c r="J161">
        <f>IFERROR(VALUE('T12 Input'!K172),0)</f>
        <v/>
      </c>
      <c r="K161">
        <f>IFERROR(VALUE('T12 Input'!L172),0)</f>
        <v/>
      </c>
      <c r="L161">
        <f>IFERROR(VALUE('T12 Input'!M172),0)</f>
        <v/>
      </c>
      <c r="M161">
        <f>IFERROR(VALUE('T12 Input'!N172),0)</f>
        <v/>
      </c>
      <c r="N161">
        <f>IFERROR(INDEX(DescMap_Label,MATCH(A161,DescMap_Description,0)),"")</f>
        <v/>
      </c>
    </row>
    <row r="162" ht="15" customHeight="1" s="199">
      <c r="A162">
        <f>IFERROR(TRIM('T12 Input'!B173),)</f>
        <v/>
      </c>
      <c r="B162">
        <f>IFERROR(VALUE('T12 Input'!C173),0)</f>
        <v/>
      </c>
      <c r="C162">
        <f>IFERROR(VALUE('T12 Input'!D173),0)</f>
        <v/>
      </c>
      <c r="D162">
        <f>IFERROR(VALUE('T12 Input'!E173),0)</f>
        <v/>
      </c>
      <c r="E162">
        <f>IFERROR(VALUE('T12 Input'!F173),0)</f>
        <v/>
      </c>
      <c r="F162">
        <f>IFERROR(VALUE('T12 Input'!G173),0)</f>
        <v/>
      </c>
      <c r="G162">
        <f>IFERROR(VALUE('T12 Input'!H173),0)</f>
        <v/>
      </c>
      <c r="H162">
        <f>IFERROR(VALUE('T12 Input'!I173),0)</f>
        <v/>
      </c>
      <c r="I162">
        <f>IFERROR(VALUE('T12 Input'!J173),0)</f>
        <v/>
      </c>
      <c r="J162">
        <f>IFERROR(VALUE('T12 Input'!K173),0)</f>
        <v/>
      </c>
      <c r="K162">
        <f>IFERROR(VALUE('T12 Input'!L173),0)</f>
        <v/>
      </c>
      <c r="L162">
        <f>IFERROR(VALUE('T12 Input'!M173),0)</f>
        <v/>
      </c>
      <c r="M162">
        <f>IFERROR(VALUE('T12 Input'!N173),0)</f>
        <v/>
      </c>
      <c r="N162">
        <f>IFERROR(INDEX(DescMap_Label,MATCH(A162,DescMap_Description,0)),"")</f>
        <v/>
      </c>
    </row>
    <row r="163" ht="15" customHeight="1" s="199">
      <c r="A163">
        <f>IFERROR(TRIM('T12 Input'!B174),)</f>
        <v/>
      </c>
      <c r="B163">
        <f>IFERROR(VALUE('T12 Input'!C174),0)</f>
        <v/>
      </c>
      <c r="C163">
        <f>IFERROR(VALUE('T12 Input'!D174),0)</f>
        <v/>
      </c>
      <c r="D163">
        <f>IFERROR(VALUE('T12 Input'!E174),0)</f>
        <v/>
      </c>
      <c r="E163">
        <f>IFERROR(VALUE('T12 Input'!F174),0)</f>
        <v/>
      </c>
      <c r="F163">
        <f>IFERROR(VALUE('T12 Input'!G174),0)</f>
        <v/>
      </c>
      <c r="G163">
        <f>IFERROR(VALUE('T12 Input'!H174),0)</f>
        <v/>
      </c>
      <c r="H163">
        <f>IFERROR(VALUE('T12 Input'!I174),0)</f>
        <v/>
      </c>
      <c r="I163">
        <f>IFERROR(VALUE('T12 Input'!J174),0)</f>
        <v/>
      </c>
      <c r="J163">
        <f>IFERROR(VALUE('T12 Input'!K174),0)</f>
        <v/>
      </c>
      <c r="K163">
        <f>IFERROR(VALUE('T12 Input'!L174),0)</f>
        <v/>
      </c>
      <c r="L163">
        <f>IFERROR(VALUE('T12 Input'!M174),0)</f>
        <v/>
      </c>
      <c r="M163">
        <f>IFERROR(VALUE('T12 Input'!N174),0)</f>
        <v/>
      </c>
      <c r="N163">
        <f>IFERROR(INDEX(DescMap_Label,MATCH(A163,DescMap_Description,0)),"")</f>
        <v/>
      </c>
    </row>
    <row r="164" ht="15" customHeight="1" s="199">
      <c r="A164">
        <f>IFERROR(TRIM('T12 Input'!B175),)</f>
        <v/>
      </c>
      <c r="B164">
        <f>IFERROR(VALUE('T12 Input'!C175),0)</f>
        <v/>
      </c>
      <c r="C164">
        <f>IFERROR(VALUE('T12 Input'!D175),0)</f>
        <v/>
      </c>
      <c r="D164">
        <f>IFERROR(VALUE('T12 Input'!E175),0)</f>
        <v/>
      </c>
      <c r="E164">
        <f>IFERROR(VALUE('T12 Input'!F175),0)</f>
        <v/>
      </c>
      <c r="F164">
        <f>IFERROR(VALUE('T12 Input'!G175),0)</f>
        <v/>
      </c>
      <c r="G164">
        <f>IFERROR(VALUE('T12 Input'!H175),0)</f>
        <v/>
      </c>
      <c r="H164">
        <f>IFERROR(VALUE('T12 Input'!I175),0)</f>
        <v/>
      </c>
      <c r="I164">
        <f>IFERROR(VALUE('T12 Input'!J175),0)</f>
        <v/>
      </c>
      <c r="J164">
        <f>IFERROR(VALUE('T12 Input'!K175),0)</f>
        <v/>
      </c>
      <c r="K164">
        <f>IFERROR(VALUE('T12 Input'!L175),0)</f>
        <v/>
      </c>
      <c r="L164">
        <f>IFERROR(VALUE('T12 Input'!M175),0)</f>
        <v/>
      </c>
      <c r="M164">
        <f>IFERROR(VALUE('T12 Input'!N175),0)</f>
        <v/>
      </c>
      <c r="N164">
        <f>IFERROR(INDEX(DescMap_Label,MATCH(A164,DescMap_Description,0)),"")</f>
        <v/>
      </c>
    </row>
    <row r="165" ht="15" customHeight="1" s="199">
      <c r="A165">
        <f>IFERROR(TRIM('T12 Input'!B176),)</f>
        <v/>
      </c>
      <c r="B165">
        <f>IFERROR(VALUE('T12 Input'!C176),0)</f>
        <v/>
      </c>
      <c r="C165">
        <f>IFERROR(VALUE('T12 Input'!D176),0)</f>
        <v/>
      </c>
      <c r="D165">
        <f>IFERROR(VALUE('T12 Input'!E176),0)</f>
        <v/>
      </c>
      <c r="E165">
        <f>IFERROR(VALUE('T12 Input'!F176),0)</f>
        <v/>
      </c>
      <c r="F165">
        <f>IFERROR(VALUE('T12 Input'!G176),0)</f>
        <v/>
      </c>
      <c r="G165">
        <f>IFERROR(VALUE('T12 Input'!H176),0)</f>
        <v/>
      </c>
      <c r="H165">
        <f>IFERROR(VALUE('T12 Input'!I176),0)</f>
        <v/>
      </c>
      <c r="I165">
        <f>IFERROR(VALUE('T12 Input'!J176),0)</f>
        <v/>
      </c>
      <c r="J165">
        <f>IFERROR(VALUE('T12 Input'!K176),0)</f>
        <v/>
      </c>
      <c r="K165">
        <f>IFERROR(VALUE('T12 Input'!L176),0)</f>
        <v/>
      </c>
      <c r="L165">
        <f>IFERROR(VALUE('T12 Input'!M176),0)</f>
        <v/>
      </c>
      <c r="M165">
        <f>IFERROR(VALUE('T12 Input'!N176),0)</f>
        <v/>
      </c>
      <c r="N165">
        <f>IFERROR(INDEX(DescMap_Label,MATCH(A165,DescMap_Description,0)),"")</f>
        <v/>
      </c>
    </row>
    <row r="166" ht="15" customHeight="1" s="199">
      <c r="A166">
        <f>IFERROR(TRIM('T12 Input'!B177),)</f>
        <v/>
      </c>
      <c r="B166">
        <f>IFERROR(VALUE('T12 Input'!C177),0)</f>
        <v/>
      </c>
      <c r="C166">
        <f>IFERROR(VALUE('T12 Input'!D177),0)</f>
        <v/>
      </c>
      <c r="D166">
        <f>IFERROR(VALUE('T12 Input'!E177),0)</f>
        <v/>
      </c>
      <c r="E166">
        <f>IFERROR(VALUE('T12 Input'!F177),0)</f>
        <v/>
      </c>
      <c r="F166">
        <f>IFERROR(VALUE('T12 Input'!G177),0)</f>
        <v/>
      </c>
      <c r="G166">
        <f>IFERROR(VALUE('T12 Input'!H177),0)</f>
        <v/>
      </c>
      <c r="H166">
        <f>IFERROR(VALUE('T12 Input'!I177),0)</f>
        <v/>
      </c>
      <c r="I166">
        <f>IFERROR(VALUE('T12 Input'!J177),0)</f>
        <v/>
      </c>
      <c r="J166">
        <f>IFERROR(VALUE('T12 Input'!K177),0)</f>
        <v/>
      </c>
      <c r="K166">
        <f>IFERROR(VALUE('T12 Input'!L177),0)</f>
        <v/>
      </c>
      <c r="L166">
        <f>IFERROR(VALUE('T12 Input'!M177),0)</f>
        <v/>
      </c>
      <c r="M166">
        <f>IFERROR(VALUE('T12 Input'!N177),0)</f>
        <v/>
      </c>
      <c r="N166">
        <f>IFERROR(INDEX(DescMap_Label,MATCH(A166,DescMap_Description,0)),"")</f>
        <v/>
      </c>
    </row>
    <row r="167" ht="15" customHeight="1" s="199">
      <c r="A167">
        <f>IFERROR(TRIM('T12 Input'!B178),)</f>
        <v/>
      </c>
      <c r="B167">
        <f>IFERROR(VALUE('T12 Input'!C178),0)</f>
        <v/>
      </c>
      <c r="C167">
        <f>IFERROR(VALUE('T12 Input'!D178),0)</f>
        <v/>
      </c>
      <c r="D167">
        <f>IFERROR(VALUE('T12 Input'!E178),0)</f>
        <v/>
      </c>
      <c r="E167">
        <f>IFERROR(VALUE('T12 Input'!F178),0)</f>
        <v/>
      </c>
      <c r="F167">
        <f>IFERROR(VALUE('T12 Input'!G178),0)</f>
        <v/>
      </c>
      <c r="G167">
        <f>IFERROR(VALUE('T12 Input'!H178),0)</f>
        <v/>
      </c>
      <c r="H167">
        <f>IFERROR(VALUE('T12 Input'!I178),0)</f>
        <v/>
      </c>
      <c r="I167">
        <f>IFERROR(VALUE('T12 Input'!J178),0)</f>
        <v/>
      </c>
      <c r="J167">
        <f>IFERROR(VALUE('T12 Input'!K178),0)</f>
        <v/>
      </c>
      <c r="K167">
        <f>IFERROR(VALUE('T12 Input'!L178),0)</f>
        <v/>
      </c>
      <c r="L167">
        <f>IFERROR(VALUE('T12 Input'!M178),0)</f>
        <v/>
      </c>
      <c r="M167">
        <f>IFERROR(VALUE('T12 Input'!N178),0)</f>
        <v/>
      </c>
      <c r="N167">
        <f>IFERROR(INDEX(DescMap_Label,MATCH(A167,DescMap_Description,0)),"")</f>
        <v/>
      </c>
    </row>
    <row r="168" ht="15" customHeight="1" s="199">
      <c r="A168">
        <f>IFERROR(TRIM('T12 Input'!B179),)</f>
        <v/>
      </c>
      <c r="B168">
        <f>IFERROR(VALUE('T12 Input'!C179),0)</f>
        <v/>
      </c>
      <c r="C168">
        <f>IFERROR(VALUE('T12 Input'!D179),0)</f>
        <v/>
      </c>
      <c r="D168">
        <f>IFERROR(VALUE('T12 Input'!E179),0)</f>
        <v/>
      </c>
      <c r="E168">
        <f>IFERROR(VALUE('T12 Input'!F179),0)</f>
        <v/>
      </c>
      <c r="F168">
        <f>IFERROR(VALUE('T12 Input'!G179),0)</f>
        <v/>
      </c>
      <c r="G168">
        <f>IFERROR(VALUE('T12 Input'!H179),0)</f>
        <v/>
      </c>
      <c r="H168">
        <f>IFERROR(VALUE('T12 Input'!I179),0)</f>
        <v/>
      </c>
      <c r="I168">
        <f>IFERROR(VALUE('T12 Input'!J179),0)</f>
        <v/>
      </c>
      <c r="J168">
        <f>IFERROR(VALUE('T12 Input'!K179),0)</f>
        <v/>
      </c>
      <c r="K168">
        <f>IFERROR(VALUE('T12 Input'!L179),0)</f>
        <v/>
      </c>
      <c r="L168">
        <f>IFERROR(VALUE('T12 Input'!M179),0)</f>
        <v/>
      </c>
      <c r="M168">
        <f>IFERROR(VALUE('T12 Input'!N179),0)</f>
        <v/>
      </c>
      <c r="N168">
        <f>IFERROR(INDEX(DescMap_Label,MATCH(A168,DescMap_Description,0)),"")</f>
        <v/>
      </c>
    </row>
    <row r="169" ht="15" customHeight="1" s="199">
      <c r="A169">
        <f>IFERROR(TRIM('T12 Input'!B180),)</f>
        <v/>
      </c>
      <c r="B169">
        <f>IFERROR(VALUE('T12 Input'!C180),0)</f>
        <v/>
      </c>
      <c r="C169">
        <f>IFERROR(VALUE('T12 Input'!D180),0)</f>
        <v/>
      </c>
      <c r="D169">
        <f>IFERROR(VALUE('T12 Input'!E180),0)</f>
        <v/>
      </c>
      <c r="E169">
        <f>IFERROR(VALUE('T12 Input'!F180),0)</f>
        <v/>
      </c>
      <c r="F169">
        <f>IFERROR(VALUE('T12 Input'!G180),0)</f>
        <v/>
      </c>
      <c r="G169">
        <f>IFERROR(VALUE('T12 Input'!H180),0)</f>
        <v/>
      </c>
      <c r="H169">
        <f>IFERROR(VALUE('T12 Input'!I180),0)</f>
        <v/>
      </c>
      <c r="I169">
        <f>IFERROR(VALUE('T12 Input'!J180),0)</f>
        <v/>
      </c>
      <c r="J169">
        <f>IFERROR(VALUE('T12 Input'!K180),0)</f>
        <v/>
      </c>
      <c r="K169">
        <f>IFERROR(VALUE('T12 Input'!L180),0)</f>
        <v/>
      </c>
      <c r="L169">
        <f>IFERROR(VALUE('T12 Input'!M180),0)</f>
        <v/>
      </c>
      <c r="M169">
        <f>IFERROR(VALUE('T12 Input'!N180),0)</f>
        <v/>
      </c>
      <c r="N169">
        <f>IFERROR(INDEX(DescMap_Label,MATCH(A169,DescMap_Description,0)),"")</f>
        <v/>
      </c>
    </row>
    <row r="170" ht="15" customHeight="1" s="199">
      <c r="A170">
        <f>IFERROR(TRIM('T12 Input'!B181),)</f>
        <v/>
      </c>
      <c r="B170">
        <f>IFERROR(VALUE('T12 Input'!C181),0)</f>
        <v/>
      </c>
      <c r="C170">
        <f>IFERROR(VALUE('T12 Input'!D181),0)</f>
        <v/>
      </c>
      <c r="D170">
        <f>IFERROR(VALUE('T12 Input'!E181),0)</f>
        <v/>
      </c>
      <c r="E170">
        <f>IFERROR(VALUE('T12 Input'!F181),0)</f>
        <v/>
      </c>
      <c r="F170">
        <f>IFERROR(VALUE('T12 Input'!G181),0)</f>
        <v/>
      </c>
      <c r="G170">
        <f>IFERROR(VALUE('T12 Input'!H181),0)</f>
        <v/>
      </c>
      <c r="H170">
        <f>IFERROR(VALUE('T12 Input'!I181),0)</f>
        <v/>
      </c>
      <c r="I170">
        <f>IFERROR(VALUE('T12 Input'!J181),0)</f>
        <v/>
      </c>
      <c r="J170">
        <f>IFERROR(VALUE('T12 Input'!K181),0)</f>
        <v/>
      </c>
      <c r="K170">
        <f>IFERROR(VALUE('T12 Input'!L181),0)</f>
        <v/>
      </c>
      <c r="L170">
        <f>IFERROR(VALUE('T12 Input'!M181),0)</f>
        <v/>
      </c>
      <c r="M170">
        <f>IFERROR(VALUE('T12 Input'!N181),0)</f>
        <v/>
      </c>
      <c r="N170">
        <f>IFERROR(INDEX(DescMap_Label,MATCH(A170,DescMap_Description,0)),"")</f>
        <v/>
      </c>
    </row>
    <row r="171" ht="15" customHeight="1" s="199">
      <c r="A171">
        <f>IFERROR(TRIM('T12 Input'!B182),)</f>
        <v/>
      </c>
      <c r="B171">
        <f>IFERROR(VALUE('T12 Input'!C182),0)</f>
        <v/>
      </c>
      <c r="C171">
        <f>IFERROR(VALUE('T12 Input'!D182),0)</f>
        <v/>
      </c>
      <c r="D171">
        <f>IFERROR(VALUE('T12 Input'!E182),0)</f>
        <v/>
      </c>
      <c r="E171">
        <f>IFERROR(VALUE('T12 Input'!F182),0)</f>
        <v/>
      </c>
      <c r="F171">
        <f>IFERROR(VALUE('T12 Input'!G182),0)</f>
        <v/>
      </c>
      <c r="G171">
        <f>IFERROR(VALUE('T12 Input'!H182),0)</f>
        <v/>
      </c>
      <c r="H171">
        <f>IFERROR(VALUE('T12 Input'!I182),0)</f>
        <v/>
      </c>
      <c r="I171">
        <f>IFERROR(VALUE('T12 Input'!J182),0)</f>
        <v/>
      </c>
      <c r="J171">
        <f>IFERROR(VALUE('T12 Input'!K182),0)</f>
        <v/>
      </c>
      <c r="K171">
        <f>IFERROR(VALUE('T12 Input'!L182),0)</f>
        <v/>
      </c>
      <c r="L171">
        <f>IFERROR(VALUE('T12 Input'!M182),0)</f>
        <v/>
      </c>
      <c r="M171">
        <f>IFERROR(VALUE('T12 Input'!N182),0)</f>
        <v/>
      </c>
      <c r="N171">
        <f>IFERROR(INDEX(DescMap_Label,MATCH(A171,DescMap_Description,0)),"")</f>
        <v/>
      </c>
    </row>
    <row r="172" ht="15" customHeight="1" s="199">
      <c r="A172">
        <f>IFERROR(TRIM('T12 Input'!B183),)</f>
        <v/>
      </c>
      <c r="B172">
        <f>IFERROR(VALUE('T12 Input'!C183),0)</f>
        <v/>
      </c>
      <c r="C172">
        <f>IFERROR(VALUE('T12 Input'!D183),0)</f>
        <v/>
      </c>
      <c r="D172">
        <f>IFERROR(VALUE('T12 Input'!E183),0)</f>
        <v/>
      </c>
      <c r="E172">
        <f>IFERROR(VALUE('T12 Input'!F183),0)</f>
        <v/>
      </c>
      <c r="F172">
        <f>IFERROR(VALUE('T12 Input'!G183),0)</f>
        <v/>
      </c>
      <c r="G172">
        <f>IFERROR(VALUE('T12 Input'!H183),0)</f>
        <v/>
      </c>
      <c r="H172">
        <f>IFERROR(VALUE('T12 Input'!I183),0)</f>
        <v/>
      </c>
      <c r="I172">
        <f>IFERROR(VALUE('T12 Input'!J183),0)</f>
        <v/>
      </c>
      <c r="J172">
        <f>IFERROR(VALUE('T12 Input'!K183),0)</f>
        <v/>
      </c>
      <c r="K172">
        <f>IFERROR(VALUE('T12 Input'!L183),0)</f>
        <v/>
      </c>
      <c r="L172">
        <f>IFERROR(VALUE('T12 Input'!M183),0)</f>
        <v/>
      </c>
      <c r="M172">
        <f>IFERROR(VALUE('T12 Input'!N183),0)</f>
        <v/>
      </c>
      <c r="N172">
        <f>IFERROR(INDEX(DescMap_Label,MATCH(A172,DescMap_Description,0)),"")</f>
        <v/>
      </c>
    </row>
    <row r="173" ht="15" customHeight="1" s="199">
      <c r="A173">
        <f>IFERROR(TRIM('T12 Input'!B184),)</f>
        <v/>
      </c>
      <c r="B173">
        <f>IFERROR(VALUE('T12 Input'!C184),0)</f>
        <v/>
      </c>
      <c r="C173">
        <f>IFERROR(VALUE('T12 Input'!D184),0)</f>
        <v/>
      </c>
      <c r="D173">
        <f>IFERROR(VALUE('T12 Input'!E184),0)</f>
        <v/>
      </c>
      <c r="E173">
        <f>IFERROR(VALUE('T12 Input'!F184),0)</f>
        <v/>
      </c>
      <c r="F173">
        <f>IFERROR(VALUE('T12 Input'!G184),0)</f>
        <v/>
      </c>
      <c r="G173">
        <f>IFERROR(VALUE('T12 Input'!H184),0)</f>
        <v/>
      </c>
      <c r="H173">
        <f>IFERROR(VALUE('T12 Input'!I184),0)</f>
        <v/>
      </c>
      <c r="I173">
        <f>IFERROR(VALUE('T12 Input'!J184),0)</f>
        <v/>
      </c>
      <c r="J173">
        <f>IFERROR(VALUE('T12 Input'!K184),0)</f>
        <v/>
      </c>
      <c r="K173">
        <f>IFERROR(VALUE('T12 Input'!L184),0)</f>
        <v/>
      </c>
      <c r="L173">
        <f>IFERROR(VALUE('T12 Input'!M184),0)</f>
        <v/>
      </c>
      <c r="M173">
        <f>IFERROR(VALUE('T12 Input'!N184),0)</f>
        <v/>
      </c>
      <c r="N173">
        <f>IFERROR(INDEX(DescMap_Label,MATCH(A173,DescMap_Description,0)),"")</f>
        <v/>
      </c>
    </row>
    <row r="174" ht="15" customHeight="1" s="199">
      <c r="A174">
        <f>IFERROR(TRIM('T12 Input'!B185),)</f>
        <v/>
      </c>
      <c r="B174">
        <f>IFERROR(VALUE('T12 Input'!C185),0)</f>
        <v/>
      </c>
      <c r="C174">
        <f>IFERROR(VALUE('T12 Input'!D185),0)</f>
        <v/>
      </c>
      <c r="D174">
        <f>IFERROR(VALUE('T12 Input'!E185),0)</f>
        <v/>
      </c>
      <c r="E174">
        <f>IFERROR(VALUE('T12 Input'!F185),0)</f>
        <v/>
      </c>
      <c r="F174">
        <f>IFERROR(VALUE('T12 Input'!G185),0)</f>
        <v/>
      </c>
      <c r="G174">
        <f>IFERROR(VALUE('T12 Input'!H185),0)</f>
        <v/>
      </c>
      <c r="H174">
        <f>IFERROR(VALUE('T12 Input'!I185),0)</f>
        <v/>
      </c>
      <c r="I174">
        <f>IFERROR(VALUE('T12 Input'!J185),0)</f>
        <v/>
      </c>
      <c r="J174">
        <f>IFERROR(VALUE('T12 Input'!K185),0)</f>
        <v/>
      </c>
      <c r="K174">
        <f>IFERROR(VALUE('T12 Input'!L185),0)</f>
        <v/>
      </c>
      <c r="L174">
        <f>IFERROR(VALUE('T12 Input'!M185),0)</f>
        <v/>
      </c>
      <c r="M174">
        <f>IFERROR(VALUE('T12 Input'!N185),0)</f>
        <v/>
      </c>
      <c r="N174">
        <f>IFERROR(INDEX(DescMap_Label,MATCH(A174,DescMap_Description,0)),"")</f>
        <v/>
      </c>
    </row>
    <row r="175" ht="15" customHeight="1" s="199">
      <c r="A175">
        <f>IFERROR(TRIM('T12 Input'!B186),)</f>
        <v/>
      </c>
      <c r="B175">
        <f>IFERROR(VALUE('T12 Input'!C186),0)</f>
        <v/>
      </c>
      <c r="C175">
        <f>IFERROR(VALUE('T12 Input'!D186),0)</f>
        <v/>
      </c>
      <c r="D175">
        <f>IFERROR(VALUE('T12 Input'!E186),0)</f>
        <v/>
      </c>
      <c r="E175">
        <f>IFERROR(VALUE('T12 Input'!F186),0)</f>
        <v/>
      </c>
      <c r="F175">
        <f>IFERROR(VALUE('T12 Input'!G186),0)</f>
        <v/>
      </c>
      <c r="G175">
        <f>IFERROR(VALUE('T12 Input'!H186),0)</f>
        <v/>
      </c>
      <c r="H175">
        <f>IFERROR(VALUE('T12 Input'!I186),0)</f>
        <v/>
      </c>
      <c r="I175">
        <f>IFERROR(VALUE('T12 Input'!J186),0)</f>
        <v/>
      </c>
      <c r="J175">
        <f>IFERROR(VALUE('T12 Input'!K186),0)</f>
        <v/>
      </c>
      <c r="K175">
        <f>IFERROR(VALUE('T12 Input'!L186),0)</f>
        <v/>
      </c>
      <c r="L175">
        <f>IFERROR(VALUE('T12 Input'!M186),0)</f>
        <v/>
      </c>
      <c r="M175">
        <f>IFERROR(VALUE('T12 Input'!N186),0)</f>
        <v/>
      </c>
      <c r="N175">
        <f>IFERROR(INDEX(DescMap_Label,MATCH(A175,DescMap_Description,0)),"")</f>
        <v/>
      </c>
    </row>
    <row r="176" ht="15" customHeight="1" s="199">
      <c r="A176">
        <f>IFERROR(TRIM('T12 Input'!B187),)</f>
        <v/>
      </c>
      <c r="B176">
        <f>IFERROR(VALUE('T12 Input'!C187),0)</f>
        <v/>
      </c>
      <c r="C176">
        <f>IFERROR(VALUE('T12 Input'!D187),0)</f>
        <v/>
      </c>
      <c r="D176">
        <f>IFERROR(VALUE('T12 Input'!E187),0)</f>
        <v/>
      </c>
      <c r="E176">
        <f>IFERROR(VALUE('T12 Input'!F187),0)</f>
        <v/>
      </c>
      <c r="F176">
        <f>IFERROR(VALUE('T12 Input'!G187),0)</f>
        <v/>
      </c>
      <c r="G176">
        <f>IFERROR(VALUE('T12 Input'!H187),0)</f>
        <v/>
      </c>
      <c r="H176">
        <f>IFERROR(VALUE('T12 Input'!I187),0)</f>
        <v/>
      </c>
      <c r="I176">
        <f>IFERROR(VALUE('T12 Input'!J187),0)</f>
        <v/>
      </c>
      <c r="J176">
        <f>IFERROR(VALUE('T12 Input'!K187),0)</f>
        <v/>
      </c>
      <c r="K176">
        <f>IFERROR(VALUE('T12 Input'!L187),0)</f>
        <v/>
      </c>
      <c r="L176">
        <f>IFERROR(VALUE('T12 Input'!M187),0)</f>
        <v/>
      </c>
      <c r="M176">
        <f>IFERROR(VALUE('T12 Input'!N187),0)</f>
        <v/>
      </c>
      <c r="N176">
        <f>IFERROR(INDEX(DescMap_Label,MATCH(A176,DescMap_Description,0)),"")</f>
        <v/>
      </c>
    </row>
    <row r="177" ht="15" customHeight="1" s="199">
      <c r="A177">
        <f>IFERROR(TRIM('T12 Input'!B188),)</f>
        <v/>
      </c>
      <c r="B177">
        <f>IFERROR(VALUE('T12 Input'!C188),0)</f>
        <v/>
      </c>
      <c r="C177">
        <f>IFERROR(VALUE('T12 Input'!D188),0)</f>
        <v/>
      </c>
      <c r="D177">
        <f>IFERROR(VALUE('T12 Input'!E188),0)</f>
        <v/>
      </c>
      <c r="E177">
        <f>IFERROR(VALUE('T12 Input'!F188),0)</f>
        <v/>
      </c>
      <c r="F177">
        <f>IFERROR(VALUE('T12 Input'!G188),0)</f>
        <v/>
      </c>
      <c r="G177">
        <f>IFERROR(VALUE('T12 Input'!H188),0)</f>
        <v/>
      </c>
      <c r="H177">
        <f>IFERROR(VALUE('T12 Input'!I188),0)</f>
        <v/>
      </c>
      <c r="I177">
        <f>IFERROR(VALUE('T12 Input'!J188),0)</f>
        <v/>
      </c>
      <c r="J177">
        <f>IFERROR(VALUE('T12 Input'!K188),0)</f>
        <v/>
      </c>
      <c r="K177">
        <f>IFERROR(VALUE('T12 Input'!L188),0)</f>
        <v/>
      </c>
      <c r="L177">
        <f>IFERROR(VALUE('T12 Input'!M188),0)</f>
        <v/>
      </c>
      <c r="M177">
        <f>IFERROR(VALUE('T12 Input'!N188),0)</f>
        <v/>
      </c>
      <c r="N177">
        <f>IFERROR(INDEX(DescMap_Label,MATCH(A177,DescMap_Description,0)),"")</f>
        <v/>
      </c>
    </row>
    <row r="178" ht="15" customHeight="1" s="199">
      <c r="A178">
        <f>IFERROR(TRIM('T12 Input'!B189),)</f>
        <v/>
      </c>
      <c r="B178">
        <f>IFERROR(VALUE('T12 Input'!C189),0)</f>
        <v/>
      </c>
      <c r="C178">
        <f>IFERROR(VALUE('T12 Input'!D189),0)</f>
        <v/>
      </c>
      <c r="D178">
        <f>IFERROR(VALUE('T12 Input'!E189),0)</f>
        <v/>
      </c>
      <c r="E178">
        <f>IFERROR(VALUE('T12 Input'!F189),0)</f>
        <v/>
      </c>
      <c r="F178">
        <f>IFERROR(VALUE('T12 Input'!G189),0)</f>
        <v/>
      </c>
      <c r="G178">
        <f>IFERROR(VALUE('T12 Input'!H189),0)</f>
        <v/>
      </c>
      <c r="H178">
        <f>IFERROR(VALUE('T12 Input'!I189),0)</f>
        <v/>
      </c>
      <c r="I178">
        <f>IFERROR(VALUE('T12 Input'!J189),0)</f>
        <v/>
      </c>
      <c r="J178">
        <f>IFERROR(VALUE('T12 Input'!K189),0)</f>
        <v/>
      </c>
      <c r="K178">
        <f>IFERROR(VALUE('T12 Input'!L189),0)</f>
        <v/>
      </c>
      <c r="L178">
        <f>IFERROR(VALUE('T12 Input'!M189),0)</f>
        <v/>
      </c>
      <c r="M178">
        <f>IFERROR(VALUE('T12 Input'!N189),0)</f>
        <v/>
      </c>
      <c r="N178">
        <f>IFERROR(INDEX(DescMap_Label,MATCH(A178,DescMap_Description,0)),"")</f>
        <v/>
      </c>
    </row>
    <row r="179" ht="15" customHeight="1" s="199">
      <c r="A179">
        <f>IFERROR(TRIM('T12 Input'!B190),)</f>
        <v/>
      </c>
      <c r="B179">
        <f>IFERROR(VALUE('T12 Input'!C190),0)</f>
        <v/>
      </c>
      <c r="C179">
        <f>IFERROR(VALUE('T12 Input'!D190),0)</f>
        <v/>
      </c>
      <c r="D179">
        <f>IFERROR(VALUE('T12 Input'!E190),0)</f>
        <v/>
      </c>
      <c r="E179">
        <f>IFERROR(VALUE('T12 Input'!F190),0)</f>
        <v/>
      </c>
      <c r="F179">
        <f>IFERROR(VALUE('T12 Input'!G190),0)</f>
        <v/>
      </c>
      <c r="G179">
        <f>IFERROR(VALUE('T12 Input'!H190),0)</f>
        <v/>
      </c>
      <c r="H179">
        <f>IFERROR(VALUE('T12 Input'!I190),0)</f>
        <v/>
      </c>
      <c r="I179">
        <f>IFERROR(VALUE('T12 Input'!J190),0)</f>
        <v/>
      </c>
      <c r="J179">
        <f>IFERROR(VALUE('T12 Input'!K190),0)</f>
        <v/>
      </c>
      <c r="K179">
        <f>IFERROR(VALUE('T12 Input'!L190),0)</f>
        <v/>
      </c>
      <c r="L179">
        <f>IFERROR(VALUE('T12 Input'!M190),0)</f>
        <v/>
      </c>
      <c r="M179">
        <f>IFERROR(VALUE('T12 Input'!N190),0)</f>
        <v/>
      </c>
      <c r="N179">
        <f>IFERROR(INDEX(DescMap_Label,MATCH(A179,DescMap_Description,0)),"")</f>
        <v/>
      </c>
    </row>
    <row r="180" ht="15" customHeight="1" s="199">
      <c r="A180">
        <f>IFERROR(TRIM('T12 Input'!B191),)</f>
        <v/>
      </c>
      <c r="B180">
        <f>IFERROR(VALUE('T12 Input'!C191),0)</f>
        <v/>
      </c>
      <c r="C180">
        <f>IFERROR(VALUE('T12 Input'!D191),0)</f>
        <v/>
      </c>
      <c r="D180">
        <f>IFERROR(VALUE('T12 Input'!E191),0)</f>
        <v/>
      </c>
      <c r="E180">
        <f>IFERROR(VALUE('T12 Input'!F191),0)</f>
        <v/>
      </c>
      <c r="F180">
        <f>IFERROR(VALUE('T12 Input'!G191),0)</f>
        <v/>
      </c>
      <c r="G180">
        <f>IFERROR(VALUE('T12 Input'!H191),0)</f>
        <v/>
      </c>
      <c r="H180">
        <f>IFERROR(VALUE('T12 Input'!I191),0)</f>
        <v/>
      </c>
      <c r="I180">
        <f>IFERROR(VALUE('T12 Input'!J191),0)</f>
        <v/>
      </c>
      <c r="J180">
        <f>IFERROR(VALUE('T12 Input'!K191),0)</f>
        <v/>
      </c>
      <c r="K180">
        <f>IFERROR(VALUE('T12 Input'!L191),0)</f>
        <v/>
      </c>
      <c r="L180">
        <f>IFERROR(VALUE('T12 Input'!M191),0)</f>
        <v/>
      </c>
      <c r="M180">
        <f>IFERROR(VALUE('T12 Input'!N191),0)</f>
        <v/>
      </c>
      <c r="N180">
        <f>IFERROR(INDEX(DescMap_Label,MATCH(A180,DescMap_Description,0)),"")</f>
        <v/>
      </c>
    </row>
    <row r="181" ht="15" customHeight="1" s="199">
      <c r="A181">
        <f>IFERROR(TRIM('T12 Input'!B192),)</f>
        <v/>
      </c>
      <c r="B181">
        <f>IFERROR(VALUE('T12 Input'!C192),0)</f>
        <v/>
      </c>
      <c r="C181">
        <f>IFERROR(VALUE('T12 Input'!D192),0)</f>
        <v/>
      </c>
      <c r="D181">
        <f>IFERROR(VALUE('T12 Input'!E192),0)</f>
        <v/>
      </c>
      <c r="E181">
        <f>IFERROR(VALUE('T12 Input'!F192),0)</f>
        <v/>
      </c>
      <c r="F181">
        <f>IFERROR(VALUE('T12 Input'!G192),0)</f>
        <v/>
      </c>
      <c r="G181">
        <f>IFERROR(VALUE('T12 Input'!H192),0)</f>
        <v/>
      </c>
      <c r="H181">
        <f>IFERROR(VALUE('T12 Input'!I192),0)</f>
        <v/>
      </c>
      <c r="I181">
        <f>IFERROR(VALUE('T12 Input'!J192),0)</f>
        <v/>
      </c>
      <c r="J181">
        <f>IFERROR(VALUE('T12 Input'!K192),0)</f>
        <v/>
      </c>
      <c r="K181">
        <f>IFERROR(VALUE('T12 Input'!L192),0)</f>
        <v/>
      </c>
      <c r="L181">
        <f>IFERROR(VALUE('T12 Input'!M192),0)</f>
        <v/>
      </c>
      <c r="M181">
        <f>IFERROR(VALUE('T12 Input'!N192),0)</f>
        <v/>
      </c>
      <c r="N181">
        <f>IFERROR(INDEX(DescMap_Label,MATCH(A181,DescMap_Description,0)),"")</f>
        <v/>
      </c>
    </row>
    <row r="182" ht="15" customHeight="1" s="199">
      <c r="A182">
        <f>IFERROR(TRIM('T12 Input'!B193),)</f>
        <v/>
      </c>
      <c r="B182">
        <f>IFERROR(VALUE('T12 Input'!C193),0)</f>
        <v/>
      </c>
      <c r="C182">
        <f>IFERROR(VALUE('T12 Input'!D193),0)</f>
        <v/>
      </c>
      <c r="D182">
        <f>IFERROR(VALUE('T12 Input'!E193),0)</f>
        <v/>
      </c>
      <c r="E182">
        <f>IFERROR(VALUE('T12 Input'!F193),0)</f>
        <v/>
      </c>
      <c r="F182">
        <f>IFERROR(VALUE('T12 Input'!G193),0)</f>
        <v/>
      </c>
      <c r="G182">
        <f>IFERROR(VALUE('T12 Input'!H193),0)</f>
        <v/>
      </c>
      <c r="H182">
        <f>IFERROR(VALUE('T12 Input'!I193),0)</f>
        <v/>
      </c>
      <c r="I182">
        <f>IFERROR(VALUE('T12 Input'!J193),0)</f>
        <v/>
      </c>
      <c r="J182">
        <f>IFERROR(VALUE('T12 Input'!K193),0)</f>
        <v/>
      </c>
      <c r="K182">
        <f>IFERROR(VALUE('T12 Input'!L193),0)</f>
        <v/>
      </c>
      <c r="L182">
        <f>IFERROR(VALUE('T12 Input'!M193),0)</f>
        <v/>
      </c>
      <c r="M182">
        <f>IFERROR(VALUE('T12 Input'!N193),0)</f>
        <v/>
      </c>
      <c r="N182">
        <f>IFERROR(INDEX(DescMap_Label,MATCH(A182,DescMap_Description,0)),"")</f>
        <v/>
      </c>
    </row>
    <row r="183" ht="15" customHeight="1" s="199">
      <c r="A183">
        <f>IFERROR(TRIM('T12 Input'!B194),)</f>
        <v/>
      </c>
      <c r="B183">
        <f>IFERROR(VALUE('T12 Input'!C194),0)</f>
        <v/>
      </c>
      <c r="C183">
        <f>IFERROR(VALUE('T12 Input'!D194),0)</f>
        <v/>
      </c>
      <c r="D183">
        <f>IFERROR(VALUE('T12 Input'!E194),0)</f>
        <v/>
      </c>
      <c r="E183">
        <f>IFERROR(VALUE('T12 Input'!F194),0)</f>
        <v/>
      </c>
      <c r="F183">
        <f>IFERROR(VALUE('T12 Input'!G194),0)</f>
        <v/>
      </c>
      <c r="G183">
        <f>IFERROR(VALUE('T12 Input'!H194),0)</f>
        <v/>
      </c>
      <c r="H183">
        <f>IFERROR(VALUE('T12 Input'!I194),0)</f>
        <v/>
      </c>
      <c r="I183">
        <f>IFERROR(VALUE('T12 Input'!J194),0)</f>
        <v/>
      </c>
      <c r="J183">
        <f>IFERROR(VALUE('T12 Input'!K194),0)</f>
        <v/>
      </c>
      <c r="K183">
        <f>IFERROR(VALUE('T12 Input'!L194),0)</f>
        <v/>
      </c>
      <c r="L183">
        <f>IFERROR(VALUE('T12 Input'!M194),0)</f>
        <v/>
      </c>
      <c r="M183">
        <f>IFERROR(VALUE('T12 Input'!N194),0)</f>
        <v/>
      </c>
      <c r="N183">
        <f>IFERROR(INDEX(DescMap_Label,MATCH(A183,DescMap_Description,0)),"")</f>
        <v/>
      </c>
    </row>
    <row r="184" ht="15" customHeight="1" s="199">
      <c r="A184">
        <f>IFERROR(TRIM('T12 Input'!B195),)</f>
        <v/>
      </c>
      <c r="B184">
        <f>IFERROR(VALUE('T12 Input'!C195),0)</f>
        <v/>
      </c>
      <c r="C184">
        <f>IFERROR(VALUE('T12 Input'!D195),0)</f>
        <v/>
      </c>
      <c r="D184">
        <f>IFERROR(VALUE('T12 Input'!E195),0)</f>
        <v/>
      </c>
      <c r="E184">
        <f>IFERROR(VALUE('T12 Input'!F195),0)</f>
        <v/>
      </c>
      <c r="F184">
        <f>IFERROR(VALUE('T12 Input'!G195),0)</f>
        <v/>
      </c>
      <c r="G184">
        <f>IFERROR(VALUE('T12 Input'!H195),0)</f>
        <v/>
      </c>
      <c r="H184">
        <f>IFERROR(VALUE('T12 Input'!I195),0)</f>
        <v/>
      </c>
      <c r="I184">
        <f>IFERROR(VALUE('T12 Input'!J195),0)</f>
        <v/>
      </c>
      <c r="J184">
        <f>IFERROR(VALUE('T12 Input'!K195),0)</f>
        <v/>
      </c>
      <c r="K184">
        <f>IFERROR(VALUE('T12 Input'!L195),0)</f>
        <v/>
      </c>
      <c r="L184">
        <f>IFERROR(VALUE('T12 Input'!M195),0)</f>
        <v/>
      </c>
      <c r="M184">
        <f>IFERROR(VALUE('T12 Input'!N195),0)</f>
        <v/>
      </c>
      <c r="N184">
        <f>IFERROR(INDEX(DescMap_Label,MATCH(A184,DescMap_Description,0)),"")</f>
        <v/>
      </c>
    </row>
    <row r="185" ht="15" customHeight="1" s="199">
      <c r="A185">
        <f>IFERROR(TRIM('T12 Input'!B196),)</f>
        <v/>
      </c>
      <c r="B185">
        <f>IFERROR(VALUE('T12 Input'!C196),0)</f>
        <v/>
      </c>
      <c r="C185">
        <f>IFERROR(VALUE('T12 Input'!D196),0)</f>
        <v/>
      </c>
      <c r="D185">
        <f>IFERROR(VALUE('T12 Input'!E196),0)</f>
        <v/>
      </c>
      <c r="E185">
        <f>IFERROR(VALUE('T12 Input'!F196),0)</f>
        <v/>
      </c>
      <c r="F185">
        <f>IFERROR(VALUE('T12 Input'!G196),0)</f>
        <v/>
      </c>
      <c r="G185">
        <f>IFERROR(VALUE('T12 Input'!H196),0)</f>
        <v/>
      </c>
      <c r="H185">
        <f>IFERROR(VALUE('T12 Input'!I196),0)</f>
        <v/>
      </c>
      <c r="I185">
        <f>IFERROR(VALUE('T12 Input'!J196),0)</f>
        <v/>
      </c>
      <c r="J185">
        <f>IFERROR(VALUE('T12 Input'!K196),0)</f>
        <v/>
      </c>
      <c r="K185">
        <f>IFERROR(VALUE('T12 Input'!L196),0)</f>
        <v/>
      </c>
      <c r="L185">
        <f>IFERROR(VALUE('T12 Input'!M196),0)</f>
        <v/>
      </c>
      <c r="M185">
        <f>IFERROR(VALUE('T12 Input'!N196),0)</f>
        <v/>
      </c>
      <c r="N185">
        <f>IFERROR(INDEX(DescMap_Label,MATCH(A185,DescMap_Description,0)),"")</f>
        <v/>
      </c>
    </row>
    <row r="186" ht="15" customHeight="1" s="199">
      <c r="A186">
        <f>IFERROR(TRIM('T12 Input'!B197),)</f>
        <v/>
      </c>
      <c r="B186">
        <f>IFERROR(VALUE('T12 Input'!C197),0)</f>
        <v/>
      </c>
      <c r="C186">
        <f>IFERROR(VALUE('T12 Input'!D197),0)</f>
        <v/>
      </c>
      <c r="D186">
        <f>IFERROR(VALUE('T12 Input'!E197),0)</f>
        <v/>
      </c>
      <c r="E186">
        <f>IFERROR(VALUE('T12 Input'!F197),0)</f>
        <v/>
      </c>
      <c r="F186">
        <f>IFERROR(VALUE('T12 Input'!G197),0)</f>
        <v/>
      </c>
      <c r="G186">
        <f>IFERROR(VALUE('T12 Input'!H197),0)</f>
        <v/>
      </c>
      <c r="H186">
        <f>IFERROR(VALUE('T12 Input'!I197),0)</f>
        <v/>
      </c>
      <c r="I186">
        <f>IFERROR(VALUE('T12 Input'!J197),0)</f>
        <v/>
      </c>
      <c r="J186">
        <f>IFERROR(VALUE('T12 Input'!K197),0)</f>
        <v/>
      </c>
      <c r="K186">
        <f>IFERROR(VALUE('T12 Input'!L197),0)</f>
        <v/>
      </c>
      <c r="L186">
        <f>IFERROR(VALUE('T12 Input'!M197),0)</f>
        <v/>
      </c>
      <c r="M186">
        <f>IFERROR(VALUE('T12 Input'!N197),0)</f>
        <v/>
      </c>
      <c r="N186">
        <f>IFERROR(INDEX(DescMap_Label,MATCH(A186,DescMap_Description,0)),"")</f>
        <v/>
      </c>
    </row>
    <row r="187" ht="15" customHeight="1" s="199">
      <c r="A187">
        <f>IFERROR(TRIM('T12 Input'!B198),)</f>
        <v/>
      </c>
      <c r="B187">
        <f>IFERROR(VALUE('T12 Input'!C198),0)</f>
        <v/>
      </c>
      <c r="C187">
        <f>IFERROR(VALUE('T12 Input'!D198),0)</f>
        <v/>
      </c>
      <c r="D187">
        <f>IFERROR(VALUE('T12 Input'!E198),0)</f>
        <v/>
      </c>
      <c r="E187">
        <f>IFERROR(VALUE('T12 Input'!F198),0)</f>
        <v/>
      </c>
      <c r="F187">
        <f>IFERROR(VALUE('T12 Input'!G198),0)</f>
        <v/>
      </c>
      <c r="G187">
        <f>IFERROR(VALUE('T12 Input'!H198),0)</f>
        <v/>
      </c>
      <c r="H187">
        <f>IFERROR(VALUE('T12 Input'!I198),0)</f>
        <v/>
      </c>
      <c r="I187">
        <f>IFERROR(VALUE('T12 Input'!J198),0)</f>
        <v/>
      </c>
      <c r="J187">
        <f>IFERROR(VALUE('T12 Input'!K198),0)</f>
        <v/>
      </c>
      <c r="K187">
        <f>IFERROR(VALUE('T12 Input'!L198),0)</f>
        <v/>
      </c>
      <c r="L187">
        <f>IFERROR(VALUE('T12 Input'!M198),0)</f>
        <v/>
      </c>
      <c r="M187">
        <f>IFERROR(VALUE('T12 Input'!N198),0)</f>
        <v/>
      </c>
      <c r="N187">
        <f>IFERROR(INDEX(DescMap_Label,MATCH(A187,DescMap_Description,0)),"")</f>
        <v/>
      </c>
    </row>
    <row r="188" ht="15" customHeight="1" s="199">
      <c r="A188">
        <f>IFERROR(TRIM('T12 Input'!B199),)</f>
        <v/>
      </c>
      <c r="B188">
        <f>IFERROR(VALUE('T12 Input'!C199),0)</f>
        <v/>
      </c>
      <c r="C188">
        <f>IFERROR(VALUE('T12 Input'!D199),0)</f>
        <v/>
      </c>
      <c r="D188">
        <f>IFERROR(VALUE('T12 Input'!E199),0)</f>
        <v/>
      </c>
      <c r="E188">
        <f>IFERROR(VALUE('T12 Input'!F199),0)</f>
        <v/>
      </c>
      <c r="F188">
        <f>IFERROR(VALUE('T12 Input'!G199),0)</f>
        <v/>
      </c>
      <c r="G188">
        <f>IFERROR(VALUE('T12 Input'!H199),0)</f>
        <v/>
      </c>
      <c r="H188">
        <f>IFERROR(VALUE('T12 Input'!I199),0)</f>
        <v/>
      </c>
      <c r="I188">
        <f>IFERROR(VALUE('T12 Input'!J199),0)</f>
        <v/>
      </c>
      <c r="J188">
        <f>IFERROR(VALUE('T12 Input'!K199),0)</f>
        <v/>
      </c>
      <c r="K188">
        <f>IFERROR(VALUE('T12 Input'!L199),0)</f>
        <v/>
      </c>
      <c r="L188">
        <f>IFERROR(VALUE('T12 Input'!M199),0)</f>
        <v/>
      </c>
      <c r="M188">
        <f>IFERROR(VALUE('T12 Input'!N199),0)</f>
        <v/>
      </c>
      <c r="N188">
        <f>IFERROR(INDEX(DescMap_Label,MATCH(A188,DescMap_Description,0)),"")</f>
        <v/>
      </c>
    </row>
    <row r="189" ht="15" customHeight="1" s="199">
      <c r="A189">
        <f>IFERROR(TRIM('T12 Input'!B200),)</f>
        <v/>
      </c>
      <c r="B189">
        <f>IFERROR(VALUE('T12 Input'!C200),0)</f>
        <v/>
      </c>
      <c r="C189">
        <f>IFERROR(VALUE('T12 Input'!D200),0)</f>
        <v/>
      </c>
      <c r="D189">
        <f>IFERROR(VALUE('T12 Input'!E200),0)</f>
        <v/>
      </c>
      <c r="E189">
        <f>IFERROR(VALUE('T12 Input'!F200),0)</f>
        <v/>
      </c>
      <c r="F189">
        <f>IFERROR(VALUE('T12 Input'!G200),0)</f>
        <v/>
      </c>
      <c r="G189">
        <f>IFERROR(VALUE('T12 Input'!H200),0)</f>
        <v/>
      </c>
      <c r="H189">
        <f>IFERROR(VALUE('T12 Input'!I200),0)</f>
        <v/>
      </c>
      <c r="I189">
        <f>IFERROR(VALUE('T12 Input'!J200),0)</f>
        <v/>
      </c>
      <c r="J189">
        <f>IFERROR(VALUE('T12 Input'!K200),0)</f>
        <v/>
      </c>
      <c r="K189">
        <f>IFERROR(VALUE('T12 Input'!L200),0)</f>
        <v/>
      </c>
      <c r="L189">
        <f>IFERROR(VALUE('T12 Input'!M200),0)</f>
        <v/>
      </c>
      <c r="M189">
        <f>IFERROR(VALUE('T12 Input'!N200),0)</f>
        <v/>
      </c>
      <c r="N189">
        <f>IFERROR(INDEX(DescMap_Label,MATCH(A189,DescMap_Description,0)),"")</f>
        <v/>
      </c>
    </row>
    <row r="190" ht="15" customHeight="1" s="199">
      <c r="A190">
        <f>IFERROR(TRIM('T12 Input'!B201),)</f>
        <v/>
      </c>
      <c r="B190">
        <f>IFERROR(VALUE('T12 Input'!C201),0)</f>
        <v/>
      </c>
      <c r="C190">
        <f>IFERROR(VALUE('T12 Input'!D201),0)</f>
        <v/>
      </c>
      <c r="D190">
        <f>IFERROR(VALUE('T12 Input'!E201),0)</f>
        <v/>
      </c>
      <c r="E190">
        <f>IFERROR(VALUE('T12 Input'!F201),0)</f>
        <v/>
      </c>
      <c r="F190">
        <f>IFERROR(VALUE('T12 Input'!G201),0)</f>
        <v/>
      </c>
      <c r="G190">
        <f>IFERROR(VALUE('T12 Input'!H201),0)</f>
        <v/>
      </c>
      <c r="H190">
        <f>IFERROR(VALUE('T12 Input'!I201),0)</f>
        <v/>
      </c>
      <c r="I190">
        <f>IFERROR(VALUE('T12 Input'!J201),0)</f>
        <v/>
      </c>
      <c r="J190">
        <f>IFERROR(VALUE('T12 Input'!K201),0)</f>
        <v/>
      </c>
      <c r="K190">
        <f>IFERROR(VALUE('T12 Input'!L201),0)</f>
        <v/>
      </c>
      <c r="L190">
        <f>IFERROR(VALUE('T12 Input'!M201),0)</f>
        <v/>
      </c>
      <c r="M190">
        <f>IFERROR(VALUE('T12 Input'!N201),0)</f>
        <v/>
      </c>
      <c r="N190">
        <f>IFERROR(INDEX(DescMap_Label,MATCH(A190,DescMap_Description,0)),"")</f>
        <v/>
      </c>
    </row>
    <row r="191" ht="15" customHeight="1" s="199">
      <c r="A191">
        <f>IFERROR(TRIM('T12 Input'!B202),)</f>
        <v/>
      </c>
      <c r="B191">
        <f>IFERROR(VALUE('T12 Input'!C202),0)</f>
        <v/>
      </c>
      <c r="C191">
        <f>IFERROR(VALUE('T12 Input'!D202),0)</f>
        <v/>
      </c>
      <c r="D191">
        <f>IFERROR(VALUE('T12 Input'!E202),0)</f>
        <v/>
      </c>
      <c r="E191">
        <f>IFERROR(VALUE('T12 Input'!F202),0)</f>
        <v/>
      </c>
      <c r="F191">
        <f>IFERROR(VALUE('T12 Input'!G202),0)</f>
        <v/>
      </c>
      <c r="G191">
        <f>IFERROR(VALUE('T12 Input'!H202),0)</f>
        <v/>
      </c>
      <c r="H191">
        <f>IFERROR(VALUE('T12 Input'!I202),0)</f>
        <v/>
      </c>
      <c r="I191">
        <f>IFERROR(VALUE('T12 Input'!J202),0)</f>
        <v/>
      </c>
      <c r="J191">
        <f>IFERROR(VALUE('T12 Input'!K202),0)</f>
        <v/>
      </c>
      <c r="K191">
        <f>IFERROR(VALUE('T12 Input'!L202),0)</f>
        <v/>
      </c>
      <c r="L191">
        <f>IFERROR(VALUE('T12 Input'!M202),0)</f>
        <v/>
      </c>
      <c r="M191">
        <f>IFERROR(VALUE('T12 Input'!N202),0)</f>
        <v/>
      </c>
      <c r="N191">
        <f>IFERROR(INDEX(DescMap_Label,MATCH(A191,DescMap_Description,0)),"")</f>
        <v/>
      </c>
    </row>
    <row r="192" ht="15" customHeight="1" s="199">
      <c r="A192">
        <f>IFERROR(TRIM('T12 Input'!B203),)</f>
        <v/>
      </c>
      <c r="B192">
        <f>IFERROR(VALUE('T12 Input'!C203),0)</f>
        <v/>
      </c>
      <c r="C192">
        <f>IFERROR(VALUE('T12 Input'!D203),0)</f>
        <v/>
      </c>
      <c r="D192">
        <f>IFERROR(VALUE('T12 Input'!E203),0)</f>
        <v/>
      </c>
      <c r="E192">
        <f>IFERROR(VALUE('T12 Input'!F203),0)</f>
        <v/>
      </c>
      <c r="F192">
        <f>IFERROR(VALUE('T12 Input'!G203),0)</f>
        <v/>
      </c>
      <c r="G192">
        <f>IFERROR(VALUE('T12 Input'!H203),0)</f>
        <v/>
      </c>
      <c r="H192">
        <f>IFERROR(VALUE('T12 Input'!I203),0)</f>
        <v/>
      </c>
      <c r="I192">
        <f>IFERROR(VALUE('T12 Input'!J203),0)</f>
        <v/>
      </c>
      <c r="J192">
        <f>IFERROR(VALUE('T12 Input'!K203),0)</f>
        <v/>
      </c>
      <c r="K192">
        <f>IFERROR(VALUE('T12 Input'!L203),0)</f>
        <v/>
      </c>
      <c r="L192">
        <f>IFERROR(VALUE('T12 Input'!M203),0)</f>
        <v/>
      </c>
      <c r="M192">
        <f>IFERROR(VALUE('T12 Input'!N203),0)</f>
        <v/>
      </c>
      <c r="N192">
        <f>IFERROR(INDEX(DescMap_Label,MATCH(A192,DescMap_Description,0)),"")</f>
        <v/>
      </c>
    </row>
    <row r="193" ht="15" customHeight="1" s="199">
      <c r="A193">
        <f>IFERROR(TRIM('T12 Input'!B204),)</f>
        <v/>
      </c>
      <c r="B193">
        <f>IFERROR(VALUE('T12 Input'!C204),0)</f>
        <v/>
      </c>
      <c r="C193">
        <f>IFERROR(VALUE('T12 Input'!D204),0)</f>
        <v/>
      </c>
      <c r="D193">
        <f>IFERROR(VALUE('T12 Input'!E204),0)</f>
        <v/>
      </c>
      <c r="E193">
        <f>IFERROR(VALUE('T12 Input'!F204),0)</f>
        <v/>
      </c>
      <c r="F193">
        <f>IFERROR(VALUE('T12 Input'!G204),0)</f>
        <v/>
      </c>
      <c r="G193">
        <f>IFERROR(VALUE('T12 Input'!H204),0)</f>
        <v/>
      </c>
      <c r="H193">
        <f>IFERROR(VALUE('T12 Input'!I204),0)</f>
        <v/>
      </c>
      <c r="I193">
        <f>IFERROR(VALUE('T12 Input'!J204),0)</f>
        <v/>
      </c>
      <c r="J193">
        <f>IFERROR(VALUE('T12 Input'!K204),0)</f>
        <v/>
      </c>
      <c r="K193">
        <f>IFERROR(VALUE('T12 Input'!L204),0)</f>
        <v/>
      </c>
      <c r="L193">
        <f>IFERROR(VALUE('T12 Input'!M204),0)</f>
        <v/>
      </c>
      <c r="M193">
        <f>IFERROR(VALUE('T12 Input'!N204),0)</f>
        <v/>
      </c>
      <c r="N193">
        <f>IFERROR(INDEX(DescMap_Label,MATCH(A193,DescMap_Description,0)),"")</f>
        <v/>
      </c>
    </row>
    <row r="194" ht="15" customHeight="1" s="199">
      <c r="A194">
        <f>IFERROR(TRIM('T12 Input'!B205),)</f>
        <v/>
      </c>
      <c r="B194">
        <f>IFERROR(VALUE('T12 Input'!C205),0)</f>
        <v/>
      </c>
      <c r="C194">
        <f>IFERROR(VALUE('T12 Input'!D205),0)</f>
        <v/>
      </c>
      <c r="D194">
        <f>IFERROR(VALUE('T12 Input'!E205),0)</f>
        <v/>
      </c>
      <c r="E194">
        <f>IFERROR(VALUE('T12 Input'!F205),0)</f>
        <v/>
      </c>
      <c r="F194">
        <f>IFERROR(VALUE('T12 Input'!G205),0)</f>
        <v/>
      </c>
      <c r="G194">
        <f>IFERROR(VALUE('T12 Input'!H205),0)</f>
        <v/>
      </c>
      <c r="H194">
        <f>IFERROR(VALUE('T12 Input'!I205),0)</f>
        <v/>
      </c>
      <c r="I194">
        <f>IFERROR(VALUE('T12 Input'!J205),0)</f>
        <v/>
      </c>
      <c r="J194">
        <f>IFERROR(VALUE('T12 Input'!K205),0)</f>
        <v/>
      </c>
      <c r="K194">
        <f>IFERROR(VALUE('T12 Input'!L205),0)</f>
        <v/>
      </c>
      <c r="L194">
        <f>IFERROR(VALUE('T12 Input'!M205),0)</f>
        <v/>
      </c>
      <c r="M194">
        <f>IFERROR(VALUE('T12 Input'!N205),0)</f>
        <v/>
      </c>
      <c r="N194">
        <f>IFERROR(INDEX(DescMap_Label,MATCH(A194,DescMap_Description,0)),"")</f>
        <v/>
      </c>
    </row>
    <row r="195" ht="15" customHeight="1" s="199">
      <c r="A195">
        <f>IFERROR(TRIM('T12 Input'!B206),)</f>
        <v/>
      </c>
      <c r="B195">
        <f>IFERROR(VALUE('T12 Input'!C206),0)</f>
        <v/>
      </c>
      <c r="C195">
        <f>IFERROR(VALUE('T12 Input'!D206),0)</f>
        <v/>
      </c>
      <c r="D195">
        <f>IFERROR(VALUE('T12 Input'!E206),0)</f>
        <v/>
      </c>
      <c r="E195">
        <f>IFERROR(VALUE('T12 Input'!F206),0)</f>
        <v/>
      </c>
      <c r="F195">
        <f>IFERROR(VALUE('T12 Input'!G206),0)</f>
        <v/>
      </c>
      <c r="G195">
        <f>IFERROR(VALUE('T12 Input'!H206),0)</f>
        <v/>
      </c>
      <c r="H195">
        <f>IFERROR(VALUE('T12 Input'!I206),0)</f>
        <v/>
      </c>
      <c r="I195">
        <f>IFERROR(VALUE('T12 Input'!J206),0)</f>
        <v/>
      </c>
      <c r="J195">
        <f>IFERROR(VALUE('T12 Input'!K206),0)</f>
        <v/>
      </c>
      <c r="K195">
        <f>IFERROR(VALUE('T12 Input'!L206),0)</f>
        <v/>
      </c>
      <c r="L195">
        <f>IFERROR(VALUE('T12 Input'!M206),0)</f>
        <v/>
      </c>
      <c r="M195">
        <f>IFERROR(VALUE('T12 Input'!N206),0)</f>
        <v/>
      </c>
      <c r="N195">
        <f>IFERROR(INDEX(DescMap_Label,MATCH(A195,DescMap_Description,0)),"")</f>
        <v/>
      </c>
    </row>
    <row r="196" ht="15" customHeight="1" s="199">
      <c r="A196">
        <f>IFERROR(TRIM('T12 Input'!B207),)</f>
        <v/>
      </c>
      <c r="B196">
        <f>IFERROR(VALUE('T12 Input'!C207),0)</f>
        <v/>
      </c>
      <c r="C196">
        <f>IFERROR(VALUE('T12 Input'!D207),0)</f>
        <v/>
      </c>
      <c r="D196">
        <f>IFERROR(VALUE('T12 Input'!E207),0)</f>
        <v/>
      </c>
      <c r="E196">
        <f>IFERROR(VALUE('T12 Input'!F207),0)</f>
        <v/>
      </c>
      <c r="F196">
        <f>IFERROR(VALUE('T12 Input'!G207),0)</f>
        <v/>
      </c>
      <c r="G196">
        <f>IFERROR(VALUE('T12 Input'!H207),0)</f>
        <v/>
      </c>
      <c r="H196">
        <f>IFERROR(VALUE('T12 Input'!I207),0)</f>
        <v/>
      </c>
      <c r="I196">
        <f>IFERROR(VALUE('T12 Input'!J207),0)</f>
        <v/>
      </c>
      <c r="J196">
        <f>IFERROR(VALUE('T12 Input'!K207),0)</f>
        <v/>
      </c>
      <c r="K196">
        <f>IFERROR(VALUE('T12 Input'!L207),0)</f>
        <v/>
      </c>
      <c r="L196">
        <f>IFERROR(VALUE('T12 Input'!M207),0)</f>
        <v/>
      </c>
      <c r="M196">
        <f>IFERROR(VALUE('T12 Input'!N207),0)</f>
        <v/>
      </c>
      <c r="N196">
        <f>IFERROR(INDEX(DescMap_Label,MATCH(A196,DescMap_Description,0)),"")</f>
        <v/>
      </c>
    </row>
    <row r="197" ht="15" customHeight="1" s="199">
      <c r="A197">
        <f>IFERROR(TRIM('T12 Input'!B208),)</f>
        <v/>
      </c>
      <c r="B197">
        <f>IFERROR(VALUE('T12 Input'!C208),0)</f>
        <v/>
      </c>
      <c r="C197">
        <f>IFERROR(VALUE('T12 Input'!D208),0)</f>
        <v/>
      </c>
      <c r="D197">
        <f>IFERROR(VALUE('T12 Input'!E208),0)</f>
        <v/>
      </c>
      <c r="E197">
        <f>IFERROR(VALUE('T12 Input'!F208),0)</f>
        <v/>
      </c>
      <c r="F197">
        <f>IFERROR(VALUE('T12 Input'!G208),0)</f>
        <v/>
      </c>
      <c r="G197">
        <f>IFERROR(VALUE('T12 Input'!H208),0)</f>
        <v/>
      </c>
      <c r="H197">
        <f>IFERROR(VALUE('T12 Input'!I208),0)</f>
        <v/>
      </c>
      <c r="I197">
        <f>IFERROR(VALUE('T12 Input'!J208),0)</f>
        <v/>
      </c>
      <c r="J197">
        <f>IFERROR(VALUE('T12 Input'!K208),0)</f>
        <v/>
      </c>
      <c r="K197">
        <f>IFERROR(VALUE('T12 Input'!L208),0)</f>
        <v/>
      </c>
      <c r="L197">
        <f>IFERROR(VALUE('T12 Input'!M208),0)</f>
        <v/>
      </c>
      <c r="M197">
        <f>IFERROR(VALUE('T12 Input'!N208),0)</f>
        <v/>
      </c>
      <c r="N197">
        <f>IFERROR(INDEX(DescMap_Label,MATCH(A197,DescMap_Description,0)),"")</f>
        <v/>
      </c>
    </row>
    <row r="198" ht="15" customHeight="1" s="199">
      <c r="A198">
        <f>IFERROR(TRIM('T12 Input'!B209),)</f>
        <v/>
      </c>
      <c r="B198">
        <f>IFERROR(VALUE('T12 Input'!C209),0)</f>
        <v/>
      </c>
      <c r="C198">
        <f>IFERROR(VALUE('T12 Input'!D209),0)</f>
        <v/>
      </c>
      <c r="D198">
        <f>IFERROR(VALUE('T12 Input'!E209),0)</f>
        <v/>
      </c>
      <c r="E198">
        <f>IFERROR(VALUE('T12 Input'!F209),0)</f>
        <v/>
      </c>
      <c r="F198">
        <f>IFERROR(VALUE('T12 Input'!G209),0)</f>
        <v/>
      </c>
      <c r="G198">
        <f>IFERROR(VALUE('T12 Input'!H209),0)</f>
        <v/>
      </c>
      <c r="H198">
        <f>IFERROR(VALUE('T12 Input'!I209),0)</f>
        <v/>
      </c>
      <c r="I198">
        <f>IFERROR(VALUE('T12 Input'!J209),0)</f>
        <v/>
      </c>
      <c r="J198">
        <f>IFERROR(VALUE('T12 Input'!K209),0)</f>
        <v/>
      </c>
      <c r="K198">
        <f>IFERROR(VALUE('T12 Input'!L209),0)</f>
        <v/>
      </c>
      <c r="L198">
        <f>IFERROR(VALUE('T12 Input'!M209),0)</f>
        <v/>
      </c>
      <c r="M198">
        <f>IFERROR(VALUE('T12 Input'!N209),0)</f>
        <v/>
      </c>
      <c r="N198">
        <f>IFERROR(INDEX(DescMap_Label,MATCH(A198,DescMap_Description,0)),"")</f>
        <v/>
      </c>
    </row>
    <row r="199" ht="15" customHeight="1" s="199">
      <c r="A199">
        <f>IFERROR(TRIM('T12 Input'!B210),)</f>
        <v/>
      </c>
      <c r="B199">
        <f>IFERROR(VALUE('T12 Input'!C210),0)</f>
        <v/>
      </c>
      <c r="C199">
        <f>IFERROR(VALUE('T12 Input'!D210),0)</f>
        <v/>
      </c>
      <c r="D199">
        <f>IFERROR(VALUE('T12 Input'!E210),0)</f>
        <v/>
      </c>
      <c r="E199">
        <f>IFERROR(VALUE('T12 Input'!F210),0)</f>
        <v/>
      </c>
      <c r="F199">
        <f>IFERROR(VALUE('T12 Input'!G210),0)</f>
        <v/>
      </c>
      <c r="G199">
        <f>IFERROR(VALUE('T12 Input'!H210),0)</f>
        <v/>
      </c>
      <c r="H199">
        <f>IFERROR(VALUE('T12 Input'!I210),0)</f>
        <v/>
      </c>
      <c r="I199">
        <f>IFERROR(VALUE('T12 Input'!J210),0)</f>
        <v/>
      </c>
      <c r="J199">
        <f>IFERROR(VALUE('T12 Input'!K210),0)</f>
        <v/>
      </c>
      <c r="K199">
        <f>IFERROR(VALUE('T12 Input'!L210),0)</f>
        <v/>
      </c>
      <c r="L199">
        <f>IFERROR(VALUE('T12 Input'!M210),0)</f>
        <v/>
      </c>
      <c r="M199">
        <f>IFERROR(VALUE('T12 Input'!N210),0)</f>
        <v/>
      </c>
      <c r="N199">
        <f>IFERROR(INDEX(DescMap_Label,MATCH(A199,DescMap_Description,0)),"")</f>
        <v/>
      </c>
    </row>
    <row r="200" ht="15" customHeight="1" s="199">
      <c r="A200">
        <f>IFERROR(TRIM('T12 Input'!B211),)</f>
        <v/>
      </c>
      <c r="B200">
        <f>IFERROR(VALUE('T12 Input'!C211),0)</f>
        <v/>
      </c>
      <c r="C200">
        <f>IFERROR(VALUE('T12 Input'!D211),0)</f>
        <v/>
      </c>
      <c r="D200">
        <f>IFERROR(VALUE('T12 Input'!E211),0)</f>
        <v/>
      </c>
      <c r="E200">
        <f>IFERROR(VALUE('T12 Input'!F211),0)</f>
        <v/>
      </c>
      <c r="F200">
        <f>IFERROR(VALUE('T12 Input'!G211),0)</f>
        <v/>
      </c>
      <c r="G200">
        <f>IFERROR(VALUE('T12 Input'!H211),0)</f>
        <v/>
      </c>
      <c r="H200">
        <f>IFERROR(VALUE('T12 Input'!I211),0)</f>
        <v/>
      </c>
      <c r="I200">
        <f>IFERROR(VALUE('T12 Input'!J211),0)</f>
        <v/>
      </c>
      <c r="J200">
        <f>IFERROR(VALUE('T12 Input'!K211),0)</f>
        <v/>
      </c>
      <c r="K200">
        <f>IFERROR(VALUE('T12 Input'!L211),0)</f>
        <v/>
      </c>
      <c r="L200">
        <f>IFERROR(VALUE('T12 Input'!M211),0)</f>
        <v/>
      </c>
      <c r="M200">
        <f>IFERROR(VALUE('T12 Input'!N211),0)</f>
        <v/>
      </c>
      <c r="N200">
        <f>IFERROR(INDEX(DescMap_Label,MATCH(A200,DescMap_Description,0)),"")</f>
        <v/>
      </c>
    </row>
    <row r="201" ht="15" customHeight="1" s="199">
      <c r="A201">
        <f>IFERROR(TRIM('T12 Input'!B212),)</f>
        <v/>
      </c>
      <c r="B201">
        <f>IFERROR(VALUE('T12 Input'!C212),0)</f>
        <v/>
      </c>
      <c r="C201">
        <f>IFERROR(VALUE('T12 Input'!D212),0)</f>
        <v/>
      </c>
      <c r="D201">
        <f>IFERROR(VALUE('T12 Input'!E212),0)</f>
        <v/>
      </c>
      <c r="E201">
        <f>IFERROR(VALUE('T12 Input'!F212),0)</f>
        <v/>
      </c>
      <c r="F201">
        <f>IFERROR(VALUE('T12 Input'!G212),0)</f>
        <v/>
      </c>
      <c r="G201">
        <f>IFERROR(VALUE('T12 Input'!H212),0)</f>
        <v/>
      </c>
      <c r="H201">
        <f>IFERROR(VALUE('T12 Input'!I212),0)</f>
        <v/>
      </c>
      <c r="I201">
        <f>IFERROR(VALUE('T12 Input'!J212),0)</f>
        <v/>
      </c>
      <c r="J201">
        <f>IFERROR(VALUE('T12 Input'!K212),0)</f>
        <v/>
      </c>
      <c r="K201">
        <f>IFERROR(VALUE('T12 Input'!L212),0)</f>
        <v/>
      </c>
      <c r="L201">
        <f>IFERROR(VALUE('T12 Input'!M212),0)</f>
        <v/>
      </c>
      <c r="M201">
        <f>IFERROR(VALUE('T12 Input'!N212),0)</f>
        <v/>
      </c>
      <c r="N201">
        <f>IFERROR(INDEX(DescMap_Label,MATCH(A201,DescMap_Description,0)),"")</f>
        <v/>
      </c>
    </row>
    <row r="202" ht="15" customHeight="1" s="199">
      <c r="A202">
        <f>IFERROR(TRIM('T12 Input'!B213),)</f>
        <v/>
      </c>
      <c r="B202">
        <f>IFERROR(VALUE('T12 Input'!C213),0)</f>
        <v/>
      </c>
      <c r="C202">
        <f>IFERROR(VALUE('T12 Input'!D213),0)</f>
        <v/>
      </c>
      <c r="D202">
        <f>IFERROR(VALUE('T12 Input'!E213),0)</f>
        <v/>
      </c>
      <c r="E202">
        <f>IFERROR(VALUE('T12 Input'!F213),0)</f>
        <v/>
      </c>
      <c r="F202">
        <f>IFERROR(VALUE('T12 Input'!G213),0)</f>
        <v/>
      </c>
      <c r="G202">
        <f>IFERROR(VALUE('T12 Input'!H213),0)</f>
        <v/>
      </c>
      <c r="H202">
        <f>IFERROR(VALUE('T12 Input'!I213),0)</f>
        <v/>
      </c>
      <c r="I202">
        <f>IFERROR(VALUE('T12 Input'!J213),0)</f>
        <v/>
      </c>
      <c r="J202">
        <f>IFERROR(VALUE('T12 Input'!K213),0)</f>
        <v/>
      </c>
      <c r="K202">
        <f>IFERROR(VALUE('T12 Input'!L213),0)</f>
        <v/>
      </c>
      <c r="L202">
        <f>IFERROR(VALUE('T12 Input'!M213),0)</f>
        <v/>
      </c>
      <c r="M202">
        <f>IFERROR(VALUE('T12 Input'!N213),0)</f>
        <v/>
      </c>
      <c r="N202">
        <f>IFERROR(INDEX(DescMap_Label,MATCH(A202,DescMap_Description,0)),"")</f>
        <v/>
      </c>
    </row>
    <row r="203" ht="15" customHeight="1" s="199">
      <c r="A203">
        <f>IFERROR(TRIM('T12 Input'!B214),)</f>
        <v/>
      </c>
      <c r="B203">
        <f>IFERROR(VALUE('T12 Input'!C214),0)</f>
        <v/>
      </c>
      <c r="C203">
        <f>IFERROR(VALUE('T12 Input'!D214),0)</f>
        <v/>
      </c>
      <c r="D203">
        <f>IFERROR(VALUE('T12 Input'!E214),0)</f>
        <v/>
      </c>
      <c r="E203">
        <f>IFERROR(VALUE('T12 Input'!F214),0)</f>
        <v/>
      </c>
      <c r="F203">
        <f>IFERROR(VALUE('T12 Input'!G214),0)</f>
        <v/>
      </c>
      <c r="G203">
        <f>IFERROR(VALUE('T12 Input'!H214),0)</f>
        <v/>
      </c>
      <c r="H203">
        <f>IFERROR(VALUE('T12 Input'!I214),0)</f>
        <v/>
      </c>
      <c r="I203">
        <f>IFERROR(VALUE('T12 Input'!J214),0)</f>
        <v/>
      </c>
      <c r="J203">
        <f>IFERROR(VALUE('T12 Input'!K214),0)</f>
        <v/>
      </c>
      <c r="K203">
        <f>IFERROR(VALUE('T12 Input'!L214),0)</f>
        <v/>
      </c>
      <c r="L203">
        <f>IFERROR(VALUE('T12 Input'!M214),0)</f>
        <v/>
      </c>
      <c r="M203">
        <f>IFERROR(VALUE('T12 Input'!N214),0)</f>
        <v/>
      </c>
      <c r="N203">
        <f>IFERROR(INDEX(DescMap_Label,MATCH(A203,DescMap_Description,0)),"")</f>
        <v/>
      </c>
    </row>
    <row r="204" ht="15" customHeight="1" s="199">
      <c r="A204">
        <f>IFERROR(TRIM('T12 Input'!B215),)</f>
        <v/>
      </c>
      <c r="B204">
        <f>IFERROR(VALUE('T12 Input'!C215),0)</f>
        <v/>
      </c>
      <c r="C204">
        <f>IFERROR(VALUE('T12 Input'!D215),0)</f>
        <v/>
      </c>
      <c r="D204">
        <f>IFERROR(VALUE('T12 Input'!E215),0)</f>
        <v/>
      </c>
      <c r="E204">
        <f>IFERROR(VALUE('T12 Input'!F215),0)</f>
        <v/>
      </c>
      <c r="F204">
        <f>IFERROR(VALUE('T12 Input'!G215),0)</f>
        <v/>
      </c>
      <c r="G204">
        <f>IFERROR(VALUE('T12 Input'!H215),0)</f>
        <v/>
      </c>
      <c r="H204">
        <f>IFERROR(VALUE('T12 Input'!I215),0)</f>
        <v/>
      </c>
      <c r="I204">
        <f>IFERROR(VALUE('T12 Input'!J215),0)</f>
        <v/>
      </c>
      <c r="J204">
        <f>IFERROR(VALUE('T12 Input'!K215),0)</f>
        <v/>
      </c>
      <c r="K204">
        <f>IFERROR(VALUE('T12 Input'!L215),0)</f>
        <v/>
      </c>
      <c r="L204">
        <f>IFERROR(VALUE('T12 Input'!M215),0)</f>
        <v/>
      </c>
      <c r="M204">
        <f>IFERROR(VALUE('T12 Input'!N215),0)</f>
        <v/>
      </c>
      <c r="N204">
        <f>IFERROR(INDEX(DescMap_Label,MATCH(A204,DescMap_Description,0)),"")</f>
        <v/>
      </c>
    </row>
    <row r="205" ht="15" customHeight="1" s="199">
      <c r="A205">
        <f>IFERROR(TRIM('T12 Input'!B216),)</f>
        <v/>
      </c>
      <c r="B205">
        <f>IFERROR(VALUE('T12 Input'!C216),0)</f>
        <v/>
      </c>
      <c r="C205">
        <f>IFERROR(VALUE('T12 Input'!D216),0)</f>
        <v/>
      </c>
      <c r="D205">
        <f>IFERROR(VALUE('T12 Input'!E216),0)</f>
        <v/>
      </c>
      <c r="E205">
        <f>IFERROR(VALUE('T12 Input'!F216),0)</f>
        <v/>
      </c>
      <c r="F205">
        <f>IFERROR(VALUE('T12 Input'!G216),0)</f>
        <v/>
      </c>
      <c r="G205">
        <f>IFERROR(VALUE('T12 Input'!H216),0)</f>
        <v/>
      </c>
      <c r="H205">
        <f>IFERROR(VALUE('T12 Input'!I216),0)</f>
        <v/>
      </c>
      <c r="I205">
        <f>IFERROR(VALUE('T12 Input'!J216),0)</f>
        <v/>
      </c>
      <c r="J205">
        <f>IFERROR(VALUE('T12 Input'!K216),0)</f>
        <v/>
      </c>
      <c r="K205">
        <f>IFERROR(VALUE('T12 Input'!L216),0)</f>
        <v/>
      </c>
      <c r="L205">
        <f>IFERROR(VALUE('T12 Input'!M216),0)</f>
        <v/>
      </c>
      <c r="M205">
        <f>IFERROR(VALUE('T12 Input'!N216),0)</f>
        <v/>
      </c>
      <c r="N205">
        <f>IFERROR(INDEX(DescMap_Label,MATCH(A205,DescMap_Description,0)),"")</f>
        <v/>
      </c>
    </row>
    <row r="206" ht="15" customHeight="1" s="199">
      <c r="A206">
        <f>IFERROR(TRIM('T12 Input'!B217),)</f>
        <v/>
      </c>
      <c r="B206">
        <f>IFERROR(VALUE('T12 Input'!C217),0)</f>
        <v/>
      </c>
      <c r="C206">
        <f>IFERROR(VALUE('T12 Input'!D217),0)</f>
        <v/>
      </c>
      <c r="D206">
        <f>IFERROR(VALUE('T12 Input'!E217),0)</f>
        <v/>
      </c>
      <c r="E206">
        <f>IFERROR(VALUE('T12 Input'!F217),0)</f>
        <v/>
      </c>
      <c r="F206">
        <f>IFERROR(VALUE('T12 Input'!G217),0)</f>
        <v/>
      </c>
      <c r="G206">
        <f>IFERROR(VALUE('T12 Input'!H217),0)</f>
        <v/>
      </c>
      <c r="H206">
        <f>IFERROR(VALUE('T12 Input'!I217),0)</f>
        <v/>
      </c>
      <c r="I206">
        <f>IFERROR(VALUE('T12 Input'!J217),0)</f>
        <v/>
      </c>
      <c r="J206">
        <f>IFERROR(VALUE('T12 Input'!K217),0)</f>
        <v/>
      </c>
      <c r="K206">
        <f>IFERROR(VALUE('T12 Input'!L217),0)</f>
        <v/>
      </c>
      <c r="L206">
        <f>IFERROR(VALUE('T12 Input'!M217),0)</f>
        <v/>
      </c>
      <c r="M206">
        <f>IFERROR(VALUE('T12 Input'!N217),0)</f>
        <v/>
      </c>
      <c r="N206">
        <f>IFERROR(INDEX(DescMap_Label,MATCH(A206,DescMap_Description,0)),"")</f>
        <v/>
      </c>
    </row>
    <row r="207" ht="15" customHeight="1" s="199">
      <c r="A207">
        <f>IFERROR(TRIM('T12 Input'!B218),)</f>
        <v/>
      </c>
      <c r="B207">
        <f>IFERROR(VALUE('T12 Input'!C218),0)</f>
        <v/>
      </c>
      <c r="C207">
        <f>IFERROR(VALUE('T12 Input'!D218),0)</f>
        <v/>
      </c>
      <c r="D207">
        <f>IFERROR(VALUE('T12 Input'!E218),0)</f>
        <v/>
      </c>
      <c r="E207">
        <f>IFERROR(VALUE('T12 Input'!F218),0)</f>
        <v/>
      </c>
      <c r="F207">
        <f>IFERROR(VALUE('T12 Input'!G218),0)</f>
        <v/>
      </c>
      <c r="G207">
        <f>IFERROR(VALUE('T12 Input'!H218),0)</f>
        <v/>
      </c>
      <c r="H207">
        <f>IFERROR(VALUE('T12 Input'!I218),0)</f>
        <v/>
      </c>
      <c r="I207">
        <f>IFERROR(VALUE('T12 Input'!J218),0)</f>
        <v/>
      </c>
      <c r="J207">
        <f>IFERROR(VALUE('T12 Input'!K218),0)</f>
        <v/>
      </c>
      <c r="K207">
        <f>IFERROR(VALUE('T12 Input'!L218),0)</f>
        <v/>
      </c>
      <c r="L207">
        <f>IFERROR(VALUE('T12 Input'!M218),0)</f>
        <v/>
      </c>
      <c r="M207">
        <f>IFERROR(VALUE('T12 Input'!N218),0)</f>
        <v/>
      </c>
      <c r="N207">
        <f>IFERROR(INDEX(DescMap_Label,MATCH(A207,DescMap_Description,0)),"")</f>
        <v/>
      </c>
    </row>
    <row r="208" ht="15" customHeight="1" s="199">
      <c r="A208">
        <f>IFERROR(TRIM('T12 Input'!B219),)</f>
        <v/>
      </c>
      <c r="B208">
        <f>IFERROR(VALUE('T12 Input'!C219),0)</f>
        <v/>
      </c>
      <c r="C208">
        <f>IFERROR(VALUE('T12 Input'!D219),0)</f>
        <v/>
      </c>
      <c r="D208">
        <f>IFERROR(VALUE('T12 Input'!E219),0)</f>
        <v/>
      </c>
      <c r="E208">
        <f>IFERROR(VALUE('T12 Input'!F219),0)</f>
        <v/>
      </c>
      <c r="F208">
        <f>IFERROR(VALUE('T12 Input'!G219),0)</f>
        <v/>
      </c>
      <c r="G208">
        <f>IFERROR(VALUE('T12 Input'!H219),0)</f>
        <v/>
      </c>
      <c r="H208">
        <f>IFERROR(VALUE('T12 Input'!I219),0)</f>
        <v/>
      </c>
      <c r="I208">
        <f>IFERROR(VALUE('T12 Input'!J219),0)</f>
        <v/>
      </c>
      <c r="J208">
        <f>IFERROR(VALUE('T12 Input'!K219),0)</f>
        <v/>
      </c>
      <c r="K208">
        <f>IFERROR(VALUE('T12 Input'!L219),0)</f>
        <v/>
      </c>
      <c r="L208">
        <f>IFERROR(VALUE('T12 Input'!M219),0)</f>
        <v/>
      </c>
      <c r="M208">
        <f>IFERROR(VALUE('T12 Input'!N219),0)</f>
        <v/>
      </c>
      <c r="N208">
        <f>IFERROR(INDEX(DescMap_Label,MATCH(A208,DescMap_Description,0)),"")</f>
        <v/>
      </c>
    </row>
    <row r="209" ht="15" customHeight="1" s="199">
      <c r="A209">
        <f>IFERROR(TRIM('T12 Input'!B220),)</f>
        <v/>
      </c>
      <c r="B209">
        <f>IFERROR(VALUE('T12 Input'!C220),0)</f>
        <v/>
      </c>
      <c r="C209">
        <f>IFERROR(VALUE('T12 Input'!D220),0)</f>
        <v/>
      </c>
      <c r="D209">
        <f>IFERROR(VALUE('T12 Input'!E220),0)</f>
        <v/>
      </c>
      <c r="E209">
        <f>IFERROR(VALUE('T12 Input'!F220),0)</f>
        <v/>
      </c>
      <c r="F209">
        <f>IFERROR(VALUE('T12 Input'!G220),0)</f>
        <v/>
      </c>
      <c r="G209">
        <f>IFERROR(VALUE('T12 Input'!H220),0)</f>
        <v/>
      </c>
      <c r="H209">
        <f>IFERROR(VALUE('T12 Input'!I220),0)</f>
        <v/>
      </c>
      <c r="I209">
        <f>IFERROR(VALUE('T12 Input'!J220),0)</f>
        <v/>
      </c>
      <c r="J209">
        <f>IFERROR(VALUE('T12 Input'!K220),0)</f>
        <v/>
      </c>
      <c r="K209">
        <f>IFERROR(VALUE('T12 Input'!L220),0)</f>
        <v/>
      </c>
      <c r="L209">
        <f>IFERROR(VALUE('T12 Input'!M220),0)</f>
        <v/>
      </c>
      <c r="M209">
        <f>IFERROR(VALUE('T12 Input'!N220),0)</f>
        <v/>
      </c>
      <c r="N209">
        <f>IFERROR(INDEX(DescMap_Label,MATCH(A209,DescMap_Description,0)),"")</f>
        <v/>
      </c>
    </row>
    <row r="210" ht="15" customHeight="1" s="199">
      <c r="A210">
        <f>IFERROR(TRIM('T12 Input'!B221),)</f>
        <v/>
      </c>
      <c r="B210">
        <f>IFERROR(VALUE('T12 Input'!C221),0)</f>
        <v/>
      </c>
      <c r="C210">
        <f>IFERROR(VALUE('T12 Input'!D221),0)</f>
        <v/>
      </c>
      <c r="D210">
        <f>IFERROR(VALUE('T12 Input'!E221),0)</f>
        <v/>
      </c>
      <c r="E210">
        <f>IFERROR(VALUE('T12 Input'!F221),0)</f>
        <v/>
      </c>
      <c r="F210">
        <f>IFERROR(VALUE('T12 Input'!G221),0)</f>
        <v/>
      </c>
      <c r="G210">
        <f>IFERROR(VALUE('T12 Input'!H221),0)</f>
        <v/>
      </c>
      <c r="H210">
        <f>IFERROR(VALUE('T12 Input'!I221),0)</f>
        <v/>
      </c>
      <c r="I210">
        <f>IFERROR(VALUE('T12 Input'!J221),0)</f>
        <v/>
      </c>
      <c r="J210">
        <f>IFERROR(VALUE('T12 Input'!K221),0)</f>
        <v/>
      </c>
      <c r="K210">
        <f>IFERROR(VALUE('T12 Input'!L221),0)</f>
        <v/>
      </c>
      <c r="L210">
        <f>IFERROR(VALUE('T12 Input'!M221),0)</f>
        <v/>
      </c>
      <c r="M210">
        <f>IFERROR(VALUE('T12 Input'!N221),0)</f>
        <v/>
      </c>
      <c r="N210">
        <f>IFERROR(INDEX(DescMap_Label,MATCH(A210,DescMap_Description,0)),"")</f>
        <v/>
      </c>
    </row>
    <row r="211" ht="15" customHeight="1" s="199">
      <c r="A211">
        <f>IFERROR(TRIM('T12 Input'!B222),)</f>
        <v/>
      </c>
      <c r="B211">
        <f>IFERROR(VALUE('T12 Input'!C222),0)</f>
        <v/>
      </c>
      <c r="C211">
        <f>IFERROR(VALUE('T12 Input'!D222),0)</f>
        <v/>
      </c>
      <c r="D211">
        <f>IFERROR(VALUE('T12 Input'!E222),0)</f>
        <v/>
      </c>
      <c r="E211">
        <f>IFERROR(VALUE('T12 Input'!F222),0)</f>
        <v/>
      </c>
      <c r="F211">
        <f>IFERROR(VALUE('T12 Input'!G222),0)</f>
        <v/>
      </c>
      <c r="G211">
        <f>IFERROR(VALUE('T12 Input'!H222),0)</f>
        <v/>
      </c>
      <c r="H211">
        <f>IFERROR(VALUE('T12 Input'!I222),0)</f>
        <v/>
      </c>
      <c r="I211">
        <f>IFERROR(VALUE('T12 Input'!J222),0)</f>
        <v/>
      </c>
      <c r="J211">
        <f>IFERROR(VALUE('T12 Input'!K222),0)</f>
        <v/>
      </c>
      <c r="K211">
        <f>IFERROR(VALUE('T12 Input'!L222),0)</f>
        <v/>
      </c>
      <c r="L211">
        <f>IFERROR(VALUE('T12 Input'!M222),0)</f>
        <v/>
      </c>
      <c r="M211">
        <f>IFERROR(VALUE('T12 Input'!N222),0)</f>
        <v/>
      </c>
      <c r="N211">
        <f>IFERROR(INDEX(DescMap_Label,MATCH(A211,DescMap_Description,0)),"")</f>
        <v/>
      </c>
    </row>
    <row r="212" ht="15" customHeight="1" s="199">
      <c r="A212">
        <f>IFERROR(TRIM('T12 Input'!B223),)</f>
        <v/>
      </c>
      <c r="B212">
        <f>IFERROR(VALUE('T12 Input'!C223),0)</f>
        <v/>
      </c>
      <c r="C212">
        <f>IFERROR(VALUE('T12 Input'!D223),0)</f>
        <v/>
      </c>
      <c r="D212">
        <f>IFERROR(VALUE('T12 Input'!E223),0)</f>
        <v/>
      </c>
      <c r="E212">
        <f>IFERROR(VALUE('T12 Input'!F223),0)</f>
        <v/>
      </c>
      <c r="F212">
        <f>IFERROR(VALUE('T12 Input'!G223),0)</f>
        <v/>
      </c>
      <c r="G212">
        <f>IFERROR(VALUE('T12 Input'!H223),0)</f>
        <v/>
      </c>
      <c r="H212">
        <f>IFERROR(VALUE('T12 Input'!I223),0)</f>
        <v/>
      </c>
      <c r="I212">
        <f>IFERROR(VALUE('T12 Input'!J223),0)</f>
        <v/>
      </c>
      <c r="J212">
        <f>IFERROR(VALUE('T12 Input'!K223),0)</f>
        <v/>
      </c>
      <c r="K212">
        <f>IFERROR(VALUE('T12 Input'!L223),0)</f>
        <v/>
      </c>
      <c r="L212">
        <f>IFERROR(VALUE('T12 Input'!M223),0)</f>
        <v/>
      </c>
      <c r="M212">
        <f>IFERROR(VALUE('T12 Input'!N223),0)</f>
        <v/>
      </c>
      <c r="N212">
        <f>IFERROR(INDEX(DescMap_Label,MATCH(A212,DescMap_Description,0)),"")</f>
        <v/>
      </c>
    </row>
    <row r="213" ht="15" customHeight="1" s="199">
      <c r="A213">
        <f>IFERROR(TRIM('T12 Input'!B224),)</f>
        <v/>
      </c>
      <c r="B213">
        <f>IFERROR(VALUE('T12 Input'!C224),0)</f>
        <v/>
      </c>
      <c r="C213">
        <f>IFERROR(VALUE('T12 Input'!D224),0)</f>
        <v/>
      </c>
      <c r="D213">
        <f>IFERROR(VALUE('T12 Input'!E224),0)</f>
        <v/>
      </c>
      <c r="E213">
        <f>IFERROR(VALUE('T12 Input'!F224),0)</f>
        <v/>
      </c>
      <c r="F213">
        <f>IFERROR(VALUE('T12 Input'!G224),0)</f>
        <v/>
      </c>
      <c r="G213">
        <f>IFERROR(VALUE('T12 Input'!H224),0)</f>
        <v/>
      </c>
      <c r="H213">
        <f>IFERROR(VALUE('T12 Input'!I224),0)</f>
        <v/>
      </c>
      <c r="I213">
        <f>IFERROR(VALUE('T12 Input'!J224),0)</f>
        <v/>
      </c>
      <c r="J213">
        <f>IFERROR(VALUE('T12 Input'!K224),0)</f>
        <v/>
      </c>
      <c r="K213">
        <f>IFERROR(VALUE('T12 Input'!L224),0)</f>
        <v/>
      </c>
      <c r="L213">
        <f>IFERROR(VALUE('T12 Input'!M224),0)</f>
        <v/>
      </c>
      <c r="M213">
        <f>IFERROR(VALUE('T12 Input'!N224),0)</f>
        <v/>
      </c>
      <c r="N213">
        <f>IFERROR(INDEX(DescMap_Label,MATCH(A213,DescMap_Description,0)),"")</f>
        <v/>
      </c>
    </row>
    <row r="214" ht="15" customHeight="1" s="199">
      <c r="A214">
        <f>IFERROR(TRIM('T12 Input'!B225),)</f>
        <v/>
      </c>
      <c r="B214">
        <f>IFERROR(VALUE('T12 Input'!C225),0)</f>
        <v/>
      </c>
      <c r="C214">
        <f>IFERROR(VALUE('T12 Input'!D225),0)</f>
        <v/>
      </c>
      <c r="D214">
        <f>IFERROR(VALUE('T12 Input'!E225),0)</f>
        <v/>
      </c>
      <c r="E214">
        <f>IFERROR(VALUE('T12 Input'!F225),0)</f>
        <v/>
      </c>
      <c r="F214">
        <f>IFERROR(VALUE('T12 Input'!G225),0)</f>
        <v/>
      </c>
      <c r="G214">
        <f>IFERROR(VALUE('T12 Input'!H225),0)</f>
        <v/>
      </c>
      <c r="H214">
        <f>IFERROR(VALUE('T12 Input'!I225),0)</f>
        <v/>
      </c>
      <c r="I214">
        <f>IFERROR(VALUE('T12 Input'!J225),0)</f>
        <v/>
      </c>
      <c r="J214">
        <f>IFERROR(VALUE('T12 Input'!K225),0)</f>
        <v/>
      </c>
      <c r="K214">
        <f>IFERROR(VALUE('T12 Input'!L225),0)</f>
        <v/>
      </c>
      <c r="L214">
        <f>IFERROR(VALUE('T12 Input'!M225),0)</f>
        <v/>
      </c>
      <c r="M214">
        <f>IFERROR(VALUE('T12 Input'!N225),0)</f>
        <v/>
      </c>
      <c r="N214">
        <f>IFERROR(INDEX(DescMap_Label,MATCH(A214,DescMap_Description,0)),"")</f>
        <v/>
      </c>
    </row>
    <row r="215" ht="15" customHeight="1" s="199">
      <c r="A215">
        <f>IFERROR(TRIM('T12 Input'!B226),)</f>
        <v/>
      </c>
      <c r="B215">
        <f>IFERROR(VALUE('T12 Input'!C226),0)</f>
        <v/>
      </c>
      <c r="C215">
        <f>IFERROR(VALUE('T12 Input'!D226),0)</f>
        <v/>
      </c>
      <c r="D215">
        <f>IFERROR(VALUE('T12 Input'!E226),0)</f>
        <v/>
      </c>
      <c r="E215">
        <f>IFERROR(VALUE('T12 Input'!F226),0)</f>
        <v/>
      </c>
      <c r="F215">
        <f>IFERROR(VALUE('T12 Input'!G226),0)</f>
        <v/>
      </c>
      <c r="G215">
        <f>IFERROR(VALUE('T12 Input'!H226),0)</f>
        <v/>
      </c>
      <c r="H215">
        <f>IFERROR(VALUE('T12 Input'!I226),0)</f>
        <v/>
      </c>
      <c r="I215">
        <f>IFERROR(VALUE('T12 Input'!J226),0)</f>
        <v/>
      </c>
      <c r="J215">
        <f>IFERROR(VALUE('T12 Input'!K226),0)</f>
        <v/>
      </c>
      <c r="K215">
        <f>IFERROR(VALUE('T12 Input'!L226),0)</f>
        <v/>
      </c>
      <c r="L215">
        <f>IFERROR(VALUE('T12 Input'!M226),0)</f>
        <v/>
      </c>
      <c r="M215">
        <f>IFERROR(VALUE('T12 Input'!N226),0)</f>
        <v/>
      </c>
      <c r="N215">
        <f>IFERROR(INDEX(DescMap_Label,MATCH(A215,DescMap_Description,0)),"")</f>
        <v/>
      </c>
    </row>
    <row r="216" ht="15" customHeight="1" s="199">
      <c r="A216">
        <f>IFERROR(TRIM('T12 Input'!B227),)</f>
        <v/>
      </c>
      <c r="B216">
        <f>IFERROR(VALUE('T12 Input'!C227),0)</f>
        <v/>
      </c>
      <c r="C216">
        <f>IFERROR(VALUE('T12 Input'!D227),0)</f>
        <v/>
      </c>
      <c r="D216">
        <f>IFERROR(VALUE('T12 Input'!E227),0)</f>
        <v/>
      </c>
      <c r="E216">
        <f>IFERROR(VALUE('T12 Input'!F227),0)</f>
        <v/>
      </c>
      <c r="F216">
        <f>IFERROR(VALUE('T12 Input'!G227),0)</f>
        <v/>
      </c>
      <c r="G216">
        <f>IFERROR(VALUE('T12 Input'!H227),0)</f>
        <v/>
      </c>
      <c r="H216">
        <f>IFERROR(VALUE('T12 Input'!I227),0)</f>
        <v/>
      </c>
      <c r="I216">
        <f>IFERROR(VALUE('T12 Input'!J227),0)</f>
        <v/>
      </c>
      <c r="J216">
        <f>IFERROR(VALUE('T12 Input'!K227),0)</f>
        <v/>
      </c>
      <c r="K216">
        <f>IFERROR(VALUE('T12 Input'!L227),0)</f>
        <v/>
      </c>
      <c r="L216">
        <f>IFERROR(VALUE('T12 Input'!M227),0)</f>
        <v/>
      </c>
      <c r="M216">
        <f>IFERROR(VALUE('T12 Input'!N227),0)</f>
        <v/>
      </c>
      <c r="N216">
        <f>IFERROR(INDEX(DescMap_Label,MATCH(A216,DescMap_Description,0)),"")</f>
        <v/>
      </c>
    </row>
    <row r="217" ht="15" customHeight="1" s="199">
      <c r="A217">
        <f>IFERROR(TRIM('T12 Input'!B228),)</f>
        <v/>
      </c>
      <c r="B217">
        <f>IFERROR(VALUE('T12 Input'!C228),0)</f>
        <v/>
      </c>
      <c r="C217">
        <f>IFERROR(VALUE('T12 Input'!D228),0)</f>
        <v/>
      </c>
      <c r="D217">
        <f>IFERROR(VALUE('T12 Input'!E228),0)</f>
        <v/>
      </c>
      <c r="E217">
        <f>IFERROR(VALUE('T12 Input'!F228),0)</f>
        <v/>
      </c>
      <c r="F217">
        <f>IFERROR(VALUE('T12 Input'!G228),0)</f>
        <v/>
      </c>
      <c r="G217">
        <f>IFERROR(VALUE('T12 Input'!H228),0)</f>
        <v/>
      </c>
      <c r="H217">
        <f>IFERROR(VALUE('T12 Input'!I228),0)</f>
        <v/>
      </c>
      <c r="I217">
        <f>IFERROR(VALUE('T12 Input'!J228),0)</f>
        <v/>
      </c>
      <c r="J217">
        <f>IFERROR(VALUE('T12 Input'!K228),0)</f>
        <v/>
      </c>
      <c r="K217">
        <f>IFERROR(VALUE('T12 Input'!L228),0)</f>
        <v/>
      </c>
      <c r="L217">
        <f>IFERROR(VALUE('T12 Input'!M228),0)</f>
        <v/>
      </c>
      <c r="M217">
        <f>IFERROR(VALUE('T12 Input'!N228),0)</f>
        <v/>
      </c>
      <c r="N217">
        <f>IFERROR(INDEX(DescMap_Label,MATCH(A217,DescMap_Description,0)),"")</f>
        <v/>
      </c>
    </row>
    <row r="218" ht="15" customHeight="1" s="199">
      <c r="A218">
        <f>IFERROR(TRIM('T12 Input'!B229),)</f>
        <v/>
      </c>
      <c r="B218">
        <f>IFERROR(VALUE('T12 Input'!C229),0)</f>
        <v/>
      </c>
      <c r="C218">
        <f>IFERROR(VALUE('T12 Input'!D229),0)</f>
        <v/>
      </c>
      <c r="D218">
        <f>IFERROR(VALUE('T12 Input'!E229),0)</f>
        <v/>
      </c>
      <c r="E218">
        <f>IFERROR(VALUE('T12 Input'!F229),0)</f>
        <v/>
      </c>
      <c r="F218">
        <f>IFERROR(VALUE('T12 Input'!G229),0)</f>
        <v/>
      </c>
      <c r="G218">
        <f>IFERROR(VALUE('T12 Input'!H229),0)</f>
        <v/>
      </c>
      <c r="H218">
        <f>IFERROR(VALUE('T12 Input'!I229),0)</f>
        <v/>
      </c>
      <c r="I218">
        <f>IFERROR(VALUE('T12 Input'!J229),0)</f>
        <v/>
      </c>
      <c r="J218">
        <f>IFERROR(VALUE('T12 Input'!K229),0)</f>
        <v/>
      </c>
      <c r="K218">
        <f>IFERROR(VALUE('T12 Input'!L229),0)</f>
        <v/>
      </c>
      <c r="L218">
        <f>IFERROR(VALUE('T12 Input'!M229),0)</f>
        <v/>
      </c>
      <c r="M218">
        <f>IFERROR(VALUE('T12 Input'!N229),0)</f>
        <v/>
      </c>
      <c r="N218">
        <f>IFERROR(INDEX(DescMap_Label,MATCH(A218,DescMap_Description,0)),"")</f>
        <v/>
      </c>
    </row>
    <row r="219" ht="15" customHeight="1" s="199">
      <c r="A219">
        <f>IFERROR(TRIM('T12 Input'!B230),)</f>
        <v/>
      </c>
      <c r="B219">
        <f>IFERROR(VALUE('T12 Input'!C230),0)</f>
        <v/>
      </c>
      <c r="C219">
        <f>IFERROR(VALUE('T12 Input'!D230),0)</f>
        <v/>
      </c>
      <c r="D219">
        <f>IFERROR(VALUE('T12 Input'!E230),0)</f>
        <v/>
      </c>
      <c r="E219">
        <f>IFERROR(VALUE('T12 Input'!F230),0)</f>
        <v/>
      </c>
      <c r="F219">
        <f>IFERROR(VALUE('T12 Input'!G230),0)</f>
        <v/>
      </c>
      <c r="G219">
        <f>IFERROR(VALUE('T12 Input'!H230),0)</f>
        <v/>
      </c>
      <c r="H219">
        <f>IFERROR(VALUE('T12 Input'!I230),0)</f>
        <v/>
      </c>
      <c r="I219">
        <f>IFERROR(VALUE('T12 Input'!J230),0)</f>
        <v/>
      </c>
      <c r="J219">
        <f>IFERROR(VALUE('T12 Input'!K230),0)</f>
        <v/>
      </c>
      <c r="K219">
        <f>IFERROR(VALUE('T12 Input'!L230),0)</f>
        <v/>
      </c>
      <c r="L219">
        <f>IFERROR(VALUE('T12 Input'!M230),0)</f>
        <v/>
      </c>
      <c r="M219">
        <f>IFERROR(VALUE('T12 Input'!N230),0)</f>
        <v/>
      </c>
      <c r="N219">
        <f>IFERROR(INDEX(DescMap_Label,MATCH(A219,DescMap_Description,0)),"")</f>
        <v/>
      </c>
    </row>
    <row r="220" ht="15" customHeight="1" s="199">
      <c r="A220">
        <f>IFERROR(TRIM('T12 Input'!B231),)</f>
        <v/>
      </c>
      <c r="B220">
        <f>IFERROR(VALUE('T12 Input'!C231),0)</f>
        <v/>
      </c>
      <c r="C220">
        <f>IFERROR(VALUE('T12 Input'!D231),0)</f>
        <v/>
      </c>
      <c r="D220">
        <f>IFERROR(VALUE('T12 Input'!E231),0)</f>
        <v/>
      </c>
      <c r="E220">
        <f>IFERROR(VALUE('T12 Input'!F231),0)</f>
        <v/>
      </c>
      <c r="F220">
        <f>IFERROR(VALUE('T12 Input'!G231),0)</f>
        <v/>
      </c>
      <c r="G220">
        <f>IFERROR(VALUE('T12 Input'!H231),0)</f>
        <v/>
      </c>
      <c r="H220">
        <f>IFERROR(VALUE('T12 Input'!I231),0)</f>
        <v/>
      </c>
      <c r="I220">
        <f>IFERROR(VALUE('T12 Input'!J231),0)</f>
        <v/>
      </c>
      <c r="J220">
        <f>IFERROR(VALUE('T12 Input'!K231),0)</f>
        <v/>
      </c>
      <c r="K220">
        <f>IFERROR(VALUE('T12 Input'!L231),0)</f>
        <v/>
      </c>
      <c r="L220">
        <f>IFERROR(VALUE('T12 Input'!M231),0)</f>
        <v/>
      </c>
      <c r="M220">
        <f>IFERROR(VALUE('T12 Input'!N231),0)</f>
        <v/>
      </c>
      <c r="N220">
        <f>IFERROR(INDEX(DescMap_Label,MATCH(A220,DescMap_Description,0)),"")</f>
        <v/>
      </c>
    </row>
    <row r="221" ht="15" customHeight="1" s="199">
      <c r="A221">
        <f>IFERROR(TRIM('T12 Input'!B232),)</f>
        <v/>
      </c>
      <c r="B221">
        <f>IFERROR(VALUE('T12 Input'!C232),0)</f>
        <v/>
      </c>
      <c r="C221">
        <f>IFERROR(VALUE('T12 Input'!D232),0)</f>
        <v/>
      </c>
      <c r="D221">
        <f>IFERROR(VALUE('T12 Input'!E232),0)</f>
        <v/>
      </c>
      <c r="E221">
        <f>IFERROR(VALUE('T12 Input'!F232),0)</f>
        <v/>
      </c>
      <c r="F221">
        <f>IFERROR(VALUE('T12 Input'!G232),0)</f>
        <v/>
      </c>
      <c r="G221">
        <f>IFERROR(VALUE('T12 Input'!H232),0)</f>
        <v/>
      </c>
      <c r="H221">
        <f>IFERROR(VALUE('T12 Input'!I232),0)</f>
        <v/>
      </c>
      <c r="I221">
        <f>IFERROR(VALUE('T12 Input'!J232),0)</f>
        <v/>
      </c>
      <c r="J221">
        <f>IFERROR(VALUE('T12 Input'!K232),0)</f>
        <v/>
      </c>
      <c r="K221">
        <f>IFERROR(VALUE('T12 Input'!L232),0)</f>
        <v/>
      </c>
      <c r="L221">
        <f>IFERROR(VALUE('T12 Input'!M232),0)</f>
        <v/>
      </c>
      <c r="M221">
        <f>IFERROR(VALUE('T12 Input'!N232),0)</f>
        <v/>
      </c>
      <c r="N221">
        <f>IFERROR(INDEX(DescMap_Label,MATCH(A221,DescMap_Description,0)),"")</f>
        <v/>
      </c>
    </row>
    <row r="222" ht="15" customHeight="1" s="199">
      <c r="A222">
        <f>IFERROR(TRIM('T12 Input'!B233),)</f>
        <v/>
      </c>
      <c r="B222">
        <f>IFERROR(VALUE('T12 Input'!C233),0)</f>
        <v/>
      </c>
      <c r="C222">
        <f>IFERROR(VALUE('T12 Input'!D233),0)</f>
        <v/>
      </c>
      <c r="D222">
        <f>IFERROR(VALUE('T12 Input'!E233),0)</f>
        <v/>
      </c>
      <c r="E222">
        <f>IFERROR(VALUE('T12 Input'!F233),0)</f>
        <v/>
      </c>
      <c r="F222">
        <f>IFERROR(VALUE('T12 Input'!G233),0)</f>
        <v/>
      </c>
      <c r="G222">
        <f>IFERROR(VALUE('T12 Input'!H233),0)</f>
        <v/>
      </c>
      <c r="H222">
        <f>IFERROR(VALUE('T12 Input'!I233),0)</f>
        <v/>
      </c>
      <c r="I222">
        <f>IFERROR(VALUE('T12 Input'!J233),0)</f>
        <v/>
      </c>
      <c r="J222">
        <f>IFERROR(VALUE('T12 Input'!K233),0)</f>
        <v/>
      </c>
      <c r="K222">
        <f>IFERROR(VALUE('T12 Input'!L233),0)</f>
        <v/>
      </c>
      <c r="L222">
        <f>IFERROR(VALUE('T12 Input'!M233),0)</f>
        <v/>
      </c>
      <c r="M222">
        <f>IFERROR(VALUE('T12 Input'!N233),0)</f>
        <v/>
      </c>
      <c r="N222">
        <f>IFERROR(INDEX(DescMap_Label,MATCH(A222,DescMap_Description,0)),"")</f>
        <v/>
      </c>
    </row>
    <row r="223" ht="15" customHeight="1" s="199">
      <c r="A223">
        <f>IFERROR(TRIM('T12 Input'!B234),)</f>
        <v/>
      </c>
      <c r="B223">
        <f>IFERROR(VALUE('T12 Input'!C234),0)</f>
        <v/>
      </c>
      <c r="C223">
        <f>IFERROR(VALUE('T12 Input'!D234),0)</f>
        <v/>
      </c>
      <c r="D223">
        <f>IFERROR(VALUE('T12 Input'!E234),0)</f>
        <v/>
      </c>
      <c r="E223">
        <f>IFERROR(VALUE('T12 Input'!F234),0)</f>
        <v/>
      </c>
      <c r="F223">
        <f>IFERROR(VALUE('T12 Input'!G234),0)</f>
        <v/>
      </c>
      <c r="G223">
        <f>IFERROR(VALUE('T12 Input'!H234),0)</f>
        <v/>
      </c>
      <c r="H223">
        <f>IFERROR(VALUE('T12 Input'!I234),0)</f>
        <v/>
      </c>
      <c r="I223">
        <f>IFERROR(VALUE('T12 Input'!J234),0)</f>
        <v/>
      </c>
      <c r="J223">
        <f>IFERROR(VALUE('T12 Input'!K234),0)</f>
        <v/>
      </c>
      <c r="K223">
        <f>IFERROR(VALUE('T12 Input'!L234),0)</f>
        <v/>
      </c>
      <c r="L223">
        <f>IFERROR(VALUE('T12 Input'!M234),0)</f>
        <v/>
      </c>
      <c r="M223">
        <f>IFERROR(VALUE('T12 Input'!N234),0)</f>
        <v/>
      </c>
      <c r="N223">
        <f>IFERROR(INDEX(DescMap_Label,MATCH(A223,DescMap_Description,0)),"")</f>
        <v/>
      </c>
    </row>
    <row r="224" ht="15" customHeight="1" s="199">
      <c r="A224">
        <f>IFERROR(TRIM('T12 Input'!B235),)</f>
        <v/>
      </c>
      <c r="B224">
        <f>IFERROR(VALUE('T12 Input'!C235),0)</f>
        <v/>
      </c>
      <c r="C224">
        <f>IFERROR(VALUE('T12 Input'!D235),0)</f>
        <v/>
      </c>
      <c r="D224">
        <f>IFERROR(VALUE('T12 Input'!E235),0)</f>
        <v/>
      </c>
      <c r="E224">
        <f>IFERROR(VALUE('T12 Input'!F235),0)</f>
        <v/>
      </c>
      <c r="F224">
        <f>IFERROR(VALUE('T12 Input'!G235),0)</f>
        <v/>
      </c>
      <c r="G224">
        <f>IFERROR(VALUE('T12 Input'!H235),0)</f>
        <v/>
      </c>
      <c r="H224">
        <f>IFERROR(VALUE('T12 Input'!I235),0)</f>
        <v/>
      </c>
      <c r="I224">
        <f>IFERROR(VALUE('T12 Input'!J235),0)</f>
        <v/>
      </c>
      <c r="J224">
        <f>IFERROR(VALUE('T12 Input'!K235),0)</f>
        <v/>
      </c>
      <c r="K224">
        <f>IFERROR(VALUE('T12 Input'!L235),0)</f>
        <v/>
      </c>
      <c r="L224">
        <f>IFERROR(VALUE('T12 Input'!M235),0)</f>
        <v/>
      </c>
      <c r="M224">
        <f>IFERROR(VALUE('T12 Input'!N235),0)</f>
        <v/>
      </c>
      <c r="N224">
        <f>IFERROR(INDEX(DescMap_Label,MATCH(A224,DescMap_Description,0)),"")</f>
        <v/>
      </c>
    </row>
    <row r="225" ht="15" customHeight="1" s="199">
      <c r="A225">
        <f>IFERROR(TRIM('T12 Input'!B236),)</f>
        <v/>
      </c>
      <c r="B225">
        <f>IFERROR(VALUE('T12 Input'!C236),0)</f>
        <v/>
      </c>
      <c r="C225">
        <f>IFERROR(VALUE('T12 Input'!D236),0)</f>
        <v/>
      </c>
      <c r="D225">
        <f>IFERROR(VALUE('T12 Input'!E236),0)</f>
        <v/>
      </c>
      <c r="E225">
        <f>IFERROR(VALUE('T12 Input'!F236),0)</f>
        <v/>
      </c>
      <c r="F225">
        <f>IFERROR(VALUE('T12 Input'!G236),0)</f>
        <v/>
      </c>
      <c r="G225">
        <f>IFERROR(VALUE('T12 Input'!H236),0)</f>
        <v/>
      </c>
      <c r="H225">
        <f>IFERROR(VALUE('T12 Input'!I236),0)</f>
        <v/>
      </c>
      <c r="I225">
        <f>IFERROR(VALUE('T12 Input'!J236),0)</f>
        <v/>
      </c>
      <c r="J225">
        <f>IFERROR(VALUE('T12 Input'!K236),0)</f>
        <v/>
      </c>
      <c r="K225">
        <f>IFERROR(VALUE('T12 Input'!L236),0)</f>
        <v/>
      </c>
      <c r="L225">
        <f>IFERROR(VALUE('T12 Input'!M236),0)</f>
        <v/>
      </c>
      <c r="M225">
        <f>IFERROR(VALUE('T12 Input'!N236),0)</f>
        <v/>
      </c>
      <c r="N225">
        <f>IFERROR(INDEX(DescMap_Label,MATCH(A225,DescMap_Description,0)),"")</f>
        <v/>
      </c>
    </row>
    <row r="226" ht="15" customHeight="1" s="199">
      <c r="A226">
        <f>IFERROR(TRIM('T12 Input'!B237),)</f>
        <v/>
      </c>
      <c r="B226">
        <f>IFERROR(VALUE('T12 Input'!C237),0)</f>
        <v/>
      </c>
      <c r="C226">
        <f>IFERROR(VALUE('T12 Input'!D237),0)</f>
        <v/>
      </c>
      <c r="D226">
        <f>IFERROR(VALUE('T12 Input'!E237),0)</f>
        <v/>
      </c>
      <c r="E226">
        <f>IFERROR(VALUE('T12 Input'!F237),0)</f>
        <v/>
      </c>
      <c r="F226">
        <f>IFERROR(VALUE('T12 Input'!G237),0)</f>
        <v/>
      </c>
      <c r="G226">
        <f>IFERROR(VALUE('T12 Input'!H237),0)</f>
        <v/>
      </c>
      <c r="H226">
        <f>IFERROR(VALUE('T12 Input'!I237),0)</f>
        <v/>
      </c>
      <c r="I226">
        <f>IFERROR(VALUE('T12 Input'!J237),0)</f>
        <v/>
      </c>
      <c r="J226">
        <f>IFERROR(VALUE('T12 Input'!K237),0)</f>
        <v/>
      </c>
      <c r="K226">
        <f>IFERROR(VALUE('T12 Input'!L237),0)</f>
        <v/>
      </c>
      <c r="L226">
        <f>IFERROR(VALUE('T12 Input'!M237),0)</f>
        <v/>
      </c>
      <c r="M226">
        <f>IFERROR(VALUE('T12 Input'!N237),0)</f>
        <v/>
      </c>
      <c r="N226">
        <f>IFERROR(INDEX(DescMap_Label,MATCH(A226,DescMap_Description,0)),"")</f>
        <v/>
      </c>
    </row>
    <row r="227" ht="15" customHeight="1" s="199">
      <c r="A227">
        <f>IFERROR(TRIM('T12 Input'!B238),)</f>
        <v/>
      </c>
      <c r="B227">
        <f>IFERROR(VALUE('T12 Input'!C238),0)</f>
        <v/>
      </c>
      <c r="C227">
        <f>IFERROR(VALUE('T12 Input'!D238),0)</f>
        <v/>
      </c>
      <c r="D227">
        <f>IFERROR(VALUE('T12 Input'!E238),0)</f>
        <v/>
      </c>
      <c r="E227">
        <f>IFERROR(VALUE('T12 Input'!F238),0)</f>
        <v/>
      </c>
      <c r="F227">
        <f>IFERROR(VALUE('T12 Input'!G238),0)</f>
        <v/>
      </c>
      <c r="G227">
        <f>IFERROR(VALUE('T12 Input'!H238),0)</f>
        <v/>
      </c>
      <c r="H227">
        <f>IFERROR(VALUE('T12 Input'!I238),0)</f>
        <v/>
      </c>
      <c r="I227">
        <f>IFERROR(VALUE('T12 Input'!J238),0)</f>
        <v/>
      </c>
      <c r="J227">
        <f>IFERROR(VALUE('T12 Input'!K238),0)</f>
        <v/>
      </c>
      <c r="K227">
        <f>IFERROR(VALUE('T12 Input'!L238),0)</f>
        <v/>
      </c>
      <c r="L227">
        <f>IFERROR(VALUE('T12 Input'!M238),0)</f>
        <v/>
      </c>
      <c r="M227">
        <f>IFERROR(VALUE('T12 Input'!N238),0)</f>
        <v/>
      </c>
      <c r="N227">
        <f>IFERROR(INDEX(DescMap_Label,MATCH(A227,DescMap_Description,0)),"")</f>
        <v/>
      </c>
    </row>
    <row r="228" ht="15" customHeight="1" s="199">
      <c r="A228">
        <f>IFERROR(TRIM('T12 Input'!B239),)</f>
        <v/>
      </c>
      <c r="B228">
        <f>IFERROR(VALUE('T12 Input'!C239),0)</f>
        <v/>
      </c>
      <c r="C228">
        <f>IFERROR(VALUE('T12 Input'!D239),0)</f>
        <v/>
      </c>
      <c r="D228">
        <f>IFERROR(VALUE('T12 Input'!E239),0)</f>
        <v/>
      </c>
      <c r="E228">
        <f>IFERROR(VALUE('T12 Input'!F239),0)</f>
        <v/>
      </c>
      <c r="F228">
        <f>IFERROR(VALUE('T12 Input'!G239),0)</f>
        <v/>
      </c>
      <c r="G228">
        <f>IFERROR(VALUE('T12 Input'!H239),0)</f>
        <v/>
      </c>
      <c r="H228">
        <f>IFERROR(VALUE('T12 Input'!I239),0)</f>
        <v/>
      </c>
      <c r="I228">
        <f>IFERROR(VALUE('T12 Input'!J239),0)</f>
        <v/>
      </c>
      <c r="J228">
        <f>IFERROR(VALUE('T12 Input'!K239),0)</f>
        <v/>
      </c>
      <c r="K228">
        <f>IFERROR(VALUE('T12 Input'!L239),0)</f>
        <v/>
      </c>
      <c r="L228">
        <f>IFERROR(VALUE('T12 Input'!M239),0)</f>
        <v/>
      </c>
      <c r="M228">
        <f>IFERROR(VALUE('T12 Input'!N239),0)</f>
        <v/>
      </c>
      <c r="N228">
        <f>IFERROR(INDEX(DescMap_Label,MATCH(A228,DescMap_Description,0)),"")</f>
        <v/>
      </c>
    </row>
    <row r="229" ht="15" customHeight="1" s="199">
      <c r="A229">
        <f>IFERROR(TRIM('T12 Input'!B240),)</f>
        <v/>
      </c>
      <c r="B229">
        <f>IFERROR(VALUE('T12 Input'!C240),0)</f>
        <v/>
      </c>
      <c r="C229">
        <f>IFERROR(VALUE('T12 Input'!D240),0)</f>
        <v/>
      </c>
      <c r="D229">
        <f>IFERROR(VALUE('T12 Input'!E240),0)</f>
        <v/>
      </c>
      <c r="E229">
        <f>IFERROR(VALUE('T12 Input'!F240),0)</f>
        <v/>
      </c>
      <c r="F229">
        <f>IFERROR(VALUE('T12 Input'!G240),0)</f>
        <v/>
      </c>
      <c r="G229">
        <f>IFERROR(VALUE('T12 Input'!H240),0)</f>
        <v/>
      </c>
      <c r="H229">
        <f>IFERROR(VALUE('T12 Input'!I240),0)</f>
        <v/>
      </c>
      <c r="I229">
        <f>IFERROR(VALUE('T12 Input'!J240),0)</f>
        <v/>
      </c>
      <c r="J229">
        <f>IFERROR(VALUE('T12 Input'!K240),0)</f>
        <v/>
      </c>
      <c r="K229">
        <f>IFERROR(VALUE('T12 Input'!L240),0)</f>
        <v/>
      </c>
      <c r="L229">
        <f>IFERROR(VALUE('T12 Input'!M240),0)</f>
        <v/>
      </c>
      <c r="M229">
        <f>IFERROR(VALUE('T12 Input'!N240),0)</f>
        <v/>
      </c>
      <c r="N229">
        <f>IFERROR(INDEX(DescMap_Label,MATCH(A229,DescMap_Description,0)),"")</f>
        <v/>
      </c>
    </row>
    <row r="230" ht="15" customHeight="1" s="199">
      <c r="A230">
        <f>IFERROR(TRIM('T12 Input'!B241),)</f>
        <v/>
      </c>
      <c r="B230">
        <f>IFERROR(VALUE('T12 Input'!C241),0)</f>
        <v/>
      </c>
      <c r="C230">
        <f>IFERROR(VALUE('T12 Input'!D241),0)</f>
        <v/>
      </c>
      <c r="D230">
        <f>IFERROR(VALUE('T12 Input'!E241),0)</f>
        <v/>
      </c>
      <c r="E230">
        <f>IFERROR(VALUE('T12 Input'!F241),0)</f>
        <v/>
      </c>
      <c r="F230">
        <f>IFERROR(VALUE('T12 Input'!G241),0)</f>
        <v/>
      </c>
      <c r="G230">
        <f>IFERROR(VALUE('T12 Input'!H241),0)</f>
        <v/>
      </c>
      <c r="H230">
        <f>IFERROR(VALUE('T12 Input'!I241),0)</f>
        <v/>
      </c>
      <c r="I230">
        <f>IFERROR(VALUE('T12 Input'!J241),0)</f>
        <v/>
      </c>
      <c r="J230">
        <f>IFERROR(VALUE('T12 Input'!K241),0)</f>
        <v/>
      </c>
      <c r="K230">
        <f>IFERROR(VALUE('T12 Input'!L241),0)</f>
        <v/>
      </c>
      <c r="L230">
        <f>IFERROR(VALUE('T12 Input'!M241),0)</f>
        <v/>
      </c>
      <c r="M230">
        <f>IFERROR(VALUE('T12 Input'!N241),0)</f>
        <v/>
      </c>
      <c r="N230">
        <f>IFERROR(INDEX(DescMap_Label,MATCH(A230,DescMap_Description,0)),"")</f>
        <v/>
      </c>
    </row>
    <row r="231" ht="15" customHeight="1" s="199">
      <c r="A231">
        <f>IFERROR(TRIM('T12 Input'!B242),)</f>
        <v/>
      </c>
      <c r="B231">
        <f>IFERROR(VALUE('T12 Input'!C242),0)</f>
        <v/>
      </c>
      <c r="C231">
        <f>IFERROR(VALUE('T12 Input'!D242),0)</f>
        <v/>
      </c>
      <c r="D231">
        <f>IFERROR(VALUE('T12 Input'!E242),0)</f>
        <v/>
      </c>
      <c r="E231">
        <f>IFERROR(VALUE('T12 Input'!F242),0)</f>
        <v/>
      </c>
      <c r="F231">
        <f>IFERROR(VALUE('T12 Input'!G242),0)</f>
        <v/>
      </c>
      <c r="G231">
        <f>IFERROR(VALUE('T12 Input'!H242),0)</f>
        <v/>
      </c>
      <c r="H231">
        <f>IFERROR(VALUE('T12 Input'!I242),0)</f>
        <v/>
      </c>
      <c r="I231">
        <f>IFERROR(VALUE('T12 Input'!J242),0)</f>
        <v/>
      </c>
      <c r="J231">
        <f>IFERROR(VALUE('T12 Input'!K242),0)</f>
        <v/>
      </c>
      <c r="K231">
        <f>IFERROR(VALUE('T12 Input'!L242),0)</f>
        <v/>
      </c>
      <c r="L231">
        <f>IFERROR(VALUE('T12 Input'!M242),0)</f>
        <v/>
      </c>
      <c r="M231">
        <f>IFERROR(VALUE('T12 Input'!N242),0)</f>
        <v/>
      </c>
      <c r="N231">
        <f>IFERROR(INDEX(DescMap_Label,MATCH(A231,DescMap_Description,0)),"")</f>
        <v/>
      </c>
    </row>
    <row r="232" ht="15" customHeight="1" s="199">
      <c r="A232">
        <f>IFERROR(TRIM('T12 Input'!B243),)</f>
        <v/>
      </c>
      <c r="B232">
        <f>IFERROR(VALUE('T12 Input'!C243),0)</f>
        <v/>
      </c>
      <c r="C232">
        <f>IFERROR(VALUE('T12 Input'!D243),0)</f>
        <v/>
      </c>
      <c r="D232">
        <f>IFERROR(VALUE('T12 Input'!E243),0)</f>
        <v/>
      </c>
      <c r="E232">
        <f>IFERROR(VALUE('T12 Input'!F243),0)</f>
        <v/>
      </c>
      <c r="F232">
        <f>IFERROR(VALUE('T12 Input'!G243),0)</f>
        <v/>
      </c>
      <c r="G232">
        <f>IFERROR(VALUE('T12 Input'!H243),0)</f>
        <v/>
      </c>
      <c r="H232">
        <f>IFERROR(VALUE('T12 Input'!I243),0)</f>
        <v/>
      </c>
      <c r="I232">
        <f>IFERROR(VALUE('T12 Input'!J243),0)</f>
        <v/>
      </c>
      <c r="J232">
        <f>IFERROR(VALUE('T12 Input'!K243),0)</f>
        <v/>
      </c>
      <c r="K232">
        <f>IFERROR(VALUE('T12 Input'!L243),0)</f>
        <v/>
      </c>
      <c r="L232">
        <f>IFERROR(VALUE('T12 Input'!M243),0)</f>
        <v/>
      </c>
      <c r="M232">
        <f>IFERROR(VALUE('T12 Input'!N243),0)</f>
        <v/>
      </c>
      <c r="N232">
        <f>IFERROR(INDEX(DescMap_Label,MATCH(A232,DescMap_Description,0)),"")</f>
        <v/>
      </c>
    </row>
    <row r="233" ht="15" customHeight="1" s="199">
      <c r="A233">
        <f>IFERROR(TRIM('T12 Input'!B244),)</f>
        <v/>
      </c>
      <c r="B233">
        <f>IFERROR(VALUE('T12 Input'!C244),0)</f>
        <v/>
      </c>
      <c r="C233">
        <f>IFERROR(VALUE('T12 Input'!D244),0)</f>
        <v/>
      </c>
      <c r="D233">
        <f>IFERROR(VALUE('T12 Input'!E244),0)</f>
        <v/>
      </c>
      <c r="E233">
        <f>IFERROR(VALUE('T12 Input'!F244),0)</f>
        <v/>
      </c>
      <c r="F233">
        <f>IFERROR(VALUE('T12 Input'!G244),0)</f>
        <v/>
      </c>
      <c r="G233">
        <f>IFERROR(VALUE('T12 Input'!H244),0)</f>
        <v/>
      </c>
      <c r="H233">
        <f>IFERROR(VALUE('T12 Input'!I244),0)</f>
        <v/>
      </c>
      <c r="I233">
        <f>IFERROR(VALUE('T12 Input'!J244),0)</f>
        <v/>
      </c>
      <c r="J233">
        <f>IFERROR(VALUE('T12 Input'!K244),0)</f>
        <v/>
      </c>
      <c r="K233">
        <f>IFERROR(VALUE('T12 Input'!L244),0)</f>
        <v/>
      </c>
      <c r="L233">
        <f>IFERROR(VALUE('T12 Input'!M244),0)</f>
        <v/>
      </c>
      <c r="M233">
        <f>IFERROR(VALUE('T12 Input'!N244),0)</f>
        <v/>
      </c>
      <c r="N233">
        <f>IFERROR(INDEX(DescMap_Label,MATCH(A233,DescMap_Description,0)),"")</f>
        <v/>
      </c>
    </row>
    <row r="234" ht="15" customHeight="1" s="199">
      <c r="A234">
        <f>IFERROR(TRIM('T12 Input'!B245),)</f>
        <v/>
      </c>
      <c r="B234">
        <f>IFERROR(VALUE('T12 Input'!C245),0)</f>
        <v/>
      </c>
      <c r="C234">
        <f>IFERROR(VALUE('T12 Input'!D245),0)</f>
        <v/>
      </c>
      <c r="D234">
        <f>IFERROR(VALUE('T12 Input'!E245),0)</f>
        <v/>
      </c>
      <c r="E234">
        <f>IFERROR(VALUE('T12 Input'!F245),0)</f>
        <v/>
      </c>
      <c r="F234">
        <f>IFERROR(VALUE('T12 Input'!G245),0)</f>
        <v/>
      </c>
      <c r="G234">
        <f>IFERROR(VALUE('T12 Input'!H245),0)</f>
        <v/>
      </c>
      <c r="H234">
        <f>IFERROR(VALUE('T12 Input'!I245),0)</f>
        <v/>
      </c>
      <c r="I234">
        <f>IFERROR(VALUE('T12 Input'!J245),0)</f>
        <v/>
      </c>
      <c r="J234">
        <f>IFERROR(VALUE('T12 Input'!K245),0)</f>
        <v/>
      </c>
      <c r="K234">
        <f>IFERROR(VALUE('T12 Input'!L245),0)</f>
        <v/>
      </c>
      <c r="L234">
        <f>IFERROR(VALUE('T12 Input'!M245),0)</f>
        <v/>
      </c>
      <c r="M234">
        <f>IFERROR(VALUE('T12 Input'!N245),0)</f>
        <v/>
      </c>
      <c r="N234">
        <f>IFERROR(INDEX(DescMap_Label,MATCH(A234,DescMap_Description,0)),"")</f>
        <v/>
      </c>
    </row>
    <row r="235" ht="15" customHeight="1" s="199">
      <c r="A235">
        <f>IFERROR(TRIM('T12 Input'!B246),)</f>
        <v/>
      </c>
      <c r="B235">
        <f>IFERROR(VALUE('T12 Input'!C246),0)</f>
        <v/>
      </c>
      <c r="C235">
        <f>IFERROR(VALUE('T12 Input'!D246),0)</f>
        <v/>
      </c>
      <c r="D235">
        <f>IFERROR(VALUE('T12 Input'!E246),0)</f>
        <v/>
      </c>
      <c r="E235">
        <f>IFERROR(VALUE('T12 Input'!F246),0)</f>
        <v/>
      </c>
      <c r="F235">
        <f>IFERROR(VALUE('T12 Input'!G246),0)</f>
        <v/>
      </c>
      <c r="G235">
        <f>IFERROR(VALUE('T12 Input'!H246),0)</f>
        <v/>
      </c>
      <c r="H235">
        <f>IFERROR(VALUE('T12 Input'!I246),0)</f>
        <v/>
      </c>
      <c r="I235">
        <f>IFERROR(VALUE('T12 Input'!J246),0)</f>
        <v/>
      </c>
      <c r="J235">
        <f>IFERROR(VALUE('T12 Input'!K246),0)</f>
        <v/>
      </c>
      <c r="K235">
        <f>IFERROR(VALUE('T12 Input'!L246),0)</f>
        <v/>
      </c>
      <c r="L235">
        <f>IFERROR(VALUE('T12 Input'!M246),0)</f>
        <v/>
      </c>
      <c r="M235">
        <f>IFERROR(VALUE('T12 Input'!N246),0)</f>
        <v/>
      </c>
      <c r="N235">
        <f>IFERROR(INDEX(DescMap_Label,MATCH(A235,DescMap_Description,0)),"")</f>
        <v/>
      </c>
    </row>
    <row r="236" ht="15" customHeight="1" s="199">
      <c r="A236">
        <f>IFERROR(TRIM('T12 Input'!B247),)</f>
        <v/>
      </c>
      <c r="B236">
        <f>IFERROR(VALUE('T12 Input'!C247),0)</f>
        <v/>
      </c>
      <c r="C236">
        <f>IFERROR(VALUE('T12 Input'!D247),0)</f>
        <v/>
      </c>
      <c r="D236">
        <f>IFERROR(VALUE('T12 Input'!E247),0)</f>
        <v/>
      </c>
      <c r="E236">
        <f>IFERROR(VALUE('T12 Input'!F247),0)</f>
        <v/>
      </c>
      <c r="F236">
        <f>IFERROR(VALUE('T12 Input'!G247),0)</f>
        <v/>
      </c>
      <c r="G236">
        <f>IFERROR(VALUE('T12 Input'!H247),0)</f>
        <v/>
      </c>
      <c r="H236">
        <f>IFERROR(VALUE('T12 Input'!I247),0)</f>
        <v/>
      </c>
      <c r="I236">
        <f>IFERROR(VALUE('T12 Input'!J247),0)</f>
        <v/>
      </c>
      <c r="J236">
        <f>IFERROR(VALUE('T12 Input'!K247),0)</f>
        <v/>
      </c>
      <c r="K236">
        <f>IFERROR(VALUE('T12 Input'!L247),0)</f>
        <v/>
      </c>
      <c r="L236">
        <f>IFERROR(VALUE('T12 Input'!M247),0)</f>
        <v/>
      </c>
      <c r="M236">
        <f>IFERROR(VALUE('T12 Input'!N247),0)</f>
        <v/>
      </c>
      <c r="N236">
        <f>IFERROR(INDEX(DescMap_Label,MATCH(A236,DescMap_Description,0)),"")</f>
        <v/>
      </c>
    </row>
    <row r="237" ht="15" customHeight="1" s="199">
      <c r="A237">
        <f>IFERROR(TRIM('T12 Input'!B248),)</f>
        <v/>
      </c>
      <c r="B237">
        <f>IFERROR(VALUE('T12 Input'!C248),0)</f>
        <v/>
      </c>
      <c r="C237">
        <f>IFERROR(VALUE('T12 Input'!D248),0)</f>
        <v/>
      </c>
      <c r="D237">
        <f>IFERROR(VALUE('T12 Input'!E248),0)</f>
        <v/>
      </c>
      <c r="E237">
        <f>IFERROR(VALUE('T12 Input'!F248),0)</f>
        <v/>
      </c>
      <c r="F237">
        <f>IFERROR(VALUE('T12 Input'!G248),0)</f>
        <v/>
      </c>
      <c r="G237">
        <f>IFERROR(VALUE('T12 Input'!H248),0)</f>
        <v/>
      </c>
      <c r="H237">
        <f>IFERROR(VALUE('T12 Input'!I248),0)</f>
        <v/>
      </c>
      <c r="I237">
        <f>IFERROR(VALUE('T12 Input'!J248),0)</f>
        <v/>
      </c>
      <c r="J237">
        <f>IFERROR(VALUE('T12 Input'!K248),0)</f>
        <v/>
      </c>
      <c r="K237">
        <f>IFERROR(VALUE('T12 Input'!L248),0)</f>
        <v/>
      </c>
      <c r="L237">
        <f>IFERROR(VALUE('T12 Input'!M248),0)</f>
        <v/>
      </c>
      <c r="M237">
        <f>IFERROR(VALUE('T12 Input'!N248),0)</f>
        <v/>
      </c>
      <c r="N237">
        <f>IFERROR(INDEX(DescMap_Label,MATCH(A237,DescMap_Description,0)),"")</f>
        <v/>
      </c>
    </row>
    <row r="238" ht="15" customHeight="1" s="199">
      <c r="A238">
        <f>IFERROR(TRIM('T12 Input'!B249),)</f>
        <v/>
      </c>
      <c r="B238">
        <f>IFERROR(VALUE('T12 Input'!C249),0)</f>
        <v/>
      </c>
      <c r="C238">
        <f>IFERROR(VALUE('T12 Input'!D249),0)</f>
        <v/>
      </c>
      <c r="D238">
        <f>IFERROR(VALUE('T12 Input'!E249),0)</f>
        <v/>
      </c>
      <c r="E238">
        <f>IFERROR(VALUE('T12 Input'!F249),0)</f>
        <v/>
      </c>
      <c r="F238">
        <f>IFERROR(VALUE('T12 Input'!G249),0)</f>
        <v/>
      </c>
      <c r="G238">
        <f>IFERROR(VALUE('T12 Input'!H249),0)</f>
        <v/>
      </c>
      <c r="H238">
        <f>IFERROR(VALUE('T12 Input'!I249),0)</f>
        <v/>
      </c>
      <c r="I238">
        <f>IFERROR(VALUE('T12 Input'!J249),0)</f>
        <v/>
      </c>
      <c r="J238">
        <f>IFERROR(VALUE('T12 Input'!K249),0)</f>
        <v/>
      </c>
      <c r="K238">
        <f>IFERROR(VALUE('T12 Input'!L249),0)</f>
        <v/>
      </c>
      <c r="L238">
        <f>IFERROR(VALUE('T12 Input'!M249),0)</f>
        <v/>
      </c>
      <c r="M238">
        <f>IFERROR(VALUE('T12 Input'!N249),0)</f>
        <v/>
      </c>
      <c r="N238">
        <f>IFERROR(INDEX(DescMap_Label,MATCH(A238,DescMap_Description,0)),"")</f>
        <v/>
      </c>
    </row>
    <row r="239" ht="15" customHeight="1" s="199">
      <c r="A239">
        <f>IFERROR(TRIM('T12 Input'!B250),)</f>
        <v/>
      </c>
      <c r="B239">
        <f>IFERROR(VALUE('T12 Input'!C250),0)</f>
        <v/>
      </c>
      <c r="C239">
        <f>IFERROR(VALUE('T12 Input'!D250),0)</f>
        <v/>
      </c>
      <c r="D239">
        <f>IFERROR(VALUE('T12 Input'!E250),0)</f>
        <v/>
      </c>
      <c r="E239">
        <f>IFERROR(VALUE('T12 Input'!F250),0)</f>
        <v/>
      </c>
      <c r="F239">
        <f>IFERROR(VALUE('T12 Input'!G250),0)</f>
        <v/>
      </c>
      <c r="G239">
        <f>IFERROR(VALUE('T12 Input'!H250),0)</f>
        <v/>
      </c>
      <c r="H239">
        <f>IFERROR(VALUE('T12 Input'!I250),0)</f>
        <v/>
      </c>
      <c r="I239">
        <f>IFERROR(VALUE('T12 Input'!J250),0)</f>
        <v/>
      </c>
      <c r="J239">
        <f>IFERROR(VALUE('T12 Input'!K250),0)</f>
        <v/>
      </c>
      <c r="K239">
        <f>IFERROR(VALUE('T12 Input'!L250),0)</f>
        <v/>
      </c>
      <c r="L239">
        <f>IFERROR(VALUE('T12 Input'!M250),0)</f>
        <v/>
      </c>
      <c r="M239">
        <f>IFERROR(VALUE('T12 Input'!N250),0)</f>
        <v/>
      </c>
      <c r="N239">
        <f>IFERROR(INDEX(DescMap_Label,MATCH(A239,DescMap_Description,0)),"")</f>
        <v/>
      </c>
    </row>
    <row r="240" ht="15" customHeight="1" s="199">
      <c r="A240">
        <f>IFERROR(TRIM('T12 Input'!B251),)</f>
        <v/>
      </c>
      <c r="B240">
        <f>IFERROR(VALUE('T12 Input'!C251),0)</f>
        <v/>
      </c>
      <c r="C240">
        <f>IFERROR(VALUE('T12 Input'!D251),0)</f>
        <v/>
      </c>
      <c r="D240">
        <f>IFERROR(VALUE('T12 Input'!E251),0)</f>
        <v/>
      </c>
      <c r="E240">
        <f>IFERROR(VALUE('T12 Input'!F251),0)</f>
        <v/>
      </c>
      <c r="F240">
        <f>IFERROR(VALUE('T12 Input'!G251),0)</f>
        <v/>
      </c>
      <c r="G240">
        <f>IFERROR(VALUE('T12 Input'!H251),0)</f>
        <v/>
      </c>
      <c r="H240">
        <f>IFERROR(VALUE('T12 Input'!I251),0)</f>
        <v/>
      </c>
      <c r="I240">
        <f>IFERROR(VALUE('T12 Input'!J251),0)</f>
        <v/>
      </c>
      <c r="J240">
        <f>IFERROR(VALUE('T12 Input'!K251),0)</f>
        <v/>
      </c>
      <c r="K240">
        <f>IFERROR(VALUE('T12 Input'!L251),0)</f>
        <v/>
      </c>
      <c r="L240">
        <f>IFERROR(VALUE('T12 Input'!M251),0)</f>
        <v/>
      </c>
      <c r="M240">
        <f>IFERROR(VALUE('T12 Input'!N251),0)</f>
        <v/>
      </c>
      <c r="N240">
        <f>IFERROR(INDEX(DescMap_Label,MATCH(A240,DescMap_Description,0)),"")</f>
        <v/>
      </c>
    </row>
    <row r="241" ht="15" customHeight="1" s="199">
      <c r="A241">
        <f>IFERROR(TRIM('T12 Input'!B252),)</f>
        <v/>
      </c>
      <c r="B241">
        <f>IFERROR(VALUE('T12 Input'!C252),0)</f>
        <v/>
      </c>
      <c r="C241">
        <f>IFERROR(VALUE('T12 Input'!D252),0)</f>
        <v/>
      </c>
      <c r="D241">
        <f>IFERROR(VALUE('T12 Input'!E252),0)</f>
        <v/>
      </c>
      <c r="E241">
        <f>IFERROR(VALUE('T12 Input'!F252),0)</f>
        <v/>
      </c>
      <c r="F241">
        <f>IFERROR(VALUE('T12 Input'!G252),0)</f>
        <v/>
      </c>
      <c r="G241">
        <f>IFERROR(VALUE('T12 Input'!H252),0)</f>
        <v/>
      </c>
      <c r="H241">
        <f>IFERROR(VALUE('T12 Input'!I252),0)</f>
        <v/>
      </c>
      <c r="I241">
        <f>IFERROR(VALUE('T12 Input'!J252),0)</f>
        <v/>
      </c>
      <c r="J241">
        <f>IFERROR(VALUE('T12 Input'!K252),0)</f>
        <v/>
      </c>
      <c r="K241">
        <f>IFERROR(VALUE('T12 Input'!L252),0)</f>
        <v/>
      </c>
      <c r="L241">
        <f>IFERROR(VALUE('T12 Input'!M252),0)</f>
        <v/>
      </c>
      <c r="M241">
        <f>IFERROR(VALUE('T12 Input'!N252),0)</f>
        <v/>
      </c>
      <c r="N241">
        <f>IFERROR(INDEX(DescMap_Label,MATCH(A241,DescMap_Description,0)),"")</f>
        <v/>
      </c>
    </row>
    <row r="242" ht="15" customHeight="1" s="199">
      <c r="A242">
        <f>IFERROR(TRIM('T12 Input'!B253),)</f>
        <v/>
      </c>
      <c r="B242">
        <f>IFERROR(VALUE('T12 Input'!C253),0)</f>
        <v/>
      </c>
      <c r="C242">
        <f>IFERROR(VALUE('T12 Input'!D253),0)</f>
        <v/>
      </c>
      <c r="D242">
        <f>IFERROR(VALUE('T12 Input'!E253),0)</f>
        <v/>
      </c>
      <c r="E242">
        <f>IFERROR(VALUE('T12 Input'!F253),0)</f>
        <v/>
      </c>
      <c r="F242">
        <f>IFERROR(VALUE('T12 Input'!G253),0)</f>
        <v/>
      </c>
      <c r="G242">
        <f>IFERROR(VALUE('T12 Input'!H253),0)</f>
        <v/>
      </c>
      <c r="H242">
        <f>IFERROR(VALUE('T12 Input'!I253),0)</f>
        <v/>
      </c>
      <c r="I242">
        <f>IFERROR(VALUE('T12 Input'!J253),0)</f>
        <v/>
      </c>
      <c r="J242">
        <f>IFERROR(VALUE('T12 Input'!K253),0)</f>
        <v/>
      </c>
      <c r="K242">
        <f>IFERROR(VALUE('T12 Input'!L253),0)</f>
        <v/>
      </c>
      <c r="L242">
        <f>IFERROR(VALUE('T12 Input'!M253),0)</f>
        <v/>
      </c>
      <c r="M242">
        <f>IFERROR(VALUE('T12 Input'!N253),0)</f>
        <v/>
      </c>
      <c r="N242">
        <f>IFERROR(INDEX(DescMap_Label,MATCH(A242,DescMap_Description,0)),"")</f>
        <v/>
      </c>
    </row>
    <row r="243" ht="15" customHeight="1" s="199">
      <c r="A243">
        <f>IFERROR(TRIM('T12 Input'!B254),)</f>
        <v/>
      </c>
      <c r="B243">
        <f>IFERROR(VALUE('T12 Input'!C254),0)</f>
        <v/>
      </c>
      <c r="C243">
        <f>IFERROR(VALUE('T12 Input'!D254),0)</f>
        <v/>
      </c>
      <c r="D243">
        <f>IFERROR(VALUE('T12 Input'!E254),0)</f>
        <v/>
      </c>
      <c r="E243">
        <f>IFERROR(VALUE('T12 Input'!F254),0)</f>
        <v/>
      </c>
      <c r="F243">
        <f>IFERROR(VALUE('T12 Input'!G254),0)</f>
        <v/>
      </c>
      <c r="G243">
        <f>IFERROR(VALUE('T12 Input'!H254),0)</f>
        <v/>
      </c>
      <c r="H243">
        <f>IFERROR(VALUE('T12 Input'!I254),0)</f>
        <v/>
      </c>
      <c r="I243">
        <f>IFERROR(VALUE('T12 Input'!J254),0)</f>
        <v/>
      </c>
      <c r="J243">
        <f>IFERROR(VALUE('T12 Input'!K254),0)</f>
        <v/>
      </c>
      <c r="K243">
        <f>IFERROR(VALUE('T12 Input'!L254),0)</f>
        <v/>
      </c>
      <c r="L243">
        <f>IFERROR(VALUE('T12 Input'!M254),0)</f>
        <v/>
      </c>
      <c r="M243">
        <f>IFERROR(VALUE('T12 Input'!N254),0)</f>
        <v/>
      </c>
      <c r="N243">
        <f>IFERROR(INDEX(DescMap_Label,MATCH(A243,DescMap_Description,0)),"")</f>
        <v/>
      </c>
    </row>
    <row r="244" ht="15" customHeight="1" s="199">
      <c r="A244">
        <f>IFERROR(TRIM('T12 Input'!B255),)</f>
        <v/>
      </c>
      <c r="B244">
        <f>IFERROR(VALUE('T12 Input'!C255),0)</f>
        <v/>
      </c>
      <c r="C244">
        <f>IFERROR(VALUE('T12 Input'!D255),0)</f>
        <v/>
      </c>
      <c r="D244">
        <f>IFERROR(VALUE('T12 Input'!E255),0)</f>
        <v/>
      </c>
      <c r="E244">
        <f>IFERROR(VALUE('T12 Input'!F255),0)</f>
        <v/>
      </c>
      <c r="F244">
        <f>IFERROR(VALUE('T12 Input'!G255),0)</f>
        <v/>
      </c>
      <c r="G244">
        <f>IFERROR(VALUE('T12 Input'!H255),0)</f>
        <v/>
      </c>
      <c r="H244">
        <f>IFERROR(VALUE('T12 Input'!I255),0)</f>
        <v/>
      </c>
      <c r="I244">
        <f>IFERROR(VALUE('T12 Input'!J255),0)</f>
        <v/>
      </c>
      <c r="J244">
        <f>IFERROR(VALUE('T12 Input'!K255),0)</f>
        <v/>
      </c>
      <c r="K244">
        <f>IFERROR(VALUE('T12 Input'!L255),0)</f>
        <v/>
      </c>
      <c r="L244">
        <f>IFERROR(VALUE('T12 Input'!M255),0)</f>
        <v/>
      </c>
      <c r="M244">
        <f>IFERROR(VALUE('T12 Input'!N255),0)</f>
        <v/>
      </c>
      <c r="N244">
        <f>IFERROR(INDEX(DescMap_Label,MATCH(A244,DescMap_Description,0)),"")</f>
        <v/>
      </c>
    </row>
    <row r="245" ht="15" customHeight="1" s="199">
      <c r="A245">
        <f>IFERROR(TRIM('T12 Input'!B256),)</f>
        <v/>
      </c>
      <c r="B245">
        <f>IFERROR(VALUE('T12 Input'!C256),0)</f>
        <v/>
      </c>
      <c r="C245">
        <f>IFERROR(VALUE('T12 Input'!D256),0)</f>
        <v/>
      </c>
      <c r="D245">
        <f>IFERROR(VALUE('T12 Input'!E256),0)</f>
        <v/>
      </c>
      <c r="E245">
        <f>IFERROR(VALUE('T12 Input'!F256),0)</f>
        <v/>
      </c>
      <c r="F245">
        <f>IFERROR(VALUE('T12 Input'!G256),0)</f>
        <v/>
      </c>
      <c r="G245">
        <f>IFERROR(VALUE('T12 Input'!H256),0)</f>
        <v/>
      </c>
      <c r="H245">
        <f>IFERROR(VALUE('T12 Input'!I256),0)</f>
        <v/>
      </c>
      <c r="I245">
        <f>IFERROR(VALUE('T12 Input'!J256),0)</f>
        <v/>
      </c>
      <c r="J245">
        <f>IFERROR(VALUE('T12 Input'!K256),0)</f>
        <v/>
      </c>
      <c r="K245">
        <f>IFERROR(VALUE('T12 Input'!L256),0)</f>
        <v/>
      </c>
      <c r="L245">
        <f>IFERROR(VALUE('T12 Input'!M256),0)</f>
        <v/>
      </c>
      <c r="M245">
        <f>IFERROR(VALUE('T12 Input'!N256),0)</f>
        <v/>
      </c>
      <c r="N245">
        <f>IFERROR(INDEX(DescMap_Label,MATCH(A245,DescMap_Description,0)),"")</f>
        <v/>
      </c>
    </row>
    <row r="246" ht="15" customHeight="1" s="199">
      <c r="A246">
        <f>IFERROR(TRIM('T12 Input'!B257),)</f>
        <v/>
      </c>
      <c r="B246">
        <f>IFERROR(VALUE('T12 Input'!C257),0)</f>
        <v/>
      </c>
      <c r="C246">
        <f>IFERROR(VALUE('T12 Input'!D257),0)</f>
        <v/>
      </c>
      <c r="D246">
        <f>IFERROR(VALUE('T12 Input'!E257),0)</f>
        <v/>
      </c>
      <c r="E246">
        <f>IFERROR(VALUE('T12 Input'!F257),0)</f>
        <v/>
      </c>
      <c r="F246">
        <f>IFERROR(VALUE('T12 Input'!G257),0)</f>
        <v/>
      </c>
      <c r="G246">
        <f>IFERROR(VALUE('T12 Input'!H257),0)</f>
        <v/>
      </c>
      <c r="H246">
        <f>IFERROR(VALUE('T12 Input'!I257),0)</f>
        <v/>
      </c>
      <c r="I246">
        <f>IFERROR(VALUE('T12 Input'!J257),0)</f>
        <v/>
      </c>
      <c r="J246">
        <f>IFERROR(VALUE('T12 Input'!K257),0)</f>
        <v/>
      </c>
      <c r="K246">
        <f>IFERROR(VALUE('T12 Input'!L257),0)</f>
        <v/>
      </c>
      <c r="L246">
        <f>IFERROR(VALUE('T12 Input'!M257),0)</f>
        <v/>
      </c>
      <c r="M246">
        <f>IFERROR(VALUE('T12 Input'!N257),0)</f>
        <v/>
      </c>
      <c r="N246">
        <f>IFERROR(INDEX(DescMap_Label,MATCH(A246,DescMap_Description,0)),"")</f>
        <v/>
      </c>
    </row>
    <row r="247" ht="15" customHeight="1" s="199">
      <c r="A247">
        <f>IFERROR(TRIM('T12 Input'!B258),)</f>
        <v/>
      </c>
      <c r="B247">
        <f>IFERROR(VALUE('T12 Input'!C258),0)</f>
        <v/>
      </c>
      <c r="C247">
        <f>IFERROR(VALUE('T12 Input'!D258),0)</f>
        <v/>
      </c>
      <c r="D247">
        <f>IFERROR(VALUE('T12 Input'!E258),0)</f>
        <v/>
      </c>
      <c r="E247">
        <f>IFERROR(VALUE('T12 Input'!F258),0)</f>
        <v/>
      </c>
      <c r="F247">
        <f>IFERROR(VALUE('T12 Input'!G258),0)</f>
        <v/>
      </c>
      <c r="G247">
        <f>IFERROR(VALUE('T12 Input'!H258),0)</f>
        <v/>
      </c>
      <c r="H247">
        <f>IFERROR(VALUE('T12 Input'!I258),0)</f>
        <v/>
      </c>
      <c r="I247">
        <f>IFERROR(VALUE('T12 Input'!J258),0)</f>
        <v/>
      </c>
      <c r="J247">
        <f>IFERROR(VALUE('T12 Input'!K258),0)</f>
        <v/>
      </c>
      <c r="K247">
        <f>IFERROR(VALUE('T12 Input'!L258),0)</f>
        <v/>
      </c>
      <c r="L247">
        <f>IFERROR(VALUE('T12 Input'!M258),0)</f>
        <v/>
      </c>
      <c r="M247">
        <f>IFERROR(VALUE('T12 Input'!N258),0)</f>
        <v/>
      </c>
      <c r="N247">
        <f>IFERROR(INDEX(DescMap_Label,MATCH(A247,DescMap_Description,0)),"")</f>
        <v/>
      </c>
    </row>
    <row r="248" ht="15" customHeight="1" s="199">
      <c r="A248">
        <f>IFERROR(TRIM('T12 Input'!B259),)</f>
        <v/>
      </c>
      <c r="B248">
        <f>IFERROR(VALUE('T12 Input'!C259),0)</f>
        <v/>
      </c>
      <c r="C248">
        <f>IFERROR(VALUE('T12 Input'!D259),0)</f>
        <v/>
      </c>
      <c r="D248">
        <f>IFERROR(VALUE('T12 Input'!E259),0)</f>
        <v/>
      </c>
      <c r="E248">
        <f>IFERROR(VALUE('T12 Input'!F259),0)</f>
        <v/>
      </c>
      <c r="F248">
        <f>IFERROR(VALUE('T12 Input'!G259),0)</f>
        <v/>
      </c>
      <c r="G248">
        <f>IFERROR(VALUE('T12 Input'!H259),0)</f>
        <v/>
      </c>
      <c r="H248">
        <f>IFERROR(VALUE('T12 Input'!I259),0)</f>
        <v/>
      </c>
      <c r="I248">
        <f>IFERROR(VALUE('T12 Input'!J259),0)</f>
        <v/>
      </c>
      <c r="J248">
        <f>IFERROR(VALUE('T12 Input'!K259),0)</f>
        <v/>
      </c>
      <c r="K248">
        <f>IFERROR(VALUE('T12 Input'!L259),0)</f>
        <v/>
      </c>
      <c r="L248">
        <f>IFERROR(VALUE('T12 Input'!M259),0)</f>
        <v/>
      </c>
      <c r="M248">
        <f>IFERROR(VALUE('T12 Input'!N259),0)</f>
        <v/>
      </c>
      <c r="N248">
        <f>IFERROR(INDEX(DescMap_Label,MATCH(A248,DescMap_Description,0)),"")</f>
        <v/>
      </c>
    </row>
    <row r="249" ht="15" customHeight="1" s="199">
      <c r="A249">
        <f>IFERROR(TRIM('T12 Input'!B260),)</f>
        <v/>
      </c>
      <c r="B249">
        <f>IFERROR(VALUE('T12 Input'!C260),0)</f>
        <v/>
      </c>
      <c r="C249">
        <f>IFERROR(VALUE('T12 Input'!D260),0)</f>
        <v/>
      </c>
      <c r="D249">
        <f>IFERROR(VALUE('T12 Input'!E260),0)</f>
        <v/>
      </c>
      <c r="E249">
        <f>IFERROR(VALUE('T12 Input'!F260),0)</f>
        <v/>
      </c>
      <c r="F249">
        <f>IFERROR(VALUE('T12 Input'!G260),0)</f>
        <v/>
      </c>
      <c r="G249">
        <f>IFERROR(VALUE('T12 Input'!H260),0)</f>
        <v/>
      </c>
      <c r="H249">
        <f>IFERROR(VALUE('T12 Input'!I260),0)</f>
        <v/>
      </c>
      <c r="I249">
        <f>IFERROR(VALUE('T12 Input'!J260),0)</f>
        <v/>
      </c>
      <c r="J249">
        <f>IFERROR(VALUE('T12 Input'!K260),0)</f>
        <v/>
      </c>
      <c r="K249">
        <f>IFERROR(VALUE('T12 Input'!L260),0)</f>
        <v/>
      </c>
      <c r="L249">
        <f>IFERROR(VALUE('T12 Input'!M260),0)</f>
        <v/>
      </c>
      <c r="M249">
        <f>IFERROR(VALUE('T12 Input'!N260),0)</f>
        <v/>
      </c>
      <c r="N249">
        <f>IFERROR(INDEX(DescMap_Label,MATCH(A249,DescMap_Description,0)),"")</f>
        <v/>
      </c>
    </row>
    <row r="250" ht="15" customHeight="1" s="199">
      <c r="A250">
        <f>IFERROR(TRIM('T12 Input'!B261),)</f>
        <v/>
      </c>
      <c r="B250">
        <f>IFERROR(VALUE('T12 Input'!C261),0)</f>
        <v/>
      </c>
      <c r="C250">
        <f>IFERROR(VALUE('T12 Input'!D261),0)</f>
        <v/>
      </c>
      <c r="D250">
        <f>IFERROR(VALUE('T12 Input'!E261),0)</f>
        <v/>
      </c>
      <c r="E250">
        <f>IFERROR(VALUE('T12 Input'!F261),0)</f>
        <v/>
      </c>
      <c r="F250">
        <f>IFERROR(VALUE('T12 Input'!G261),0)</f>
        <v/>
      </c>
      <c r="G250">
        <f>IFERROR(VALUE('T12 Input'!H261),0)</f>
        <v/>
      </c>
      <c r="H250">
        <f>IFERROR(VALUE('T12 Input'!I261),0)</f>
        <v/>
      </c>
      <c r="I250">
        <f>IFERROR(VALUE('T12 Input'!J261),0)</f>
        <v/>
      </c>
      <c r="J250">
        <f>IFERROR(VALUE('T12 Input'!K261),0)</f>
        <v/>
      </c>
      <c r="K250">
        <f>IFERROR(VALUE('T12 Input'!L261),0)</f>
        <v/>
      </c>
      <c r="L250">
        <f>IFERROR(VALUE('T12 Input'!M261),0)</f>
        <v/>
      </c>
      <c r="M250">
        <f>IFERROR(VALUE('T12 Input'!N261),0)</f>
        <v/>
      </c>
      <c r="N250">
        <f>IFERROR(INDEX(DescMap_Label,MATCH(A250,DescMap_Description,0)),"")</f>
        <v/>
      </c>
    </row>
    <row r="251" ht="15" customHeight="1" s="199">
      <c r="A251">
        <f>IFERROR(TRIM('T12 Input'!B262),)</f>
        <v/>
      </c>
      <c r="B251">
        <f>IFERROR(VALUE('T12 Input'!C262),0)</f>
        <v/>
      </c>
      <c r="C251">
        <f>IFERROR(VALUE('T12 Input'!D262),0)</f>
        <v/>
      </c>
      <c r="D251">
        <f>IFERROR(VALUE('T12 Input'!E262),0)</f>
        <v/>
      </c>
      <c r="E251">
        <f>IFERROR(VALUE('T12 Input'!F262),0)</f>
        <v/>
      </c>
      <c r="F251">
        <f>IFERROR(VALUE('T12 Input'!G262),0)</f>
        <v/>
      </c>
      <c r="G251">
        <f>IFERROR(VALUE('T12 Input'!H262),0)</f>
        <v/>
      </c>
      <c r="H251">
        <f>IFERROR(VALUE('T12 Input'!I262),0)</f>
        <v/>
      </c>
      <c r="I251">
        <f>IFERROR(VALUE('T12 Input'!J262),0)</f>
        <v/>
      </c>
      <c r="J251">
        <f>IFERROR(VALUE('T12 Input'!K262),0)</f>
        <v/>
      </c>
      <c r="K251">
        <f>IFERROR(VALUE('T12 Input'!L262),0)</f>
        <v/>
      </c>
      <c r="L251">
        <f>IFERROR(VALUE('T12 Input'!M262),0)</f>
        <v/>
      </c>
      <c r="M251">
        <f>IFERROR(VALUE('T12 Input'!N262),0)</f>
        <v/>
      </c>
      <c r="N251">
        <f>IFERROR(INDEX(DescMap_Label,MATCH(A251,DescMap_Description,0)),"")</f>
        <v/>
      </c>
    </row>
    <row r="252" ht="15" customHeight="1" s="199">
      <c r="A252">
        <f>IFERROR(TRIM('T12 Input'!B263),)</f>
        <v/>
      </c>
      <c r="B252">
        <f>IFERROR(VALUE('T12 Input'!C263),0)</f>
        <v/>
      </c>
      <c r="C252">
        <f>IFERROR(VALUE('T12 Input'!D263),0)</f>
        <v/>
      </c>
      <c r="D252">
        <f>IFERROR(VALUE('T12 Input'!E263),0)</f>
        <v/>
      </c>
      <c r="E252">
        <f>IFERROR(VALUE('T12 Input'!F263),0)</f>
        <v/>
      </c>
      <c r="F252">
        <f>IFERROR(VALUE('T12 Input'!G263),0)</f>
        <v/>
      </c>
      <c r="G252">
        <f>IFERROR(VALUE('T12 Input'!H263),0)</f>
        <v/>
      </c>
      <c r="H252">
        <f>IFERROR(VALUE('T12 Input'!I263),0)</f>
        <v/>
      </c>
      <c r="I252">
        <f>IFERROR(VALUE('T12 Input'!J263),0)</f>
        <v/>
      </c>
      <c r="J252">
        <f>IFERROR(VALUE('T12 Input'!K263),0)</f>
        <v/>
      </c>
      <c r="K252">
        <f>IFERROR(VALUE('T12 Input'!L263),0)</f>
        <v/>
      </c>
      <c r="L252">
        <f>IFERROR(VALUE('T12 Input'!M263),0)</f>
        <v/>
      </c>
      <c r="M252">
        <f>IFERROR(VALUE('T12 Input'!N263),0)</f>
        <v/>
      </c>
      <c r="N252">
        <f>IFERROR(INDEX(DescMap_Label,MATCH(A252,DescMap_Description,0)),"")</f>
        <v/>
      </c>
    </row>
    <row r="253" ht="15" customHeight="1" s="199">
      <c r="A253">
        <f>IFERROR(TRIM('T12 Input'!B264),)</f>
        <v/>
      </c>
      <c r="B253">
        <f>IFERROR(VALUE('T12 Input'!C264),0)</f>
        <v/>
      </c>
      <c r="C253">
        <f>IFERROR(VALUE('T12 Input'!D264),0)</f>
        <v/>
      </c>
      <c r="D253">
        <f>IFERROR(VALUE('T12 Input'!E264),0)</f>
        <v/>
      </c>
      <c r="E253">
        <f>IFERROR(VALUE('T12 Input'!F264),0)</f>
        <v/>
      </c>
      <c r="F253">
        <f>IFERROR(VALUE('T12 Input'!G264),0)</f>
        <v/>
      </c>
      <c r="G253">
        <f>IFERROR(VALUE('T12 Input'!H264),0)</f>
        <v/>
      </c>
      <c r="H253">
        <f>IFERROR(VALUE('T12 Input'!I264),0)</f>
        <v/>
      </c>
      <c r="I253">
        <f>IFERROR(VALUE('T12 Input'!J264),0)</f>
        <v/>
      </c>
      <c r="J253">
        <f>IFERROR(VALUE('T12 Input'!K264),0)</f>
        <v/>
      </c>
      <c r="K253">
        <f>IFERROR(VALUE('T12 Input'!L264),0)</f>
        <v/>
      </c>
      <c r="L253">
        <f>IFERROR(VALUE('T12 Input'!M264),0)</f>
        <v/>
      </c>
      <c r="M253">
        <f>IFERROR(VALUE('T12 Input'!N264),0)</f>
        <v/>
      </c>
      <c r="N253">
        <f>IFERROR(INDEX(DescMap_Label,MATCH(A253,DescMap_Description,0)),"")</f>
        <v/>
      </c>
    </row>
    <row r="254" ht="15" customHeight="1" s="199">
      <c r="A254">
        <f>IFERROR(TRIM('T12 Input'!B265),)</f>
        <v/>
      </c>
      <c r="B254">
        <f>IFERROR(VALUE('T12 Input'!C265),0)</f>
        <v/>
      </c>
      <c r="C254">
        <f>IFERROR(VALUE('T12 Input'!D265),0)</f>
        <v/>
      </c>
      <c r="D254">
        <f>IFERROR(VALUE('T12 Input'!E265),0)</f>
        <v/>
      </c>
      <c r="E254">
        <f>IFERROR(VALUE('T12 Input'!F265),0)</f>
        <v/>
      </c>
      <c r="F254">
        <f>IFERROR(VALUE('T12 Input'!G265),0)</f>
        <v/>
      </c>
      <c r="G254">
        <f>IFERROR(VALUE('T12 Input'!H265),0)</f>
        <v/>
      </c>
      <c r="H254">
        <f>IFERROR(VALUE('T12 Input'!I265),0)</f>
        <v/>
      </c>
      <c r="I254">
        <f>IFERROR(VALUE('T12 Input'!J265),0)</f>
        <v/>
      </c>
      <c r="J254">
        <f>IFERROR(VALUE('T12 Input'!K265),0)</f>
        <v/>
      </c>
      <c r="K254">
        <f>IFERROR(VALUE('T12 Input'!L265),0)</f>
        <v/>
      </c>
      <c r="L254">
        <f>IFERROR(VALUE('T12 Input'!M265),0)</f>
        <v/>
      </c>
      <c r="M254">
        <f>IFERROR(VALUE('T12 Input'!N265),0)</f>
        <v/>
      </c>
      <c r="N254">
        <f>IFERROR(INDEX(DescMap_Label,MATCH(A254,DescMap_Description,0)),"")</f>
        <v/>
      </c>
    </row>
    <row r="255" ht="15" customHeight="1" s="199">
      <c r="A255">
        <f>IFERROR(TRIM('T12 Input'!B266),)</f>
        <v/>
      </c>
      <c r="B255">
        <f>IFERROR(VALUE('T12 Input'!C266),0)</f>
        <v/>
      </c>
      <c r="C255">
        <f>IFERROR(VALUE('T12 Input'!D266),0)</f>
        <v/>
      </c>
      <c r="D255">
        <f>IFERROR(VALUE('T12 Input'!E266),0)</f>
        <v/>
      </c>
      <c r="E255">
        <f>IFERROR(VALUE('T12 Input'!F266),0)</f>
        <v/>
      </c>
      <c r="F255">
        <f>IFERROR(VALUE('T12 Input'!G266),0)</f>
        <v/>
      </c>
      <c r="G255">
        <f>IFERROR(VALUE('T12 Input'!H266),0)</f>
        <v/>
      </c>
      <c r="H255">
        <f>IFERROR(VALUE('T12 Input'!I266),0)</f>
        <v/>
      </c>
      <c r="I255">
        <f>IFERROR(VALUE('T12 Input'!J266),0)</f>
        <v/>
      </c>
      <c r="J255">
        <f>IFERROR(VALUE('T12 Input'!K266),0)</f>
        <v/>
      </c>
      <c r="K255">
        <f>IFERROR(VALUE('T12 Input'!L266),0)</f>
        <v/>
      </c>
      <c r="L255">
        <f>IFERROR(VALUE('T12 Input'!M266),0)</f>
        <v/>
      </c>
      <c r="M255">
        <f>IFERROR(VALUE('T12 Input'!N266),0)</f>
        <v/>
      </c>
      <c r="N255">
        <f>IFERROR(INDEX(DescMap_Label,MATCH(A255,DescMap_Description,0)),"")</f>
        <v/>
      </c>
    </row>
    <row r="256" ht="15" customHeight="1" s="199">
      <c r="A256">
        <f>IFERROR(TRIM('T12 Input'!B267),)</f>
        <v/>
      </c>
      <c r="B256">
        <f>IFERROR(VALUE('T12 Input'!C267),0)</f>
        <v/>
      </c>
      <c r="C256">
        <f>IFERROR(VALUE('T12 Input'!D267),0)</f>
        <v/>
      </c>
      <c r="D256">
        <f>IFERROR(VALUE('T12 Input'!E267),0)</f>
        <v/>
      </c>
      <c r="E256">
        <f>IFERROR(VALUE('T12 Input'!F267),0)</f>
        <v/>
      </c>
      <c r="F256">
        <f>IFERROR(VALUE('T12 Input'!G267),0)</f>
        <v/>
      </c>
      <c r="G256">
        <f>IFERROR(VALUE('T12 Input'!H267),0)</f>
        <v/>
      </c>
      <c r="H256">
        <f>IFERROR(VALUE('T12 Input'!I267),0)</f>
        <v/>
      </c>
      <c r="I256">
        <f>IFERROR(VALUE('T12 Input'!J267),0)</f>
        <v/>
      </c>
      <c r="J256">
        <f>IFERROR(VALUE('T12 Input'!K267),0)</f>
        <v/>
      </c>
      <c r="K256">
        <f>IFERROR(VALUE('T12 Input'!L267),0)</f>
        <v/>
      </c>
      <c r="L256">
        <f>IFERROR(VALUE('T12 Input'!M267),0)</f>
        <v/>
      </c>
      <c r="M256">
        <f>IFERROR(VALUE('T12 Input'!N267),0)</f>
        <v/>
      </c>
      <c r="N256">
        <f>IFERROR(INDEX(DescMap_Label,MATCH(A256,DescMap_Description,0)),"")</f>
        <v/>
      </c>
    </row>
    <row r="257" ht="15" customHeight="1" s="199">
      <c r="A257">
        <f>IFERROR(TRIM('T12 Input'!B268),)</f>
        <v/>
      </c>
      <c r="B257">
        <f>IFERROR(VALUE('T12 Input'!C268),0)</f>
        <v/>
      </c>
      <c r="C257">
        <f>IFERROR(VALUE('T12 Input'!D268),0)</f>
        <v/>
      </c>
      <c r="D257">
        <f>IFERROR(VALUE('T12 Input'!E268),0)</f>
        <v/>
      </c>
      <c r="E257">
        <f>IFERROR(VALUE('T12 Input'!F268),0)</f>
        <v/>
      </c>
      <c r="F257">
        <f>IFERROR(VALUE('T12 Input'!G268),0)</f>
        <v/>
      </c>
      <c r="G257">
        <f>IFERROR(VALUE('T12 Input'!H268),0)</f>
        <v/>
      </c>
      <c r="H257">
        <f>IFERROR(VALUE('T12 Input'!I268),0)</f>
        <v/>
      </c>
      <c r="I257">
        <f>IFERROR(VALUE('T12 Input'!J268),0)</f>
        <v/>
      </c>
      <c r="J257">
        <f>IFERROR(VALUE('T12 Input'!K268),0)</f>
        <v/>
      </c>
      <c r="K257">
        <f>IFERROR(VALUE('T12 Input'!L268),0)</f>
        <v/>
      </c>
      <c r="L257">
        <f>IFERROR(VALUE('T12 Input'!M268),0)</f>
        <v/>
      </c>
      <c r="M257">
        <f>IFERROR(VALUE('T12 Input'!N268),0)</f>
        <v/>
      </c>
      <c r="N257">
        <f>IFERROR(INDEX(DescMap_Label,MATCH(A257,DescMap_Description,0)),"")</f>
        <v/>
      </c>
    </row>
    <row r="258" ht="15" customHeight="1" s="199">
      <c r="A258">
        <f>IFERROR(TRIM('T12 Input'!B269),)</f>
        <v/>
      </c>
      <c r="B258">
        <f>IFERROR(VALUE('T12 Input'!C269),0)</f>
        <v/>
      </c>
      <c r="C258">
        <f>IFERROR(VALUE('T12 Input'!D269),0)</f>
        <v/>
      </c>
      <c r="D258">
        <f>IFERROR(VALUE('T12 Input'!E269),0)</f>
        <v/>
      </c>
      <c r="E258">
        <f>IFERROR(VALUE('T12 Input'!F269),0)</f>
        <v/>
      </c>
      <c r="F258">
        <f>IFERROR(VALUE('T12 Input'!G269),0)</f>
        <v/>
      </c>
      <c r="G258">
        <f>IFERROR(VALUE('T12 Input'!H269),0)</f>
        <v/>
      </c>
      <c r="H258">
        <f>IFERROR(VALUE('T12 Input'!I269),0)</f>
        <v/>
      </c>
      <c r="I258">
        <f>IFERROR(VALUE('T12 Input'!J269),0)</f>
        <v/>
      </c>
      <c r="J258">
        <f>IFERROR(VALUE('T12 Input'!K269),0)</f>
        <v/>
      </c>
      <c r="K258">
        <f>IFERROR(VALUE('T12 Input'!L269),0)</f>
        <v/>
      </c>
      <c r="L258">
        <f>IFERROR(VALUE('T12 Input'!M269),0)</f>
        <v/>
      </c>
      <c r="M258">
        <f>IFERROR(VALUE('T12 Input'!N269),0)</f>
        <v/>
      </c>
      <c r="N258">
        <f>IFERROR(INDEX(DescMap_Label,MATCH(A258,DescMap_Description,0)),"")</f>
        <v/>
      </c>
    </row>
    <row r="259" ht="15" customHeight="1" s="199">
      <c r="A259">
        <f>IFERROR(TRIM('T12 Input'!B270),)</f>
        <v/>
      </c>
      <c r="B259">
        <f>IFERROR(VALUE('T12 Input'!C270),0)</f>
        <v/>
      </c>
      <c r="C259">
        <f>IFERROR(VALUE('T12 Input'!D270),0)</f>
        <v/>
      </c>
      <c r="D259">
        <f>IFERROR(VALUE('T12 Input'!E270),0)</f>
        <v/>
      </c>
      <c r="E259">
        <f>IFERROR(VALUE('T12 Input'!F270),0)</f>
        <v/>
      </c>
      <c r="F259">
        <f>IFERROR(VALUE('T12 Input'!G270),0)</f>
        <v/>
      </c>
      <c r="G259">
        <f>IFERROR(VALUE('T12 Input'!H270),0)</f>
        <v/>
      </c>
      <c r="H259">
        <f>IFERROR(VALUE('T12 Input'!I270),0)</f>
        <v/>
      </c>
      <c r="I259">
        <f>IFERROR(VALUE('T12 Input'!J270),0)</f>
        <v/>
      </c>
      <c r="J259">
        <f>IFERROR(VALUE('T12 Input'!K270),0)</f>
        <v/>
      </c>
      <c r="K259">
        <f>IFERROR(VALUE('T12 Input'!L270),0)</f>
        <v/>
      </c>
      <c r="L259">
        <f>IFERROR(VALUE('T12 Input'!M270),0)</f>
        <v/>
      </c>
      <c r="M259">
        <f>IFERROR(VALUE('T12 Input'!N270),0)</f>
        <v/>
      </c>
      <c r="N259">
        <f>IFERROR(INDEX(DescMap_Label,MATCH(A259,DescMap_Description,0)),"")</f>
        <v/>
      </c>
    </row>
    <row r="260" ht="15" customHeight="1" s="199">
      <c r="A260">
        <f>IFERROR(TRIM('T12 Input'!B271),)</f>
        <v/>
      </c>
      <c r="B260">
        <f>IFERROR(VALUE('T12 Input'!C271),0)</f>
        <v/>
      </c>
      <c r="C260">
        <f>IFERROR(VALUE('T12 Input'!D271),0)</f>
        <v/>
      </c>
      <c r="D260">
        <f>IFERROR(VALUE('T12 Input'!E271),0)</f>
        <v/>
      </c>
      <c r="E260">
        <f>IFERROR(VALUE('T12 Input'!F271),0)</f>
        <v/>
      </c>
      <c r="F260">
        <f>IFERROR(VALUE('T12 Input'!G271),0)</f>
        <v/>
      </c>
      <c r="G260">
        <f>IFERROR(VALUE('T12 Input'!H271),0)</f>
        <v/>
      </c>
      <c r="H260">
        <f>IFERROR(VALUE('T12 Input'!I271),0)</f>
        <v/>
      </c>
      <c r="I260">
        <f>IFERROR(VALUE('T12 Input'!J271),0)</f>
        <v/>
      </c>
      <c r="J260">
        <f>IFERROR(VALUE('T12 Input'!K271),0)</f>
        <v/>
      </c>
      <c r="K260">
        <f>IFERROR(VALUE('T12 Input'!L271),0)</f>
        <v/>
      </c>
      <c r="L260">
        <f>IFERROR(VALUE('T12 Input'!M271),0)</f>
        <v/>
      </c>
      <c r="M260">
        <f>IFERROR(VALUE('T12 Input'!N271),0)</f>
        <v/>
      </c>
      <c r="N260">
        <f>IFERROR(INDEX(DescMap_Label,MATCH(A260,DescMap_Description,0)),"")</f>
        <v/>
      </c>
    </row>
    <row r="261" ht="15" customHeight="1" s="199">
      <c r="A261">
        <f>IFERROR(TRIM('T12 Input'!B272),)</f>
        <v/>
      </c>
      <c r="B261">
        <f>IFERROR(VALUE('T12 Input'!C272),0)</f>
        <v/>
      </c>
      <c r="C261">
        <f>IFERROR(VALUE('T12 Input'!D272),0)</f>
        <v/>
      </c>
      <c r="D261">
        <f>IFERROR(VALUE('T12 Input'!E272),0)</f>
        <v/>
      </c>
      <c r="E261">
        <f>IFERROR(VALUE('T12 Input'!F272),0)</f>
        <v/>
      </c>
      <c r="F261">
        <f>IFERROR(VALUE('T12 Input'!G272),0)</f>
        <v/>
      </c>
      <c r="G261">
        <f>IFERROR(VALUE('T12 Input'!H272),0)</f>
        <v/>
      </c>
      <c r="H261">
        <f>IFERROR(VALUE('T12 Input'!I272),0)</f>
        <v/>
      </c>
      <c r="I261">
        <f>IFERROR(VALUE('T12 Input'!J272),0)</f>
        <v/>
      </c>
      <c r="J261">
        <f>IFERROR(VALUE('T12 Input'!K272),0)</f>
        <v/>
      </c>
      <c r="K261">
        <f>IFERROR(VALUE('T12 Input'!L272),0)</f>
        <v/>
      </c>
      <c r="L261">
        <f>IFERROR(VALUE('T12 Input'!M272),0)</f>
        <v/>
      </c>
      <c r="M261">
        <f>IFERROR(VALUE('T12 Input'!N272),0)</f>
        <v/>
      </c>
      <c r="N261">
        <f>IFERROR(INDEX(DescMap_Label,MATCH(A261,DescMap_Description,0)),"")</f>
        <v/>
      </c>
    </row>
    <row r="262" ht="15" customHeight="1" s="199">
      <c r="A262">
        <f>IFERROR(TRIM('T12 Input'!B273),)</f>
        <v/>
      </c>
      <c r="B262">
        <f>IFERROR(VALUE('T12 Input'!C273),0)</f>
        <v/>
      </c>
      <c r="C262">
        <f>IFERROR(VALUE('T12 Input'!D273),0)</f>
        <v/>
      </c>
      <c r="D262">
        <f>IFERROR(VALUE('T12 Input'!E273),0)</f>
        <v/>
      </c>
      <c r="E262">
        <f>IFERROR(VALUE('T12 Input'!F273),0)</f>
        <v/>
      </c>
      <c r="F262">
        <f>IFERROR(VALUE('T12 Input'!G273),0)</f>
        <v/>
      </c>
      <c r="G262">
        <f>IFERROR(VALUE('T12 Input'!H273),0)</f>
        <v/>
      </c>
      <c r="H262">
        <f>IFERROR(VALUE('T12 Input'!I273),0)</f>
        <v/>
      </c>
      <c r="I262">
        <f>IFERROR(VALUE('T12 Input'!J273),0)</f>
        <v/>
      </c>
      <c r="J262">
        <f>IFERROR(VALUE('T12 Input'!K273),0)</f>
        <v/>
      </c>
      <c r="K262">
        <f>IFERROR(VALUE('T12 Input'!L273),0)</f>
        <v/>
      </c>
      <c r="L262">
        <f>IFERROR(VALUE('T12 Input'!M273),0)</f>
        <v/>
      </c>
      <c r="M262">
        <f>IFERROR(VALUE('T12 Input'!N273),0)</f>
        <v/>
      </c>
      <c r="N262">
        <f>IFERROR(INDEX(DescMap_Label,MATCH(A262,DescMap_Description,0)),"")</f>
        <v/>
      </c>
    </row>
    <row r="263" ht="15" customHeight="1" s="199">
      <c r="A263">
        <f>IFERROR(TRIM('T12 Input'!B274),)</f>
        <v/>
      </c>
      <c r="B263">
        <f>IFERROR(VALUE('T12 Input'!C274),0)</f>
        <v/>
      </c>
      <c r="C263">
        <f>IFERROR(VALUE('T12 Input'!D274),0)</f>
        <v/>
      </c>
      <c r="D263">
        <f>IFERROR(VALUE('T12 Input'!E274),0)</f>
        <v/>
      </c>
      <c r="E263">
        <f>IFERROR(VALUE('T12 Input'!F274),0)</f>
        <v/>
      </c>
      <c r="F263">
        <f>IFERROR(VALUE('T12 Input'!G274),0)</f>
        <v/>
      </c>
      <c r="G263">
        <f>IFERROR(VALUE('T12 Input'!H274),0)</f>
        <v/>
      </c>
      <c r="H263">
        <f>IFERROR(VALUE('T12 Input'!I274),0)</f>
        <v/>
      </c>
      <c r="I263">
        <f>IFERROR(VALUE('T12 Input'!J274),0)</f>
        <v/>
      </c>
      <c r="J263">
        <f>IFERROR(VALUE('T12 Input'!K274),0)</f>
        <v/>
      </c>
      <c r="K263">
        <f>IFERROR(VALUE('T12 Input'!L274),0)</f>
        <v/>
      </c>
      <c r="L263">
        <f>IFERROR(VALUE('T12 Input'!M274),0)</f>
        <v/>
      </c>
      <c r="M263">
        <f>IFERROR(VALUE('T12 Input'!N274),0)</f>
        <v/>
      </c>
      <c r="N263">
        <f>IFERROR(INDEX(DescMap_Label,MATCH(A263,DescMap_Description,0)),"")</f>
        <v/>
      </c>
    </row>
    <row r="264" ht="15" customHeight="1" s="199">
      <c r="A264">
        <f>IFERROR(TRIM('T12 Input'!B275),)</f>
        <v/>
      </c>
      <c r="B264">
        <f>IFERROR(VALUE('T12 Input'!C275),0)</f>
        <v/>
      </c>
      <c r="C264">
        <f>IFERROR(VALUE('T12 Input'!D275),0)</f>
        <v/>
      </c>
      <c r="D264">
        <f>IFERROR(VALUE('T12 Input'!E275),0)</f>
        <v/>
      </c>
      <c r="E264">
        <f>IFERROR(VALUE('T12 Input'!F275),0)</f>
        <v/>
      </c>
      <c r="F264">
        <f>IFERROR(VALUE('T12 Input'!G275),0)</f>
        <v/>
      </c>
      <c r="G264">
        <f>IFERROR(VALUE('T12 Input'!H275),0)</f>
        <v/>
      </c>
      <c r="H264">
        <f>IFERROR(VALUE('T12 Input'!I275),0)</f>
        <v/>
      </c>
      <c r="I264">
        <f>IFERROR(VALUE('T12 Input'!J275),0)</f>
        <v/>
      </c>
      <c r="J264">
        <f>IFERROR(VALUE('T12 Input'!K275),0)</f>
        <v/>
      </c>
      <c r="K264">
        <f>IFERROR(VALUE('T12 Input'!L275),0)</f>
        <v/>
      </c>
      <c r="L264">
        <f>IFERROR(VALUE('T12 Input'!M275),0)</f>
        <v/>
      </c>
      <c r="M264">
        <f>IFERROR(VALUE('T12 Input'!N275),0)</f>
        <v/>
      </c>
      <c r="N264">
        <f>IFERROR(INDEX(DescMap_Label,MATCH(A264,DescMap_Description,0)),"")</f>
        <v/>
      </c>
    </row>
    <row r="265" ht="15" customHeight="1" s="199">
      <c r="A265">
        <f>IFERROR(TRIM('T12 Input'!B276),)</f>
        <v/>
      </c>
      <c r="B265">
        <f>IFERROR(VALUE('T12 Input'!C276),0)</f>
        <v/>
      </c>
      <c r="C265">
        <f>IFERROR(VALUE('T12 Input'!D276),0)</f>
        <v/>
      </c>
      <c r="D265">
        <f>IFERROR(VALUE('T12 Input'!E276),0)</f>
        <v/>
      </c>
      <c r="E265">
        <f>IFERROR(VALUE('T12 Input'!F276),0)</f>
        <v/>
      </c>
      <c r="F265">
        <f>IFERROR(VALUE('T12 Input'!G276),0)</f>
        <v/>
      </c>
      <c r="G265">
        <f>IFERROR(VALUE('T12 Input'!H276),0)</f>
        <v/>
      </c>
      <c r="H265">
        <f>IFERROR(VALUE('T12 Input'!I276),0)</f>
        <v/>
      </c>
      <c r="I265">
        <f>IFERROR(VALUE('T12 Input'!J276),0)</f>
        <v/>
      </c>
      <c r="J265">
        <f>IFERROR(VALUE('T12 Input'!K276),0)</f>
        <v/>
      </c>
      <c r="K265">
        <f>IFERROR(VALUE('T12 Input'!L276),0)</f>
        <v/>
      </c>
      <c r="L265">
        <f>IFERROR(VALUE('T12 Input'!M276),0)</f>
        <v/>
      </c>
      <c r="M265">
        <f>IFERROR(VALUE('T12 Input'!N276),0)</f>
        <v/>
      </c>
      <c r="N265">
        <f>IFERROR(INDEX(DescMap_Label,MATCH(A265,DescMap_Description,0)),"")</f>
        <v/>
      </c>
    </row>
    <row r="266" ht="15" customHeight="1" s="199">
      <c r="A266">
        <f>IFERROR(TRIM('T12 Input'!B277),)</f>
        <v/>
      </c>
      <c r="B266">
        <f>IFERROR(VALUE('T12 Input'!C277),0)</f>
        <v/>
      </c>
      <c r="C266">
        <f>IFERROR(VALUE('T12 Input'!D277),0)</f>
        <v/>
      </c>
      <c r="D266">
        <f>IFERROR(VALUE('T12 Input'!E277),0)</f>
        <v/>
      </c>
      <c r="E266">
        <f>IFERROR(VALUE('T12 Input'!F277),0)</f>
        <v/>
      </c>
      <c r="F266">
        <f>IFERROR(VALUE('T12 Input'!G277),0)</f>
        <v/>
      </c>
      <c r="G266">
        <f>IFERROR(VALUE('T12 Input'!H277),0)</f>
        <v/>
      </c>
      <c r="H266">
        <f>IFERROR(VALUE('T12 Input'!I277),0)</f>
        <v/>
      </c>
      <c r="I266">
        <f>IFERROR(VALUE('T12 Input'!J277),0)</f>
        <v/>
      </c>
      <c r="J266">
        <f>IFERROR(VALUE('T12 Input'!K277),0)</f>
        <v/>
      </c>
      <c r="K266">
        <f>IFERROR(VALUE('T12 Input'!L277),0)</f>
        <v/>
      </c>
      <c r="L266">
        <f>IFERROR(VALUE('T12 Input'!M277),0)</f>
        <v/>
      </c>
      <c r="M266">
        <f>IFERROR(VALUE('T12 Input'!N277),0)</f>
        <v/>
      </c>
      <c r="N266">
        <f>IFERROR(INDEX(DescMap_Label,MATCH(A266,DescMap_Description,0)),"")</f>
        <v/>
      </c>
    </row>
    <row r="267" ht="15" customHeight="1" s="199">
      <c r="A267">
        <f>IFERROR(TRIM('T12 Input'!B278),)</f>
        <v/>
      </c>
      <c r="B267">
        <f>IFERROR(VALUE('T12 Input'!C278),0)</f>
        <v/>
      </c>
      <c r="C267">
        <f>IFERROR(VALUE('T12 Input'!D278),0)</f>
        <v/>
      </c>
      <c r="D267">
        <f>IFERROR(VALUE('T12 Input'!E278),0)</f>
        <v/>
      </c>
      <c r="E267">
        <f>IFERROR(VALUE('T12 Input'!F278),0)</f>
        <v/>
      </c>
      <c r="F267">
        <f>IFERROR(VALUE('T12 Input'!G278),0)</f>
        <v/>
      </c>
      <c r="G267">
        <f>IFERROR(VALUE('T12 Input'!H278),0)</f>
        <v/>
      </c>
      <c r="H267">
        <f>IFERROR(VALUE('T12 Input'!I278),0)</f>
        <v/>
      </c>
      <c r="I267">
        <f>IFERROR(VALUE('T12 Input'!J278),0)</f>
        <v/>
      </c>
      <c r="J267">
        <f>IFERROR(VALUE('T12 Input'!K278),0)</f>
        <v/>
      </c>
      <c r="K267">
        <f>IFERROR(VALUE('T12 Input'!L278),0)</f>
        <v/>
      </c>
      <c r="L267">
        <f>IFERROR(VALUE('T12 Input'!M278),0)</f>
        <v/>
      </c>
      <c r="M267">
        <f>IFERROR(VALUE('T12 Input'!N278),0)</f>
        <v/>
      </c>
      <c r="N267">
        <f>IFERROR(INDEX(DescMap_Label,MATCH(A267,DescMap_Description,0)),"")</f>
        <v/>
      </c>
    </row>
    <row r="268" ht="15" customHeight="1" s="199">
      <c r="A268">
        <f>IFERROR(TRIM('T12 Input'!B279),)</f>
        <v/>
      </c>
      <c r="B268">
        <f>IFERROR(VALUE('T12 Input'!C279),0)</f>
        <v/>
      </c>
      <c r="C268">
        <f>IFERROR(VALUE('T12 Input'!D279),0)</f>
        <v/>
      </c>
      <c r="D268">
        <f>IFERROR(VALUE('T12 Input'!E279),0)</f>
        <v/>
      </c>
      <c r="E268">
        <f>IFERROR(VALUE('T12 Input'!F279),0)</f>
        <v/>
      </c>
      <c r="F268">
        <f>IFERROR(VALUE('T12 Input'!G279),0)</f>
        <v/>
      </c>
      <c r="G268">
        <f>IFERROR(VALUE('T12 Input'!H279),0)</f>
        <v/>
      </c>
      <c r="H268">
        <f>IFERROR(VALUE('T12 Input'!I279),0)</f>
        <v/>
      </c>
      <c r="I268">
        <f>IFERROR(VALUE('T12 Input'!J279),0)</f>
        <v/>
      </c>
      <c r="J268">
        <f>IFERROR(VALUE('T12 Input'!K279),0)</f>
        <v/>
      </c>
      <c r="K268">
        <f>IFERROR(VALUE('T12 Input'!L279),0)</f>
        <v/>
      </c>
      <c r="L268">
        <f>IFERROR(VALUE('T12 Input'!M279),0)</f>
        <v/>
      </c>
      <c r="M268">
        <f>IFERROR(VALUE('T12 Input'!N279),0)</f>
        <v/>
      </c>
      <c r="N268">
        <f>IFERROR(INDEX(DescMap_Label,MATCH(A268,DescMap_Description,0)),"")</f>
        <v/>
      </c>
    </row>
    <row r="269" ht="15" customHeight="1" s="199">
      <c r="A269">
        <f>IFERROR(TRIM('T12 Input'!B280),)</f>
        <v/>
      </c>
      <c r="B269">
        <f>IFERROR(VALUE('T12 Input'!C280),0)</f>
        <v/>
      </c>
      <c r="C269">
        <f>IFERROR(VALUE('T12 Input'!D280),0)</f>
        <v/>
      </c>
      <c r="D269">
        <f>IFERROR(VALUE('T12 Input'!E280),0)</f>
        <v/>
      </c>
      <c r="E269">
        <f>IFERROR(VALUE('T12 Input'!F280),0)</f>
        <v/>
      </c>
      <c r="F269">
        <f>IFERROR(VALUE('T12 Input'!G280),0)</f>
        <v/>
      </c>
      <c r="G269">
        <f>IFERROR(VALUE('T12 Input'!H280),0)</f>
        <v/>
      </c>
      <c r="H269">
        <f>IFERROR(VALUE('T12 Input'!I280),0)</f>
        <v/>
      </c>
      <c r="I269">
        <f>IFERROR(VALUE('T12 Input'!J280),0)</f>
        <v/>
      </c>
      <c r="J269">
        <f>IFERROR(VALUE('T12 Input'!K280),0)</f>
        <v/>
      </c>
      <c r="K269">
        <f>IFERROR(VALUE('T12 Input'!L280),0)</f>
        <v/>
      </c>
      <c r="L269">
        <f>IFERROR(VALUE('T12 Input'!M280),0)</f>
        <v/>
      </c>
      <c r="M269">
        <f>IFERROR(VALUE('T12 Input'!N280),0)</f>
        <v/>
      </c>
      <c r="N269">
        <f>IFERROR(INDEX(DescMap_Label,MATCH(A269,DescMap_Description,0)),"")</f>
        <v/>
      </c>
    </row>
    <row r="270" ht="15" customHeight="1" s="199">
      <c r="A270">
        <f>IFERROR(TRIM('T12 Input'!B281),)</f>
        <v/>
      </c>
      <c r="B270">
        <f>IFERROR(VALUE('T12 Input'!C281),0)</f>
        <v/>
      </c>
      <c r="C270">
        <f>IFERROR(VALUE('T12 Input'!D281),0)</f>
        <v/>
      </c>
      <c r="D270">
        <f>IFERROR(VALUE('T12 Input'!E281),0)</f>
        <v/>
      </c>
      <c r="E270">
        <f>IFERROR(VALUE('T12 Input'!F281),0)</f>
        <v/>
      </c>
      <c r="F270">
        <f>IFERROR(VALUE('T12 Input'!G281),0)</f>
        <v/>
      </c>
      <c r="G270">
        <f>IFERROR(VALUE('T12 Input'!H281),0)</f>
        <v/>
      </c>
      <c r="H270">
        <f>IFERROR(VALUE('T12 Input'!I281),0)</f>
        <v/>
      </c>
      <c r="I270">
        <f>IFERROR(VALUE('T12 Input'!J281),0)</f>
        <v/>
      </c>
      <c r="J270">
        <f>IFERROR(VALUE('T12 Input'!K281),0)</f>
        <v/>
      </c>
      <c r="K270">
        <f>IFERROR(VALUE('T12 Input'!L281),0)</f>
        <v/>
      </c>
      <c r="L270">
        <f>IFERROR(VALUE('T12 Input'!M281),0)</f>
        <v/>
      </c>
      <c r="M270">
        <f>IFERROR(VALUE('T12 Input'!N281),0)</f>
        <v/>
      </c>
      <c r="N270">
        <f>IFERROR(INDEX(DescMap_Label,MATCH(A270,DescMap_Description,0)),"")</f>
        <v/>
      </c>
    </row>
    <row r="271" ht="15" customHeight="1" s="199">
      <c r="A271">
        <f>IFERROR(TRIM('T12 Input'!B282),)</f>
        <v/>
      </c>
      <c r="B271">
        <f>IFERROR(VALUE('T12 Input'!C282),0)</f>
        <v/>
      </c>
      <c r="C271">
        <f>IFERROR(VALUE('T12 Input'!D282),0)</f>
        <v/>
      </c>
      <c r="D271">
        <f>IFERROR(VALUE('T12 Input'!E282),0)</f>
        <v/>
      </c>
      <c r="E271">
        <f>IFERROR(VALUE('T12 Input'!F282),0)</f>
        <v/>
      </c>
      <c r="F271">
        <f>IFERROR(VALUE('T12 Input'!G282),0)</f>
        <v/>
      </c>
      <c r="G271">
        <f>IFERROR(VALUE('T12 Input'!H282),0)</f>
        <v/>
      </c>
      <c r="H271">
        <f>IFERROR(VALUE('T12 Input'!I282),0)</f>
        <v/>
      </c>
      <c r="I271">
        <f>IFERROR(VALUE('T12 Input'!J282),0)</f>
        <v/>
      </c>
      <c r="J271">
        <f>IFERROR(VALUE('T12 Input'!K282),0)</f>
        <v/>
      </c>
      <c r="K271">
        <f>IFERROR(VALUE('T12 Input'!L282),0)</f>
        <v/>
      </c>
      <c r="L271">
        <f>IFERROR(VALUE('T12 Input'!M282),0)</f>
        <v/>
      </c>
      <c r="M271">
        <f>IFERROR(VALUE('T12 Input'!N282),0)</f>
        <v/>
      </c>
      <c r="N271">
        <f>IFERROR(INDEX(DescMap_Label,MATCH(A271,DescMap_Description,0)),"")</f>
        <v/>
      </c>
    </row>
    <row r="272" ht="15" customHeight="1" s="199">
      <c r="A272">
        <f>IFERROR(TRIM('T12 Input'!B283),)</f>
        <v/>
      </c>
      <c r="B272">
        <f>IFERROR(VALUE('T12 Input'!C283),0)</f>
        <v/>
      </c>
      <c r="C272">
        <f>IFERROR(VALUE('T12 Input'!D283),0)</f>
        <v/>
      </c>
      <c r="D272">
        <f>IFERROR(VALUE('T12 Input'!E283),0)</f>
        <v/>
      </c>
      <c r="E272">
        <f>IFERROR(VALUE('T12 Input'!F283),0)</f>
        <v/>
      </c>
      <c r="F272">
        <f>IFERROR(VALUE('T12 Input'!G283),0)</f>
        <v/>
      </c>
      <c r="G272">
        <f>IFERROR(VALUE('T12 Input'!H283),0)</f>
        <v/>
      </c>
      <c r="H272">
        <f>IFERROR(VALUE('T12 Input'!I283),0)</f>
        <v/>
      </c>
      <c r="I272">
        <f>IFERROR(VALUE('T12 Input'!J283),0)</f>
        <v/>
      </c>
      <c r="J272">
        <f>IFERROR(VALUE('T12 Input'!K283),0)</f>
        <v/>
      </c>
      <c r="K272">
        <f>IFERROR(VALUE('T12 Input'!L283),0)</f>
        <v/>
      </c>
      <c r="L272">
        <f>IFERROR(VALUE('T12 Input'!M283),0)</f>
        <v/>
      </c>
      <c r="M272">
        <f>IFERROR(VALUE('T12 Input'!N283),0)</f>
        <v/>
      </c>
      <c r="N272">
        <f>IFERROR(INDEX(DescMap_Label,MATCH(A272,DescMap_Description,0)),"")</f>
        <v/>
      </c>
    </row>
    <row r="273" ht="15" customHeight="1" s="199">
      <c r="A273">
        <f>IFERROR(TRIM('T12 Input'!B284),)</f>
        <v/>
      </c>
      <c r="B273">
        <f>IFERROR(VALUE('T12 Input'!C284),0)</f>
        <v/>
      </c>
      <c r="C273">
        <f>IFERROR(VALUE('T12 Input'!D284),0)</f>
        <v/>
      </c>
      <c r="D273">
        <f>IFERROR(VALUE('T12 Input'!E284),0)</f>
        <v/>
      </c>
      <c r="E273">
        <f>IFERROR(VALUE('T12 Input'!F284),0)</f>
        <v/>
      </c>
      <c r="F273">
        <f>IFERROR(VALUE('T12 Input'!G284),0)</f>
        <v/>
      </c>
      <c r="G273">
        <f>IFERROR(VALUE('T12 Input'!H284),0)</f>
        <v/>
      </c>
      <c r="H273">
        <f>IFERROR(VALUE('T12 Input'!I284),0)</f>
        <v/>
      </c>
      <c r="I273">
        <f>IFERROR(VALUE('T12 Input'!J284),0)</f>
        <v/>
      </c>
      <c r="J273">
        <f>IFERROR(VALUE('T12 Input'!K284),0)</f>
        <v/>
      </c>
      <c r="K273">
        <f>IFERROR(VALUE('T12 Input'!L284),0)</f>
        <v/>
      </c>
      <c r="L273">
        <f>IFERROR(VALUE('T12 Input'!M284),0)</f>
        <v/>
      </c>
      <c r="M273">
        <f>IFERROR(VALUE('T12 Input'!N284),0)</f>
        <v/>
      </c>
      <c r="N273">
        <f>IFERROR(INDEX(DescMap_Label,MATCH(A273,DescMap_Description,0)),"")</f>
        <v/>
      </c>
    </row>
    <row r="274" ht="15" customHeight="1" s="199">
      <c r="A274">
        <f>IFERROR(TRIM('T12 Input'!B285),)</f>
        <v/>
      </c>
      <c r="B274">
        <f>IFERROR(VALUE('T12 Input'!C285),0)</f>
        <v/>
      </c>
      <c r="C274">
        <f>IFERROR(VALUE('T12 Input'!D285),0)</f>
        <v/>
      </c>
      <c r="D274">
        <f>IFERROR(VALUE('T12 Input'!E285),0)</f>
        <v/>
      </c>
      <c r="E274">
        <f>IFERROR(VALUE('T12 Input'!F285),0)</f>
        <v/>
      </c>
      <c r="F274">
        <f>IFERROR(VALUE('T12 Input'!G285),0)</f>
        <v/>
      </c>
      <c r="G274">
        <f>IFERROR(VALUE('T12 Input'!H285),0)</f>
        <v/>
      </c>
      <c r="H274">
        <f>IFERROR(VALUE('T12 Input'!I285),0)</f>
        <v/>
      </c>
      <c r="I274">
        <f>IFERROR(VALUE('T12 Input'!J285),0)</f>
        <v/>
      </c>
      <c r="J274">
        <f>IFERROR(VALUE('T12 Input'!K285),0)</f>
        <v/>
      </c>
      <c r="K274">
        <f>IFERROR(VALUE('T12 Input'!L285),0)</f>
        <v/>
      </c>
      <c r="L274">
        <f>IFERROR(VALUE('T12 Input'!M285),0)</f>
        <v/>
      </c>
      <c r="M274">
        <f>IFERROR(VALUE('T12 Input'!N285),0)</f>
        <v/>
      </c>
      <c r="N274">
        <f>IFERROR(INDEX(DescMap_Label,MATCH(A274,DescMap_Description,0)),"")</f>
        <v/>
      </c>
    </row>
    <row r="275" ht="15" customHeight="1" s="199">
      <c r="A275">
        <f>IFERROR(TRIM('T12 Input'!B286),)</f>
        <v/>
      </c>
      <c r="B275">
        <f>IFERROR(VALUE('T12 Input'!C286),0)</f>
        <v/>
      </c>
      <c r="C275">
        <f>IFERROR(VALUE('T12 Input'!D286),0)</f>
        <v/>
      </c>
      <c r="D275">
        <f>IFERROR(VALUE('T12 Input'!E286),0)</f>
        <v/>
      </c>
      <c r="E275">
        <f>IFERROR(VALUE('T12 Input'!F286),0)</f>
        <v/>
      </c>
      <c r="F275">
        <f>IFERROR(VALUE('T12 Input'!G286),0)</f>
        <v/>
      </c>
      <c r="G275">
        <f>IFERROR(VALUE('T12 Input'!H286),0)</f>
        <v/>
      </c>
      <c r="H275">
        <f>IFERROR(VALUE('T12 Input'!I286),0)</f>
        <v/>
      </c>
      <c r="I275">
        <f>IFERROR(VALUE('T12 Input'!J286),0)</f>
        <v/>
      </c>
      <c r="J275">
        <f>IFERROR(VALUE('T12 Input'!K286),0)</f>
        <v/>
      </c>
      <c r="K275">
        <f>IFERROR(VALUE('T12 Input'!L286),0)</f>
        <v/>
      </c>
      <c r="L275">
        <f>IFERROR(VALUE('T12 Input'!M286),0)</f>
        <v/>
      </c>
      <c r="M275">
        <f>IFERROR(VALUE('T12 Input'!N286),0)</f>
        <v/>
      </c>
      <c r="N275">
        <f>IFERROR(INDEX(DescMap_Label,MATCH(A275,DescMap_Description,0)),"")</f>
        <v/>
      </c>
    </row>
    <row r="276" ht="15" customHeight="1" s="199">
      <c r="A276">
        <f>IFERROR(TRIM('T12 Input'!B287),)</f>
        <v/>
      </c>
      <c r="B276">
        <f>IFERROR(VALUE('T12 Input'!C287),0)</f>
        <v/>
      </c>
      <c r="C276">
        <f>IFERROR(VALUE('T12 Input'!D287),0)</f>
        <v/>
      </c>
      <c r="D276">
        <f>IFERROR(VALUE('T12 Input'!E287),0)</f>
        <v/>
      </c>
      <c r="E276">
        <f>IFERROR(VALUE('T12 Input'!F287),0)</f>
        <v/>
      </c>
      <c r="F276">
        <f>IFERROR(VALUE('T12 Input'!G287),0)</f>
        <v/>
      </c>
      <c r="G276">
        <f>IFERROR(VALUE('T12 Input'!H287),0)</f>
        <v/>
      </c>
      <c r="H276">
        <f>IFERROR(VALUE('T12 Input'!I287),0)</f>
        <v/>
      </c>
      <c r="I276">
        <f>IFERROR(VALUE('T12 Input'!J287),0)</f>
        <v/>
      </c>
      <c r="J276">
        <f>IFERROR(VALUE('T12 Input'!K287),0)</f>
        <v/>
      </c>
      <c r="K276">
        <f>IFERROR(VALUE('T12 Input'!L287),0)</f>
        <v/>
      </c>
      <c r="L276">
        <f>IFERROR(VALUE('T12 Input'!M287),0)</f>
        <v/>
      </c>
      <c r="M276">
        <f>IFERROR(VALUE('T12 Input'!N287),0)</f>
        <v/>
      </c>
      <c r="N276">
        <f>IFERROR(INDEX(DescMap_Label,MATCH(A276,DescMap_Description,0)),"")</f>
        <v/>
      </c>
    </row>
    <row r="277" ht="15" customHeight="1" s="199">
      <c r="A277">
        <f>IFERROR(TRIM('T12 Input'!B288),)</f>
        <v/>
      </c>
      <c r="B277">
        <f>IFERROR(VALUE('T12 Input'!C288),0)</f>
        <v/>
      </c>
      <c r="C277">
        <f>IFERROR(VALUE('T12 Input'!D288),0)</f>
        <v/>
      </c>
      <c r="D277">
        <f>IFERROR(VALUE('T12 Input'!E288),0)</f>
        <v/>
      </c>
      <c r="E277">
        <f>IFERROR(VALUE('T12 Input'!F288),0)</f>
        <v/>
      </c>
      <c r="F277">
        <f>IFERROR(VALUE('T12 Input'!G288),0)</f>
        <v/>
      </c>
      <c r="G277">
        <f>IFERROR(VALUE('T12 Input'!H288),0)</f>
        <v/>
      </c>
      <c r="H277">
        <f>IFERROR(VALUE('T12 Input'!I288),0)</f>
        <v/>
      </c>
      <c r="I277">
        <f>IFERROR(VALUE('T12 Input'!J288),0)</f>
        <v/>
      </c>
      <c r="J277">
        <f>IFERROR(VALUE('T12 Input'!K288),0)</f>
        <v/>
      </c>
      <c r="K277">
        <f>IFERROR(VALUE('T12 Input'!L288),0)</f>
        <v/>
      </c>
      <c r="L277">
        <f>IFERROR(VALUE('T12 Input'!M288),0)</f>
        <v/>
      </c>
      <c r="M277">
        <f>IFERROR(VALUE('T12 Input'!N288),0)</f>
        <v/>
      </c>
      <c r="N277">
        <f>IFERROR(INDEX(DescMap_Label,MATCH(A277,DescMap_Description,0)),"")</f>
        <v/>
      </c>
    </row>
    <row r="278" ht="15" customHeight="1" s="199">
      <c r="A278">
        <f>IFERROR(TRIM('T12 Input'!B289),)</f>
        <v/>
      </c>
      <c r="B278">
        <f>IFERROR(VALUE('T12 Input'!C289),0)</f>
        <v/>
      </c>
      <c r="C278">
        <f>IFERROR(VALUE('T12 Input'!D289),0)</f>
        <v/>
      </c>
      <c r="D278">
        <f>IFERROR(VALUE('T12 Input'!E289),0)</f>
        <v/>
      </c>
      <c r="E278">
        <f>IFERROR(VALUE('T12 Input'!F289),0)</f>
        <v/>
      </c>
      <c r="F278">
        <f>IFERROR(VALUE('T12 Input'!G289),0)</f>
        <v/>
      </c>
      <c r="G278">
        <f>IFERROR(VALUE('T12 Input'!H289),0)</f>
        <v/>
      </c>
      <c r="H278">
        <f>IFERROR(VALUE('T12 Input'!I289),0)</f>
        <v/>
      </c>
      <c r="I278">
        <f>IFERROR(VALUE('T12 Input'!J289),0)</f>
        <v/>
      </c>
      <c r="J278">
        <f>IFERROR(VALUE('T12 Input'!K289),0)</f>
        <v/>
      </c>
      <c r="K278">
        <f>IFERROR(VALUE('T12 Input'!L289),0)</f>
        <v/>
      </c>
      <c r="L278">
        <f>IFERROR(VALUE('T12 Input'!M289),0)</f>
        <v/>
      </c>
      <c r="M278">
        <f>IFERROR(VALUE('T12 Input'!N289),0)</f>
        <v/>
      </c>
      <c r="N278">
        <f>IFERROR(INDEX(DescMap_Label,MATCH(A278,DescMap_Description,0)),"")</f>
        <v/>
      </c>
    </row>
    <row r="279" ht="15" customHeight="1" s="199">
      <c r="A279">
        <f>IFERROR(TRIM('T12 Input'!B290),)</f>
        <v/>
      </c>
      <c r="B279">
        <f>IFERROR(VALUE('T12 Input'!C290),0)</f>
        <v/>
      </c>
      <c r="C279">
        <f>IFERROR(VALUE('T12 Input'!D290),0)</f>
        <v/>
      </c>
      <c r="D279">
        <f>IFERROR(VALUE('T12 Input'!E290),0)</f>
        <v/>
      </c>
      <c r="E279">
        <f>IFERROR(VALUE('T12 Input'!F290),0)</f>
        <v/>
      </c>
      <c r="F279">
        <f>IFERROR(VALUE('T12 Input'!G290),0)</f>
        <v/>
      </c>
      <c r="G279">
        <f>IFERROR(VALUE('T12 Input'!H290),0)</f>
        <v/>
      </c>
      <c r="H279">
        <f>IFERROR(VALUE('T12 Input'!I290),0)</f>
        <v/>
      </c>
      <c r="I279">
        <f>IFERROR(VALUE('T12 Input'!J290),0)</f>
        <v/>
      </c>
      <c r="J279">
        <f>IFERROR(VALUE('T12 Input'!K290),0)</f>
        <v/>
      </c>
      <c r="K279">
        <f>IFERROR(VALUE('T12 Input'!L290),0)</f>
        <v/>
      </c>
      <c r="L279">
        <f>IFERROR(VALUE('T12 Input'!M290),0)</f>
        <v/>
      </c>
      <c r="M279">
        <f>IFERROR(VALUE('T12 Input'!N290),0)</f>
        <v/>
      </c>
      <c r="N279">
        <f>IFERROR(INDEX(DescMap_Label,MATCH(A279,DescMap_Description,0)),"")</f>
        <v/>
      </c>
    </row>
    <row r="280" ht="15" customHeight="1" s="199">
      <c r="A280">
        <f>IFERROR(TRIM('T12 Input'!B291),)</f>
        <v/>
      </c>
      <c r="B280">
        <f>IFERROR(VALUE('T12 Input'!C291),0)</f>
        <v/>
      </c>
      <c r="C280">
        <f>IFERROR(VALUE('T12 Input'!D291),0)</f>
        <v/>
      </c>
      <c r="D280">
        <f>IFERROR(VALUE('T12 Input'!E291),0)</f>
        <v/>
      </c>
      <c r="E280">
        <f>IFERROR(VALUE('T12 Input'!F291),0)</f>
        <v/>
      </c>
      <c r="F280">
        <f>IFERROR(VALUE('T12 Input'!G291),0)</f>
        <v/>
      </c>
      <c r="G280">
        <f>IFERROR(VALUE('T12 Input'!H291),0)</f>
        <v/>
      </c>
      <c r="H280">
        <f>IFERROR(VALUE('T12 Input'!I291),0)</f>
        <v/>
      </c>
      <c r="I280">
        <f>IFERROR(VALUE('T12 Input'!J291),0)</f>
        <v/>
      </c>
      <c r="J280">
        <f>IFERROR(VALUE('T12 Input'!K291),0)</f>
        <v/>
      </c>
      <c r="K280">
        <f>IFERROR(VALUE('T12 Input'!L291),0)</f>
        <v/>
      </c>
      <c r="L280">
        <f>IFERROR(VALUE('T12 Input'!M291),0)</f>
        <v/>
      </c>
      <c r="M280">
        <f>IFERROR(VALUE('T12 Input'!N291),0)</f>
        <v/>
      </c>
      <c r="N280">
        <f>IFERROR(INDEX(DescMap_Label,MATCH(A280,DescMap_Description,0)),"")</f>
        <v/>
      </c>
    </row>
    <row r="281" ht="15" customHeight="1" s="199">
      <c r="A281">
        <f>IFERROR(TRIM('T12 Input'!B292),)</f>
        <v/>
      </c>
      <c r="B281">
        <f>IFERROR(VALUE('T12 Input'!C292),0)</f>
        <v/>
      </c>
      <c r="C281">
        <f>IFERROR(VALUE('T12 Input'!D292),0)</f>
        <v/>
      </c>
      <c r="D281">
        <f>IFERROR(VALUE('T12 Input'!E292),0)</f>
        <v/>
      </c>
      <c r="E281">
        <f>IFERROR(VALUE('T12 Input'!F292),0)</f>
        <v/>
      </c>
      <c r="F281">
        <f>IFERROR(VALUE('T12 Input'!G292),0)</f>
        <v/>
      </c>
      <c r="G281">
        <f>IFERROR(VALUE('T12 Input'!H292),0)</f>
        <v/>
      </c>
      <c r="H281">
        <f>IFERROR(VALUE('T12 Input'!I292),0)</f>
        <v/>
      </c>
      <c r="I281">
        <f>IFERROR(VALUE('T12 Input'!J292),0)</f>
        <v/>
      </c>
      <c r="J281">
        <f>IFERROR(VALUE('T12 Input'!K292),0)</f>
        <v/>
      </c>
      <c r="K281">
        <f>IFERROR(VALUE('T12 Input'!L292),0)</f>
        <v/>
      </c>
      <c r="L281">
        <f>IFERROR(VALUE('T12 Input'!M292),0)</f>
        <v/>
      </c>
      <c r="M281">
        <f>IFERROR(VALUE('T12 Input'!N292),0)</f>
        <v/>
      </c>
      <c r="N281">
        <f>IFERROR(INDEX(DescMap_Label,MATCH(A281,DescMap_Description,0)),"")</f>
        <v/>
      </c>
    </row>
    <row r="282" ht="15" customHeight="1" s="199">
      <c r="A282">
        <f>IFERROR(TRIM('T12 Input'!B293),)</f>
        <v/>
      </c>
      <c r="B282">
        <f>IFERROR(VALUE('T12 Input'!C293),0)</f>
        <v/>
      </c>
      <c r="C282">
        <f>IFERROR(VALUE('T12 Input'!D293),0)</f>
        <v/>
      </c>
      <c r="D282">
        <f>IFERROR(VALUE('T12 Input'!E293),0)</f>
        <v/>
      </c>
      <c r="E282">
        <f>IFERROR(VALUE('T12 Input'!F293),0)</f>
        <v/>
      </c>
      <c r="F282">
        <f>IFERROR(VALUE('T12 Input'!G293),0)</f>
        <v/>
      </c>
      <c r="G282">
        <f>IFERROR(VALUE('T12 Input'!H293),0)</f>
        <v/>
      </c>
      <c r="H282">
        <f>IFERROR(VALUE('T12 Input'!I293),0)</f>
        <v/>
      </c>
      <c r="I282">
        <f>IFERROR(VALUE('T12 Input'!J293),0)</f>
        <v/>
      </c>
      <c r="J282">
        <f>IFERROR(VALUE('T12 Input'!K293),0)</f>
        <v/>
      </c>
      <c r="K282">
        <f>IFERROR(VALUE('T12 Input'!L293),0)</f>
        <v/>
      </c>
      <c r="L282">
        <f>IFERROR(VALUE('T12 Input'!M293),0)</f>
        <v/>
      </c>
      <c r="M282">
        <f>IFERROR(VALUE('T12 Input'!N293),0)</f>
        <v/>
      </c>
      <c r="N282">
        <f>IFERROR(INDEX(DescMap_Label,MATCH(A282,DescMap_Description,0)),"")</f>
        <v/>
      </c>
    </row>
    <row r="283" ht="15" customHeight="1" s="199">
      <c r="A283">
        <f>IFERROR(TRIM('T12 Input'!B294),)</f>
        <v/>
      </c>
      <c r="B283">
        <f>IFERROR(VALUE('T12 Input'!C294),0)</f>
        <v/>
      </c>
      <c r="C283">
        <f>IFERROR(VALUE('T12 Input'!D294),0)</f>
        <v/>
      </c>
      <c r="D283">
        <f>IFERROR(VALUE('T12 Input'!E294),0)</f>
        <v/>
      </c>
      <c r="E283">
        <f>IFERROR(VALUE('T12 Input'!F294),0)</f>
        <v/>
      </c>
      <c r="F283">
        <f>IFERROR(VALUE('T12 Input'!G294),0)</f>
        <v/>
      </c>
      <c r="G283">
        <f>IFERROR(VALUE('T12 Input'!H294),0)</f>
        <v/>
      </c>
      <c r="H283">
        <f>IFERROR(VALUE('T12 Input'!I294),0)</f>
        <v/>
      </c>
      <c r="I283">
        <f>IFERROR(VALUE('T12 Input'!J294),0)</f>
        <v/>
      </c>
      <c r="J283">
        <f>IFERROR(VALUE('T12 Input'!K294),0)</f>
        <v/>
      </c>
      <c r="K283">
        <f>IFERROR(VALUE('T12 Input'!L294),0)</f>
        <v/>
      </c>
      <c r="L283">
        <f>IFERROR(VALUE('T12 Input'!M294),0)</f>
        <v/>
      </c>
      <c r="M283">
        <f>IFERROR(VALUE('T12 Input'!N294),0)</f>
        <v/>
      </c>
      <c r="N283">
        <f>IFERROR(INDEX(DescMap_Label,MATCH(A283,DescMap_Description,0)),"")</f>
        <v/>
      </c>
    </row>
    <row r="284" ht="15" customHeight="1" s="199">
      <c r="A284">
        <f>IFERROR(TRIM('T12 Input'!B295),)</f>
        <v/>
      </c>
      <c r="B284">
        <f>IFERROR(VALUE('T12 Input'!C295),0)</f>
        <v/>
      </c>
      <c r="C284">
        <f>IFERROR(VALUE('T12 Input'!D295),0)</f>
        <v/>
      </c>
      <c r="D284">
        <f>IFERROR(VALUE('T12 Input'!E295),0)</f>
        <v/>
      </c>
      <c r="E284">
        <f>IFERROR(VALUE('T12 Input'!F295),0)</f>
        <v/>
      </c>
      <c r="F284">
        <f>IFERROR(VALUE('T12 Input'!G295),0)</f>
        <v/>
      </c>
      <c r="G284">
        <f>IFERROR(VALUE('T12 Input'!H295),0)</f>
        <v/>
      </c>
      <c r="H284">
        <f>IFERROR(VALUE('T12 Input'!I295),0)</f>
        <v/>
      </c>
      <c r="I284">
        <f>IFERROR(VALUE('T12 Input'!J295),0)</f>
        <v/>
      </c>
      <c r="J284">
        <f>IFERROR(VALUE('T12 Input'!K295),0)</f>
        <v/>
      </c>
      <c r="K284">
        <f>IFERROR(VALUE('T12 Input'!L295),0)</f>
        <v/>
      </c>
      <c r="L284">
        <f>IFERROR(VALUE('T12 Input'!M295),0)</f>
        <v/>
      </c>
      <c r="M284">
        <f>IFERROR(VALUE('T12 Input'!N295),0)</f>
        <v/>
      </c>
      <c r="N284">
        <f>IFERROR(INDEX(DescMap_Label,MATCH(A284,DescMap_Description,0)),"")</f>
        <v/>
      </c>
    </row>
    <row r="285" ht="15" customHeight="1" s="199">
      <c r="A285">
        <f>IFERROR(TRIM('T12 Input'!B296),)</f>
        <v/>
      </c>
      <c r="B285">
        <f>IFERROR(VALUE('T12 Input'!C296),0)</f>
        <v/>
      </c>
      <c r="C285">
        <f>IFERROR(VALUE('T12 Input'!D296),0)</f>
        <v/>
      </c>
      <c r="D285">
        <f>IFERROR(VALUE('T12 Input'!E296),0)</f>
        <v/>
      </c>
      <c r="E285">
        <f>IFERROR(VALUE('T12 Input'!F296),0)</f>
        <v/>
      </c>
      <c r="F285">
        <f>IFERROR(VALUE('T12 Input'!G296),0)</f>
        <v/>
      </c>
      <c r="G285">
        <f>IFERROR(VALUE('T12 Input'!H296),0)</f>
        <v/>
      </c>
      <c r="H285">
        <f>IFERROR(VALUE('T12 Input'!I296),0)</f>
        <v/>
      </c>
      <c r="I285">
        <f>IFERROR(VALUE('T12 Input'!J296),0)</f>
        <v/>
      </c>
      <c r="J285">
        <f>IFERROR(VALUE('T12 Input'!K296),0)</f>
        <v/>
      </c>
      <c r="K285">
        <f>IFERROR(VALUE('T12 Input'!L296),0)</f>
        <v/>
      </c>
      <c r="L285">
        <f>IFERROR(VALUE('T12 Input'!M296),0)</f>
        <v/>
      </c>
      <c r="M285">
        <f>IFERROR(VALUE('T12 Input'!N296),0)</f>
        <v/>
      </c>
      <c r="N285">
        <f>IFERROR(INDEX(DescMap_Label,MATCH(A285,DescMap_Description,0)),"")</f>
        <v/>
      </c>
    </row>
    <row r="286" ht="15" customHeight="1" s="199">
      <c r="A286">
        <f>IFERROR(TRIM('T12 Input'!B297),)</f>
        <v/>
      </c>
      <c r="B286">
        <f>IFERROR(VALUE('T12 Input'!C297),0)</f>
        <v/>
      </c>
      <c r="C286">
        <f>IFERROR(VALUE('T12 Input'!D297),0)</f>
        <v/>
      </c>
      <c r="D286">
        <f>IFERROR(VALUE('T12 Input'!E297),0)</f>
        <v/>
      </c>
      <c r="E286">
        <f>IFERROR(VALUE('T12 Input'!F297),0)</f>
        <v/>
      </c>
      <c r="F286">
        <f>IFERROR(VALUE('T12 Input'!G297),0)</f>
        <v/>
      </c>
      <c r="G286">
        <f>IFERROR(VALUE('T12 Input'!H297),0)</f>
        <v/>
      </c>
      <c r="H286">
        <f>IFERROR(VALUE('T12 Input'!I297),0)</f>
        <v/>
      </c>
      <c r="I286">
        <f>IFERROR(VALUE('T12 Input'!J297),0)</f>
        <v/>
      </c>
      <c r="J286">
        <f>IFERROR(VALUE('T12 Input'!K297),0)</f>
        <v/>
      </c>
      <c r="K286">
        <f>IFERROR(VALUE('T12 Input'!L297),0)</f>
        <v/>
      </c>
      <c r="L286">
        <f>IFERROR(VALUE('T12 Input'!M297),0)</f>
        <v/>
      </c>
      <c r="M286">
        <f>IFERROR(VALUE('T12 Input'!N297),0)</f>
        <v/>
      </c>
      <c r="N286">
        <f>IFERROR(INDEX(DescMap_Label,MATCH(A286,DescMap_Description,0)),"")</f>
        <v/>
      </c>
    </row>
    <row r="287" ht="15" customHeight="1" s="199">
      <c r="A287">
        <f>IFERROR(TRIM('T12 Input'!B298),)</f>
        <v/>
      </c>
      <c r="B287">
        <f>IFERROR(VALUE('T12 Input'!C298),0)</f>
        <v/>
      </c>
      <c r="C287">
        <f>IFERROR(VALUE('T12 Input'!D298),0)</f>
        <v/>
      </c>
      <c r="D287">
        <f>IFERROR(VALUE('T12 Input'!E298),0)</f>
        <v/>
      </c>
      <c r="E287">
        <f>IFERROR(VALUE('T12 Input'!F298),0)</f>
        <v/>
      </c>
      <c r="F287">
        <f>IFERROR(VALUE('T12 Input'!G298),0)</f>
        <v/>
      </c>
      <c r="G287">
        <f>IFERROR(VALUE('T12 Input'!H298),0)</f>
        <v/>
      </c>
      <c r="H287">
        <f>IFERROR(VALUE('T12 Input'!I298),0)</f>
        <v/>
      </c>
      <c r="I287">
        <f>IFERROR(VALUE('T12 Input'!J298),0)</f>
        <v/>
      </c>
      <c r="J287">
        <f>IFERROR(VALUE('T12 Input'!K298),0)</f>
        <v/>
      </c>
      <c r="K287">
        <f>IFERROR(VALUE('T12 Input'!L298),0)</f>
        <v/>
      </c>
      <c r="L287">
        <f>IFERROR(VALUE('T12 Input'!M298),0)</f>
        <v/>
      </c>
      <c r="M287">
        <f>IFERROR(VALUE('T12 Input'!N298),0)</f>
        <v/>
      </c>
      <c r="N287">
        <f>IFERROR(INDEX(DescMap_Label,MATCH(A287,DescMap_Description,0)),"")</f>
        <v/>
      </c>
    </row>
    <row r="288" ht="15" customHeight="1" s="199">
      <c r="A288">
        <f>IFERROR(TRIM('T12 Input'!B299),)</f>
        <v/>
      </c>
      <c r="B288">
        <f>IFERROR(VALUE('T12 Input'!C299),0)</f>
        <v/>
      </c>
      <c r="C288">
        <f>IFERROR(VALUE('T12 Input'!D299),0)</f>
        <v/>
      </c>
      <c r="D288">
        <f>IFERROR(VALUE('T12 Input'!E299),0)</f>
        <v/>
      </c>
      <c r="E288">
        <f>IFERROR(VALUE('T12 Input'!F299),0)</f>
        <v/>
      </c>
      <c r="F288">
        <f>IFERROR(VALUE('T12 Input'!G299),0)</f>
        <v/>
      </c>
      <c r="G288">
        <f>IFERROR(VALUE('T12 Input'!H299),0)</f>
        <v/>
      </c>
      <c r="H288">
        <f>IFERROR(VALUE('T12 Input'!I299),0)</f>
        <v/>
      </c>
      <c r="I288">
        <f>IFERROR(VALUE('T12 Input'!J299),0)</f>
        <v/>
      </c>
      <c r="J288">
        <f>IFERROR(VALUE('T12 Input'!K299),0)</f>
        <v/>
      </c>
      <c r="K288">
        <f>IFERROR(VALUE('T12 Input'!L299),0)</f>
        <v/>
      </c>
      <c r="L288">
        <f>IFERROR(VALUE('T12 Input'!M299),0)</f>
        <v/>
      </c>
      <c r="M288">
        <f>IFERROR(VALUE('T12 Input'!N299),0)</f>
        <v/>
      </c>
      <c r="N288">
        <f>IFERROR(INDEX(DescMap_Label,MATCH(A288,DescMap_Description,0)),"")</f>
        <v/>
      </c>
    </row>
    <row r="289" ht="15" customHeight="1" s="199">
      <c r="A289">
        <f>IFERROR(TRIM('T12 Input'!B300),)</f>
        <v/>
      </c>
      <c r="B289">
        <f>IFERROR(VALUE('T12 Input'!C300),0)</f>
        <v/>
      </c>
      <c r="C289">
        <f>IFERROR(VALUE('T12 Input'!D300),0)</f>
        <v/>
      </c>
      <c r="D289">
        <f>IFERROR(VALUE('T12 Input'!E300),0)</f>
        <v/>
      </c>
      <c r="E289">
        <f>IFERROR(VALUE('T12 Input'!F300),0)</f>
        <v/>
      </c>
      <c r="F289">
        <f>IFERROR(VALUE('T12 Input'!G300),0)</f>
        <v/>
      </c>
      <c r="G289">
        <f>IFERROR(VALUE('T12 Input'!H300),0)</f>
        <v/>
      </c>
      <c r="H289">
        <f>IFERROR(VALUE('T12 Input'!I300),0)</f>
        <v/>
      </c>
      <c r="I289">
        <f>IFERROR(VALUE('T12 Input'!J300),0)</f>
        <v/>
      </c>
      <c r="J289">
        <f>IFERROR(VALUE('T12 Input'!K300),0)</f>
        <v/>
      </c>
      <c r="K289">
        <f>IFERROR(VALUE('T12 Input'!L300),0)</f>
        <v/>
      </c>
      <c r="L289">
        <f>IFERROR(VALUE('T12 Input'!M300),0)</f>
        <v/>
      </c>
      <c r="M289">
        <f>IFERROR(VALUE('T12 Input'!N300),0)</f>
        <v/>
      </c>
      <c r="N289">
        <f>IFERROR(INDEX(DescMap_Label,MATCH(A289,DescMap_Description,0)),"")</f>
        <v/>
      </c>
    </row>
    <row r="290" ht="15" customHeight="1" s="199">
      <c r="A290">
        <f>IFERROR(TRIM('T12 Input'!B301),)</f>
        <v/>
      </c>
      <c r="B290">
        <f>IFERROR(VALUE('T12 Input'!C301),0)</f>
        <v/>
      </c>
      <c r="C290">
        <f>IFERROR(VALUE('T12 Input'!D301),0)</f>
        <v/>
      </c>
      <c r="D290">
        <f>IFERROR(VALUE('T12 Input'!E301),0)</f>
        <v/>
      </c>
      <c r="E290">
        <f>IFERROR(VALUE('T12 Input'!F301),0)</f>
        <v/>
      </c>
      <c r="F290">
        <f>IFERROR(VALUE('T12 Input'!G301),0)</f>
        <v/>
      </c>
      <c r="G290">
        <f>IFERROR(VALUE('T12 Input'!H301),0)</f>
        <v/>
      </c>
      <c r="H290">
        <f>IFERROR(VALUE('T12 Input'!I301),0)</f>
        <v/>
      </c>
      <c r="I290">
        <f>IFERROR(VALUE('T12 Input'!J301),0)</f>
        <v/>
      </c>
      <c r="J290">
        <f>IFERROR(VALUE('T12 Input'!K301),0)</f>
        <v/>
      </c>
      <c r="K290">
        <f>IFERROR(VALUE('T12 Input'!L301),0)</f>
        <v/>
      </c>
      <c r="L290">
        <f>IFERROR(VALUE('T12 Input'!M301),0)</f>
        <v/>
      </c>
      <c r="M290">
        <f>IFERROR(VALUE('T12 Input'!N301),0)</f>
        <v/>
      </c>
      <c r="N290">
        <f>IFERROR(INDEX(DescMap_Label,MATCH(A290,DescMap_Description,0)),"")</f>
        <v/>
      </c>
    </row>
    <row r="291" ht="15" customHeight="1" s="199">
      <c r="A291">
        <f>IFERROR(TRIM('T12 Input'!B302),)</f>
        <v/>
      </c>
      <c r="B291">
        <f>IFERROR(VALUE('T12 Input'!C302),0)</f>
        <v/>
      </c>
      <c r="C291">
        <f>IFERROR(VALUE('T12 Input'!D302),0)</f>
        <v/>
      </c>
      <c r="D291">
        <f>IFERROR(VALUE('T12 Input'!E302),0)</f>
        <v/>
      </c>
      <c r="E291">
        <f>IFERROR(VALUE('T12 Input'!F302),0)</f>
        <v/>
      </c>
      <c r="F291">
        <f>IFERROR(VALUE('T12 Input'!G302),0)</f>
        <v/>
      </c>
      <c r="G291">
        <f>IFERROR(VALUE('T12 Input'!H302),0)</f>
        <v/>
      </c>
      <c r="H291">
        <f>IFERROR(VALUE('T12 Input'!I302),0)</f>
        <v/>
      </c>
      <c r="I291">
        <f>IFERROR(VALUE('T12 Input'!J302),0)</f>
        <v/>
      </c>
      <c r="J291">
        <f>IFERROR(VALUE('T12 Input'!K302),0)</f>
        <v/>
      </c>
      <c r="K291">
        <f>IFERROR(VALUE('T12 Input'!L302),0)</f>
        <v/>
      </c>
      <c r="L291">
        <f>IFERROR(VALUE('T12 Input'!M302),0)</f>
        <v/>
      </c>
      <c r="M291">
        <f>IFERROR(VALUE('T12 Input'!N302),0)</f>
        <v/>
      </c>
      <c r="N291">
        <f>IFERROR(INDEX(DescMap_Label,MATCH(A291,DescMap_Description,0)),"")</f>
        <v/>
      </c>
    </row>
    <row r="292" ht="15" customHeight="1" s="199">
      <c r="A292">
        <f>IFERROR(TRIM('T12 Input'!B303),)</f>
        <v/>
      </c>
      <c r="B292">
        <f>IFERROR(VALUE('T12 Input'!C303),0)</f>
        <v/>
      </c>
      <c r="C292">
        <f>IFERROR(VALUE('T12 Input'!D303),0)</f>
        <v/>
      </c>
      <c r="D292">
        <f>IFERROR(VALUE('T12 Input'!E303),0)</f>
        <v/>
      </c>
      <c r="E292">
        <f>IFERROR(VALUE('T12 Input'!F303),0)</f>
        <v/>
      </c>
      <c r="F292">
        <f>IFERROR(VALUE('T12 Input'!G303),0)</f>
        <v/>
      </c>
      <c r="G292">
        <f>IFERROR(VALUE('T12 Input'!H303),0)</f>
        <v/>
      </c>
      <c r="H292">
        <f>IFERROR(VALUE('T12 Input'!I303),0)</f>
        <v/>
      </c>
      <c r="I292">
        <f>IFERROR(VALUE('T12 Input'!J303),0)</f>
        <v/>
      </c>
      <c r="J292">
        <f>IFERROR(VALUE('T12 Input'!K303),0)</f>
        <v/>
      </c>
      <c r="K292">
        <f>IFERROR(VALUE('T12 Input'!L303),0)</f>
        <v/>
      </c>
      <c r="L292">
        <f>IFERROR(VALUE('T12 Input'!M303),0)</f>
        <v/>
      </c>
      <c r="M292">
        <f>IFERROR(VALUE('T12 Input'!N303),0)</f>
        <v/>
      </c>
      <c r="N292">
        <f>IFERROR(INDEX(DescMap_Label,MATCH(A292,DescMap_Description,0)),"")</f>
        <v/>
      </c>
    </row>
    <row r="293" ht="15" customHeight="1" s="199">
      <c r="A293">
        <f>IFERROR(TRIM('T12 Input'!B304),)</f>
        <v/>
      </c>
      <c r="B293">
        <f>IFERROR(VALUE('T12 Input'!C304),0)</f>
        <v/>
      </c>
      <c r="C293">
        <f>IFERROR(VALUE('T12 Input'!D304),0)</f>
        <v/>
      </c>
      <c r="D293">
        <f>IFERROR(VALUE('T12 Input'!E304),0)</f>
        <v/>
      </c>
      <c r="E293">
        <f>IFERROR(VALUE('T12 Input'!F304),0)</f>
        <v/>
      </c>
      <c r="F293">
        <f>IFERROR(VALUE('T12 Input'!G304),0)</f>
        <v/>
      </c>
      <c r="G293">
        <f>IFERROR(VALUE('T12 Input'!H304),0)</f>
        <v/>
      </c>
      <c r="H293">
        <f>IFERROR(VALUE('T12 Input'!I304),0)</f>
        <v/>
      </c>
      <c r="I293">
        <f>IFERROR(VALUE('T12 Input'!J304),0)</f>
        <v/>
      </c>
      <c r="J293">
        <f>IFERROR(VALUE('T12 Input'!K304),0)</f>
        <v/>
      </c>
      <c r="K293">
        <f>IFERROR(VALUE('T12 Input'!L304),0)</f>
        <v/>
      </c>
      <c r="L293">
        <f>IFERROR(VALUE('T12 Input'!M304),0)</f>
        <v/>
      </c>
      <c r="M293">
        <f>IFERROR(VALUE('T12 Input'!N304),0)</f>
        <v/>
      </c>
      <c r="N293">
        <f>IFERROR(INDEX(DescMap_Label,MATCH(A293,DescMap_Description,0)),"")</f>
        <v/>
      </c>
    </row>
    <row r="294" ht="15" customHeight="1" s="199">
      <c r="A294">
        <f>IFERROR(TRIM('T12 Input'!B305),)</f>
        <v/>
      </c>
      <c r="B294">
        <f>IFERROR(VALUE('T12 Input'!C305),0)</f>
        <v/>
      </c>
      <c r="C294">
        <f>IFERROR(VALUE('T12 Input'!D305),0)</f>
        <v/>
      </c>
      <c r="D294">
        <f>IFERROR(VALUE('T12 Input'!E305),0)</f>
        <v/>
      </c>
      <c r="E294">
        <f>IFERROR(VALUE('T12 Input'!F305),0)</f>
        <v/>
      </c>
      <c r="F294">
        <f>IFERROR(VALUE('T12 Input'!G305),0)</f>
        <v/>
      </c>
      <c r="G294">
        <f>IFERROR(VALUE('T12 Input'!H305),0)</f>
        <v/>
      </c>
      <c r="H294">
        <f>IFERROR(VALUE('T12 Input'!I305),0)</f>
        <v/>
      </c>
      <c r="I294">
        <f>IFERROR(VALUE('T12 Input'!J305),0)</f>
        <v/>
      </c>
      <c r="J294">
        <f>IFERROR(VALUE('T12 Input'!K305),0)</f>
        <v/>
      </c>
      <c r="K294">
        <f>IFERROR(VALUE('T12 Input'!L305),0)</f>
        <v/>
      </c>
      <c r="L294">
        <f>IFERROR(VALUE('T12 Input'!M305),0)</f>
        <v/>
      </c>
      <c r="M294">
        <f>IFERROR(VALUE('T12 Input'!N305),0)</f>
        <v/>
      </c>
      <c r="N294">
        <f>IFERROR(INDEX(DescMap_Label,MATCH(A294,DescMap_Description,0)),"")</f>
        <v/>
      </c>
    </row>
    <row r="295" ht="15" customHeight="1" s="199">
      <c r="A295">
        <f>IFERROR(TRIM('T12 Input'!B306),)</f>
        <v/>
      </c>
      <c r="B295">
        <f>IFERROR(VALUE('T12 Input'!C306),0)</f>
        <v/>
      </c>
      <c r="C295">
        <f>IFERROR(VALUE('T12 Input'!D306),0)</f>
        <v/>
      </c>
      <c r="D295">
        <f>IFERROR(VALUE('T12 Input'!E306),0)</f>
        <v/>
      </c>
      <c r="E295">
        <f>IFERROR(VALUE('T12 Input'!F306),0)</f>
        <v/>
      </c>
      <c r="F295">
        <f>IFERROR(VALUE('T12 Input'!G306),0)</f>
        <v/>
      </c>
      <c r="G295">
        <f>IFERROR(VALUE('T12 Input'!H306),0)</f>
        <v/>
      </c>
      <c r="H295">
        <f>IFERROR(VALUE('T12 Input'!I306),0)</f>
        <v/>
      </c>
      <c r="I295">
        <f>IFERROR(VALUE('T12 Input'!J306),0)</f>
        <v/>
      </c>
      <c r="J295">
        <f>IFERROR(VALUE('T12 Input'!K306),0)</f>
        <v/>
      </c>
      <c r="K295">
        <f>IFERROR(VALUE('T12 Input'!L306),0)</f>
        <v/>
      </c>
      <c r="L295">
        <f>IFERROR(VALUE('T12 Input'!M306),0)</f>
        <v/>
      </c>
      <c r="M295">
        <f>IFERROR(VALUE('T12 Input'!N306),0)</f>
        <v/>
      </c>
      <c r="N295">
        <f>IFERROR(INDEX(DescMap_Label,MATCH(A295,DescMap_Description,0)),"")</f>
        <v/>
      </c>
    </row>
    <row r="296" ht="15" customHeight="1" s="199">
      <c r="A296">
        <f>IFERROR(TRIM('T12 Input'!B307),)</f>
        <v/>
      </c>
      <c r="B296">
        <f>IFERROR(VALUE('T12 Input'!C307),0)</f>
        <v/>
      </c>
      <c r="C296">
        <f>IFERROR(VALUE('T12 Input'!D307),0)</f>
        <v/>
      </c>
      <c r="D296">
        <f>IFERROR(VALUE('T12 Input'!E307),0)</f>
        <v/>
      </c>
      <c r="E296">
        <f>IFERROR(VALUE('T12 Input'!F307),0)</f>
        <v/>
      </c>
      <c r="F296">
        <f>IFERROR(VALUE('T12 Input'!G307),0)</f>
        <v/>
      </c>
      <c r="G296">
        <f>IFERROR(VALUE('T12 Input'!H307),0)</f>
        <v/>
      </c>
      <c r="H296">
        <f>IFERROR(VALUE('T12 Input'!I307),0)</f>
        <v/>
      </c>
      <c r="I296">
        <f>IFERROR(VALUE('T12 Input'!J307),0)</f>
        <v/>
      </c>
      <c r="J296">
        <f>IFERROR(VALUE('T12 Input'!K307),0)</f>
        <v/>
      </c>
      <c r="K296">
        <f>IFERROR(VALUE('T12 Input'!L307),0)</f>
        <v/>
      </c>
      <c r="L296">
        <f>IFERROR(VALUE('T12 Input'!M307),0)</f>
        <v/>
      </c>
      <c r="M296">
        <f>IFERROR(VALUE('T12 Input'!N307),0)</f>
        <v/>
      </c>
      <c r="N296">
        <f>IFERROR(INDEX(DescMap_Label,MATCH(A296,DescMap_Description,0)),"")</f>
        <v/>
      </c>
    </row>
    <row r="297" ht="15" customHeight="1" s="199">
      <c r="A297">
        <f>IFERROR(TRIM('T12 Input'!B308),)</f>
        <v/>
      </c>
      <c r="B297">
        <f>IFERROR(VALUE('T12 Input'!C308),0)</f>
        <v/>
      </c>
      <c r="C297">
        <f>IFERROR(VALUE('T12 Input'!D308),0)</f>
        <v/>
      </c>
      <c r="D297">
        <f>IFERROR(VALUE('T12 Input'!E308),0)</f>
        <v/>
      </c>
      <c r="E297">
        <f>IFERROR(VALUE('T12 Input'!F308),0)</f>
        <v/>
      </c>
      <c r="F297">
        <f>IFERROR(VALUE('T12 Input'!G308),0)</f>
        <v/>
      </c>
      <c r="G297">
        <f>IFERROR(VALUE('T12 Input'!H308),0)</f>
        <v/>
      </c>
      <c r="H297">
        <f>IFERROR(VALUE('T12 Input'!I308),0)</f>
        <v/>
      </c>
      <c r="I297">
        <f>IFERROR(VALUE('T12 Input'!J308),0)</f>
        <v/>
      </c>
      <c r="J297">
        <f>IFERROR(VALUE('T12 Input'!K308),0)</f>
        <v/>
      </c>
      <c r="K297">
        <f>IFERROR(VALUE('T12 Input'!L308),0)</f>
        <v/>
      </c>
      <c r="L297">
        <f>IFERROR(VALUE('T12 Input'!M308),0)</f>
        <v/>
      </c>
      <c r="M297">
        <f>IFERROR(VALUE('T12 Input'!N308),0)</f>
        <v/>
      </c>
      <c r="N297">
        <f>IFERROR(INDEX(DescMap_Label,MATCH(A297,DescMap_Description,0)),"")</f>
        <v/>
      </c>
    </row>
    <row r="298" ht="15" customHeight="1" s="199">
      <c r="A298">
        <f>IFERROR(TRIM('T12 Input'!B309),)</f>
        <v/>
      </c>
      <c r="B298">
        <f>IFERROR(VALUE('T12 Input'!C309),0)</f>
        <v/>
      </c>
      <c r="C298">
        <f>IFERROR(VALUE('T12 Input'!D309),0)</f>
        <v/>
      </c>
      <c r="D298">
        <f>IFERROR(VALUE('T12 Input'!E309),0)</f>
        <v/>
      </c>
      <c r="E298">
        <f>IFERROR(VALUE('T12 Input'!F309),0)</f>
        <v/>
      </c>
      <c r="F298">
        <f>IFERROR(VALUE('T12 Input'!G309),0)</f>
        <v/>
      </c>
      <c r="G298">
        <f>IFERROR(VALUE('T12 Input'!H309),0)</f>
        <v/>
      </c>
      <c r="H298">
        <f>IFERROR(VALUE('T12 Input'!I309),0)</f>
        <v/>
      </c>
      <c r="I298">
        <f>IFERROR(VALUE('T12 Input'!J309),0)</f>
        <v/>
      </c>
      <c r="J298">
        <f>IFERROR(VALUE('T12 Input'!K309),0)</f>
        <v/>
      </c>
      <c r="K298">
        <f>IFERROR(VALUE('T12 Input'!L309),0)</f>
        <v/>
      </c>
      <c r="L298">
        <f>IFERROR(VALUE('T12 Input'!M309),0)</f>
        <v/>
      </c>
      <c r="M298">
        <f>IFERROR(VALUE('T12 Input'!N309),0)</f>
        <v/>
      </c>
      <c r="N298">
        <f>IFERROR(INDEX(DescMap_Label,MATCH(A298,DescMap_Description,0)),"")</f>
        <v/>
      </c>
    </row>
    <row r="299" ht="15" customHeight="1" s="199">
      <c r="A299">
        <f>IFERROR(TRIM('T12 Input'!B310),)</f>
        <v/>
      </c>
      <c r="B299">
        <f>IFERROR(VALUE('T12 Input'!C310),0)</f>
        <v/>
      </c>
      <c r="C299">
        <f>IFERROR(VALUE('T12 Input'!D310),0)</f>
        <v/>
      </c>
      <c r="D299">
        <f>IFERROR(VALUE('T12 Input'!E310),0)</f>
        <v/>
      </c>
      <c r="E299">
        <f>IFERROR(VALUE('T12 Input'!F310),0)</f>
        <v/>
      </c>
      <c r="F299">
        <f>IFERROR(VALUE('T12 Input'!G310),0)</f>
        <v/>
      </c>
      <c r="G299">
        <f>IFERROR(VALUE('T12 Input'!H310),0)</f>
        <v/>
      </c>
      <c r="H299">
        <f>IFERROR(VALUE('T12 Input'!I310),0)</f>
        <v/>
      </c>
      <c r="I299">
        <f>IFERROR(VALUE('T12 Input'!J310),0)</f>
        <v/>
      </c>
      <c r="J299">
        <f>IFERROR(VALUE('T12 Input'!K310),0)</f>
        <v/>
      </c>
      <c r="K299">
        <f>IFERROR(VALUE('T12 Input'!L310),0)</f>
        <v/>
      </c>
      <c r="L299">
        <f>IFERROR(VALUE('T12 Input'!M310),0)</f>
        <v/>
      </c>
      <c r="M299">
        <f>IFERROR(VALUE('T12 Input'!N310),0)</f>
        <v/>
      </c>
      <c r="N299">
        <f>IFERROR(INDEX(DescMap_Label,MATCH(A299,DescMap_Description,0)),"")</f>
        <v/>
      </c>
    </row>
    <row r="300" ht="15" customHeight="1" s="199">
      <c r="A300">
        <f>IFERROR(TRIM('T12 Input'!B311),)</f>
        <v/>
      </c>
      <c r="B300">
        <f>IFERROR(VALUE('T12 Input'!C311),0)</f>
        <v/>
      </c>
      <c r="C300">
        <f>IFERROR(VALUE('T12 Input'!D311),0)</f>
        <v/>
      </c>
      <c r="D300">
        <f>IFERROR(VALUE('T12 Input'!E311),0)</f>
        <v/>
      </c>
      <c r="E300">
        <f>IFERROR(VALUE('T12 Input'!F311),0)</f>
        <v/>
      </c>
      <c r="F300">
        <f>IFERROR(VALUE('T12 Input'!G311),0)</f>
        <v/>
      </c>
      <c r="G300">
        <f>IFERROR(VALUE('T12 Input'!H311),0)</f>
        <v/>
      </c>
      <c r="H300">
        <f>IFERROR(VALUE('T12 Input'!I311),0)</f>
        <v/>
      </c>
      <c r="I300">
        <f>IFERROR(VALUE('T12 Input'!J311),0)</f>
        <v/>
      </c>
      <c r="J300">
        <f>IFERROR(VALUE('T12 Input'!K311),0)</f>
        <v/>
      </c>
      <c r="K300">
        <f>IFERROR(VALUE('T12 Input'!L311),0)</f>
        <v/>
      </c>
      <c r="L300">
        <f>IFERROR(VALUE('T12 Input'!M311),0)</f>
        <v/>
      </c>
      <c r="M300">
        <f>IFERROR(VALUE('T12 Input'!N311),0)</f>
        <v/>
      </c>
      <c r="N300">
        <f>IFERROR(INDEX(DescMap_Label,MATCH(A300,DescMap_Description,0)),"")</f>
        <v/>
      </c>
    </row>
    <row r="301" ht="15" customHeight="1" s="199">
      <c r="A301">
        <f>IFERROR(TRIM('T12 Input'!B312),)</f>
        <v/>
      </c>
      <c r="B301">
        <f>IFERROR(VALUE('T12 Input'!C312),0)</f>
        <v/>
      </c>
      <c r="C301">
        <f>IFERROR(VALUE('T12 Input'!D312),0)</f>
        <v/>
      </c>
      <c r="D301">
        <f>IFERROR(VALUE('T12 Input'!E312),0)</f>
        <v/>
      </c>
      <c r="E301">
        <f>IFERROR(VALUE('T12 Input'!F312),0)</f>
        <v/>
      </c>
      <c r="F301">
        <f>IFERROR(VALUE('T12 Input'!G312),0)</f>
        <v/>
      </c>
      <c r="G301">
        <f>IFERROR(VALUE('T12 Input'!H312),0)</f>
        <v/>
      </c>
      <c r="H301">
        <f>IFERROR(VALUE('T12 Input'!I312),0)</f>
        <v/>
      </c>
      <c r="I301">
        <f>IFERROR(VALUE('T12 Input'!J312),0)</f>
        <v/>
      </c>
      <c r="J301">
        <f>IFERROR(VALUE('T12 Input'!K312),0)</f>
        <v/>
      </c>
      <c r="K301">
        <f>IFERROR(VALUE('T12 Input'!L312),0)</f>
        <v/>
      </c>
      <c r="L301">
        <f>IFERROR(VALUE('T12 Input'!M312),0)</f>
        <v/>
      </c>
      <c r="M301">
        <f>IFERROR(VALUE('T12 Input'!N312),0)</f>
        <v/>
      </c>
      <c r="N301">
        <f>IFERROR(INDEX(DescMap_Label,MATCH(A301,DescMap_Description,0)),"")</f>
        <v/>
      </c>
    </row>
    <row r="302" ht="15" customHeight="1" s="199">
      <c r="A302">
        <f>IFERROR(TRIM('T12 Input'!B313),)</f>
        <v/>
      </c>
      <c r="B302">
        <f>IFERROR(VALUE('T12 Input'!C313),0)</f>
        <v/>
      </c>
      <c r="C302">
        <f>IFERROR(VALUE('T12 Input'!D313),0)</f>
        <v/>
      </c>
      <c r="D302">
        <f>IFERROR(VALUE('T12 Input'!E313),0)</f>
        <v/>
      </c>
      <c r="E302">
        <f>IFERROR(VALUE('T12 Input'!F313),0)</f>
        <v/>
      </c>
      <c r="F302">
        <f>IFERROR(VALUE('T12 Input'!G313),0)</f>
        <v/>
      </c>
      <c r="G302">
        <f>IFERROR(VALUE('T12 Input'!H313),0)</f>
        <v/>
      </c>
      <c r="H302">
        <f>IFERROR(VALUE('T12 Input'!I313),0)</f>
        <v/>
      </c>
      <c r="I302">
        <f>IFERROR(VALUE('T12 Input'!J313),0)</f>
        <v/>
      </c>
      <c r="J302">
        <f>IFERROR(VALUE('T12 Input'!K313),0)</f>
        <v/>
      </c>
      <c r="K302">
        <f>IFERROR(VALUE('T12 Input'!L313),0)</f>
        <v/>
      </c>
      <c r="L302">
        <f>IFERROR(VALUE('T12 Input'!M313),0)</f>
        <v/>
      </c>
      <c r="M302">
        <f>IFERROR(VALUE('T12 Input'!N313),0)</f>
        <v/>
      </c>
      <c r="N302">
        <f>IFERROR(INDEX(DescMap_Label,MATCH(A302,DescMap_Description,0)),"")</f>
        <v/>
      </c>
    </row>
    <row r="303" ht="15" customHeight="1" s="199">
      <c r="A303">
        <f>IFERROR(TRIM('T12 Input'!B314),)</f>
        <v/>
      </c>
      <c r="B303">
        <f>IFERROR(VALUE('T12 Input'!C314),0)</f>
        <v/>
      </c>
      <c r="C303">
        <f>IFERROR(VALUE('T12 Input'!D314),0)</f>
        <v/>
      </c>
      <c r="D303">
        <f>IFERROR(VALUE('T12 Input'!E314),0)</f>
        <v/>
      </c>
      <c r="E303">
        <f>IFERROR(VALUE('T12 Input'!F314),0)</f>
        <v/>
      </c>
      <c r="F303">
        <f>IFERROR(VALUE('T12 Input'!G314),0)</f>
        <v/>
      </c>
      <c r="G303">
        <f>IFERROR(VALUE('T12 Input'!H314),0)</f>
        <v/>
      </c>
      <c r="H303">
        <f>IFERROR(VALUE('T12 Input'!I314),0)</f>
        <v/>
      </c>
      <c r="I303">
        <f>IFERROR(VALUE('T12 Input'!J314),0)</f>
        <v/>
      </c>
      <c r="J303">
        <f>IFERROR(VALUE('T12 Input'!K314),0)</f>
        <v/>
      </c>
      <c r="K303">
        <f>IFERROR(VALUE('T12 Input'!L314),0)</f>
        <v/>
      </c>
      <c r="L303">
        <f>IFERROR(VALUE('T12 Input'!M314),0)</f>
        <v/>
      </c>
      <c r="M303">
        <f>IFERROR(VALUE('T12 Input'!N314),0)</f>
        <v/>
      </c>
      <c r="N303">
        <f>IFERROR(INDEX(DescMap_Label,MATCH(A303,DescMap_Description,0)),"")</f>
        <v/>
      </c>
    </row>
    <row r="304" ht="15" customHeight="1" s="199">
      <c r="A304">
        <f>IFERROR(TRIM('T12 Input'!B315),)</f>
        <v/>
      </c>
      <c r="B304">
        <f>IFERROR(VALUE('T12 Input'!C315),0)</f>
        <v/>
      </c>
      <c r="C304">
        <f>IFERROR(VALUE('T12 Input'!D315),0)</f>
        <v/>
      </c>
      <c r="D304">
        <f>IFERROR(VALUE('T12 Input'!E315),0)</f>
        <v/>
      </c>
      <c r="E304">
        <f>IFERROR(VALUE('T12 Input'!F315),0)</f>
        <v/>
      </c>
      <c r="F304">
        <f>IFERROR(VALUE('T12 Input'!G315),0)</f>
        <v/>
      </c>
      <c r="G304">
        <f>IFERROR(VALUE('T12 Input'!H315),0)</f>
        <v/>
      </c>
      <c r="H304">
        <f>IFERROR(VALUE('T12 Input'!I315),0)</f>
        <v/>
      </c>
      <c r="I304">
        <f>IFERROR(VALUE('T12 Input'!J315),0)</f>
        <v/>
      </c>
      <c r="J304">
        <f>IFERROR(VALUE('T12 Input'!K315),0)</f>
        <v/>
      </c>
      <c r="K304">
        <f>IFERROR(VALUE('T12 Input'!L315),0)</f>
        <v/>
      </c>
      <c r="L304">
        <f>IFERROR(VALUE('T12 Input'!M315),0)</f>
        <v/>
      </c>
      <c r="M304">
        <f>IFERROR(VALUE('T12 Input'!N315),0)</f>
        <v/>
      </c>
      <c r="N304">
        <f>IFERROR(INDEX(DescMap_Label,MATCH(A304,DescMap_Description,0)),"")</f>
        <v/>
      </c>
    </row>
    <row r="305" ht="15" customHeight="1" s="199">
      <c r="A305">
        <f>IFERROR(TRIM('T12 Input'!B316),)</f>
        <v/>
      </c>
      <c r="B305">
        <f>IFERROR(VALUE('T12 Input'!C316),0)</f>
        <v/>
      </c>
      <c r="C305">
        <f>IFERROR(VALUE('T12 Input'!D316),0)</f>
        <v/>
      </c>
      <c r="D305">
        <f>IFERROR(VALUE('T12 Input'!E316),0)</f>
        <v/>
      </c>
      <c r="E305">
        <f>IFERROR(VALUE('T12 Input'!F316),0)</f>
        <v/>
      </c>
      <c r="F305">
        <f>IFERROR(VALUE('T12 Input'!G316),0)</f>
        <v/>
      </c>
      <c r="G305">
        <f>IFERROR(VALUE('T12 Input'!H316),0)</f>
        <v/>
      </c>
      <c r="H305">
        <f>IFERROR(VALUE('T12 Input'!I316),0)</f>
        <v/>
      </c>
      <c r="I305">
        <f>IFERROR(VALUE('T12 Input'!J316),0)</f>
        <v/>
      </c>
      <c r="J305">
        <f>IFERROR(VALUE('T12 Input'!K316),0)</f>
        <v/>
      </c>
      <c r="K305">
        <f>IFERROR(VALUE('T12 Input'!L316),0)</f>
        <v/>
      </c>
      <c r="L305">
        <f>IFERROR(VALUE('T12 Input'!M316),0)</f>
        <v/>
      </c>
      <c r="M305">
        <f>IFERROR(VALUE('T12 Input'!N316),0)</f>
        <v/>
      </c>
      <c r="N305">
        <f>IFERROR(INDEX(DescMap_Label,MATCH(A305,DescMap_Description,0)),"")</f>
        <v/>
      </c>
    </row>
    <row r="306" ht="15" customHeight="1" s="199">
      <c r="A306">
        <f>IFERROR(TRIM('T12 Input'!B317),)</f>
        <v/>
      </c>
      <c r="B306">
        <f>IFERROR(VALUE('T12 Input'!C317),0)</f>
        <v/>
      </c>
      <c r="C306">
        <f>IFERROR(VALUE('T12 Input'!D317),0)</f>
        <v/>
      </c>
      <c r="D306">
        <f>IFERROR(VALUE('T12 Input'!E317),0)</f>
        <v/>
      </c>
      <c r="E306">
        <f>IFERROR(VALUE('T12 Input'!F317),0)</f>
        <v/>
      </c>
      <c r="F306">
        <f>IFERROR(VALUE('T12 Input'!G317),0)</f>
        <v/>
      </c>
      <c r="G306">
        <f>IFERROR(VALUE('T12 Input'!H317),0)</f>
        <v/>
      </c>
      <c r="H306">
        <f>IFERROR(VALUE('T12 Input'!I317),0)</f>
        <v/>
      </c>
      <c r="I306">
        <f>IFERROR(VALUE('T12 Input'!J317),0)</f>
        <v/>
      </c>
      <c r="J306">
        <f>IFERROR(VALUE('T12 Input'!K317),0)</f>
        <v/>
      </c>
      <c r="K306">
        <f>IFERROR(VALUE('T12 Input'!L317),0)</f>
        <v/>
      </c>
      <c r="L306">
        <f>IFERROR(VALUE('T12 Input'!M317),0)</f>
        <v/>
      </c>
      <c r="M306">
        <f>IFERROR(VALUE('T12 Input'!N317),0)</f>
        <v/>
      </c>
      <c r="N306">
        <f>IFERROR(INDEX(DescMap_Label,MATCH(A306,DescMap_Description,0)),"")</f>
        <v/>
      </c>
    </row>
    <row r="307" ht="15" customHeight="1" s="199">
      <c r="A307">
        <f>IFERROR(TRIM('T12 Input'!B318),)</f>
        <v/>
      </c>
      <c r="B307">
        <f>IFERROR(VALUE('T12 Input'!C318),0)</f>
        <v/>
      </c>
      <c r="C307">
        <f>IFERROR(VALUE('T12 Input'!D318),0)</f>
        <v/>
      </c>
      <c r="D307">
        <f>IFERROR(VALUE('T12 Input'!E318),0)</f>
        <v/>
      </c>
      <c r="E307">
        <f>IFERROR(VALUE('T12 Input'!F318),0)</f>
        <v/>
      </c>
      <c r="F307">
        <f>IFERROR(VALUE('T12 Input'!G318),0)</f>
        <v/>
      </c>
      <c r="G307">
        <f>IFERROR(VALUE('T12 Input'!H318),0)</f>
        <v/>
      </c>
      <c r="H307">
        <f>IFERROR(VALUE('T12 Input'!I318),0)</f>
        <v/>
      </c>
      <c r="I307">
        <f>IFERROR(VALUE('T12 Input'!J318),0)</f>
        <v/>
      </c>
      <c r="J307">
        <f>IFERROR(VALUE('T12 Input'!K318),0)</f>
        <v/>
      </c>
      <c r="K307">
        <f>IFERROR(VALUE('T12 Input'!L318),0)</f>
        <v/>
      </c>
      <c r="L307">
        <f>IFERROR(VALUE('T12 Input'!M318),0)</f>
        <v/>
      </c>
      <c r="M307">
        <f>IFERROR(VALUE('T12 Input'!N318),0)</f>
        <v/>
      </c>
      <c r="N307">
        <f>IFERROR(INDEX(DescMap_Label,MATCH(A307,DescMap_Description,0)),"")</f>
        <v/>
      </c>
    </row>
    <row r="308" ht="15" customHeight="1" s="199">
      <c r="A308">
        <f>IFERROR(TRIM('T12 Input'!B319),)</f>
        <v/>
      </c>
      <c r="B308">
        <f>IFERROR(VALUE('T12 Input'!C319),0)</f>
        <v/>
      </c>
      <c r="C308">
        <f>IFERROR(VALUE('T12 Input'!D319),0)</f>
        <v/>
      </c>
      <c r="D308">
        <f>IFERROR(VALUE('T12 Input'!E319),0)</f>
        <v/>
      </c>
      <c r="E308">
        <f>IFERROR(VALUE('T12 Input'!F319),0)</f>
        <v/>
      </c>
      <c r="F308">
        <f>IFERROR(VALUE('T12 Input'!G319),0)</f>
        <v/>
      </c>
      <c r="G308">
        <f>IFERROR(VALUE('T12 Input'!H319),0)</f>
        <v/>
      </c>
      <c r="H308">
        <f>IFERROR(VALUE('T12 Input'!I319),0)</f>
        <v/>
      </c>
      <c r="I308">
        <f>IFERROR(VALUE('T12 Input'!J319),0)</f>
        <v/>
      </c>
      <c r="J308">
        <f>IFERROR(VALUE('T12 Input'!K319),0)</f>
        <v/>
      </c>
      <c r="K308">
        <f>IFERROR(VALUE('T12 Input'!L319),0)</f>
        <v/>
      </c>
      <c r="L308">
        <f>IFERROR(VALUE('T12 Input'!M319),0)</f>
        <v/>
      </c>
      <c r="M308">
        <f>IFERROR(VALUE('T12 Input'!N319),0)</f>
        <v/>
      </c>
      <c r="N308">
        <f>IFERROR(INDEX(DescMap_Label,MATCH(A308,DescMap_Description,0)),"")</f>
        <v/>
      </c>
    </row>
    <row r="309" ht="15" customHeight="1" s="199">
      <c r="A309">
        <f>IFERROR(TRIM('T12 Input'!B320),)</f>
        <v/>
      </c>
      <c r="B309">
        <f>IFERROR(VALUE('T12 Input'!C320),0)</f>
        <v/>
      </c>
      <c r="C309">
        <f>IFERROR(VALUE('T12 Input'!D320),0)</f>
        <v/>
      </c>
      <c r="D309">
        <f>IFERROR(VALUE('T12 Input'!E320),0)</f>
        <v/>
      </c>
      <c r="E309">
        <f>IFERROR(VALUE('T12 Input'!F320),0)</f>
        <v/>
      </c>
      <c r="F309">
        <f>IFERROR(VALUE('T12 Input'!G320),0)</f>
        <v/>
      </c>
      <c r="G309">
        <f>IFERROR(VALUE('T12 Input'!H320),0)</f>
        <v/>
      </c>
      <c r="H309">
        <f>IFERROR(VALUE('T12 Input'!I320),0)</f>
        <v/>
      </c>
      <c r="I309">
        <f>IFERROR(VALUE('T12 Input'!J320),0)</f>
        <v/>
      </c>
      <c r="J309">
        <f>IFERROR(VALUE('T12 Input'!K320),0)</f>
        <v/>
      </c>
      <c r="K309">
        <f>IFERROR(VALUE('T12 Input'!L320),0)</f>
        <v/>
      </c>
      <c r="L309">
        <f>IFERROR(VALUE('T12 Input'!M320),0)</f>
        <v/>
      </c>
      <c r="M309">
        <f>IFERROR(VALUE('T12 Input'!N320),0)</f>
        <v/>
      </c>
      <c r="N309">
        <f>IFERROR(INDEX(DescMap_Label,MATCH(A309,DescMap_Description,0)),"")</f>
        <v/>
      </c>
    </row>
    <row r="310" ht="15" customHeight="1" s="199">
      <c r="A310">
        <f>IFERROR(TRIM('T12 Input'!B321),)</f>
        <v/>
      </c>
      <c r="B310">
        <f>IFERROR(VALUE('T12 Input'!C321),0)</f>
        <v/>
      </c>
      <c r="C310">
        <f>IFERROR(VALUE('T12 Input'!D321),0)</f>
        <v/>
      </c>
      <c r="D310">
        <f>IFERROR(VALUE('T12 Input'!E321),0)</f>
        <v/>
      </c>
      <c r="E310">
        <f>IFERROR(VALUE('T12 Input'!F321),0)</f>
        <v/>
      </c>
      <c r="F310">
        <f>IFERROR(VALUE('T12 Input'!G321),0)</f>
        <v/>
      </c>
      <c r="G310">
        <f>IFERROR(VALUE('T12 Input'!H321),0)</f>
        <v/>
      </c>
      <c r="H310">
        <f>IFERROR(VALUE('T12 Input'!I321),0)</f>
        <v/>
      </c>
      <c r="I310">
        <f>IFERROR(VALUE('T12 Input'!J321),0)</f>
        <v/>
      </c>
      <c r="J310">
        <f>IFERROR(VALUE('T12 Input'!K321),0)</f>
        <v/>
      </c>
      <c r="K310">
        <f>IFERROR(VALUE('T12 Input'!L321),0)</f>
        <v/>
      </c>
      <c r="L310">
        <f>IFERROR(VALUE('T12 Input'!M321),0)</f>
        <v/>
      </c>
      <c r="M310">
        <f>IFERROR(VALUE('T12 Input'!N321),0)</f>
        <v/>
      </c>
      <c r="N310">
        <f>IFERROR(INDEX(DescMap_Label,MATCH(A310,DescMap_Description,0)),"")</f>
        <v/>
      </c>
    </row>
    <row r="311" ht="15" customHeight="1" s="199">
      <c r="A311">
        <f>IFERROR(TRIM('T12 Input'!B322),)</f>
        <v/>
      </c>
      <c r="B311">
        <f>IFERROR(VALUE('T12 Input'!C322),0)</f>
        <v/>
      </c>
      <c r="C311">
        <f>IFERROR(VALUE('T12 Input'!D322),0)</f>
        <v/>
      </c>
      <c r="D311">
        <f>IFERROR(VALUE('T12 Input'!E322),0)</f>
        <v/>
      </c>
      <c r="E311">
        <f>IFERROR(VALUE('T12 Input'!F322),0)</f>
        <v/>
      </c>
      <c r="F311">
        <f>IFERROR(VALUE('T12 Input'!G322),0)</f>
        <v/>
      </c>
      <c r="G311">
        <f>IFERROR(VALUE('T12 Input'!H322),0)</f>
        <v/>
      </c>
      <c r="H311">
        <f>IFERROR(VALUE('T12 Input'!I322),0)</f>
        <v/>
      </c>
      <c r="I311">
        <f>IFERROR(VALUE('T12 Input'!J322),0)</f>
        <v/>
      </c>
      <c r="J311">
        <f>IFERROR(VALUE('T12 Input'!K322),0)</f>
        <v/>
      </c>
      <c r="K311">
        <f>IFERROR(VALUE('T12 Input'!L322),0)</f>
        <v/>
      </c>
      <c r="L311">
        <f>IFERROR(VALUE('T12 Input'!M322),0)</f>
        <v/>
      </c>
      <c r="M311">
        <f>IFERROR(VALUE('T12 Input'!N322),0)</f>
        <v/>
      </c>
      <c r="N311">
        <f>IFERROR(INDEX(DescMap_Label,MATCH(A311,DescMap_Description,0)),"")</f>
        <v/>
      </c>
    </row>
    <row r="312" ht="15" customHeight="1" s="199">
      <c r="A312">
        <f>IFERROR(TRIM('T12 Input'!B323),)</f>
        <v/>
      </c>
      <c r="B312">
        <f>IFERROR(VALUE('T12 Input'!C323),0)</f>
        <v/>
      </c>
      <c r="C312">
        <f>IFERROR(VALUE('T12 Input'!D323),0)</f>
        <v/>
      </c>
      <c r="D312">
        <f>IFERROR(VALUE('T12 Input'!E323),0)</f>
        <v/>
      </c>
      <c r="E312">
        <f>IFERROR(VALUE('T12 Input'!F323),0)</f>
        <v/>
      </c>
      <c r="F312">
        <f>IFERROR(VALUE('T12 Input'!G323),0)</f>
        <v/>
      </c>
      <c r="G312">
        <f>IFERROR(VALUE('T12 Input'!H323),0)</f>
        <v/>
      </c>
      <c r="H312">
        <f>IFERROR(VALUE('T12 Input'!I323),0)</f>
        <v/>
      </c>
      <c r="I312">
        <f>IFERROR(VALUE('T12 Input'!J323),0)</f>
        <v/>
      </c>
      <c r="J312">
        <f>IFERROR(VALUE('T12 Input'!K323),0)</f>
        <v/>
      </c>
      <c r="K312">
        <f>IFERROR(VALUE('T12 Input'!L323),0)</f>
        <v/>
      </c>
      <c r="L312">
        <f>IFERROR(VALUE('T12 Input'!M323),0)</f>
        <v/>
      </c>
      <c r="M312">
        <f>IFERROR(VALUE('T12 Input'!N323),0)</f>
        <v/>
      </c>
      <c r="N312">
        <f>IFERROR(INDEX(DescMap_Label,MATCH(A312,DescMap_Description,0)),"")</f>
        <v/>
      </c>
    </row>
    <row r="313" ht="15" customHeight="1" s="199">
      <c r="A313">
        <f>IFERROR(TRIM('T12 Input'!B324),)</f>
        <v/>
      </c>
      <c r="B313">
        <f>IFERROR(VALUE('T12 Input'!C324),0)</f>
        <v/>
      </c>
      <c r="C313">
        <f>IFERROR(VALUE('T12 Input'!D324),0)</f>
        <v/>
      </c>
      <c r="D313">
        <f>IFERROR(VALUE('T12 Input'!E324),0)</f>
        <v/>
      </c>
      <c r="E313">
        <f>IFERROR(VALUE('T12 Input'!F324),0)</f>
        <v/>
      </c>
      <c r="F313">
        <f>IFERROR(VALUE('T12 Input'!G324),0)</f>
        <v/>
      </c>
      <c r="G313">
        <f>IFERROR(VALUE('T12 Input'!H324),0)</f>
        <v/>
      </c>
      <c r="H313">
        <f>IFERROR(VALUE('T12 Input'!I324),0)</f>
        <v/>
      </c>
      <c r="I313">
        <f>IFERROR(VALUE('T12 Input'!J324),0)</f>
        <v/>
      </c>
      <c r="J313">
        <f>IFERROR(VALUE('T12 Input'!K324),0)</f>
        <v/>
      </c>
      <c r="K313">
        <f>IFERROR(VALUE('T12 Input'!L324),0)</f>
        <v/>
      </c>
      <c r="L313">
        <f>IFERROR(VALUE('T12 Input'!M324),0)</f>
        <v/>
      </c>
      <c r="M313">
        <f>IFERROR(VALUE('T12 Input'!N324),0)</f>
        <v/>
      </c>
      <c r="N313">
        <f>IFERROR(INDEX(DescMap_Label,MATCH(A313,DescMap_Description,0)),"")</f>
        <v/>
      </c>
    </row>
    <row r="314" ht="15" customHeight="1" s="199">
      <c r="A314">
        <f>IFERROR(TRIM('T12 Input'!B325),)</f>
        <v/>
      </c>
      <c r="B314">
        <f>IFERROR(VALUE('T12 Input'!C325),0)</f>
        <v/>
      </c>
      <c r="C314">
        <f>IFERROR(VALUE('T12 Input'!D325),0)</f>
        <v/>
      </c>
      <c r="D314">
        <f>IFERROR(VALUE('T12 Input'!E325),0)</f>
        <v/>
      </c>
      <c r="E314">
        <f>IFERROR(VALUE('T12 Input'!F325),0)</f>
        <v/>
      </c>
      <c r="F314">
        <f>IFERROR(VALUE('T12 Input'!G325),0)</f>
        <v/>
      </c>
      <c r="G314">
        <f>IFERROR(VALUE('T12 Input'!H325),0)</f>
        <v/>
      </c>
      <c r="H314">
        <f>IFERROR(VALUE('T12 Input'!I325),0)</f>
        <v/>
      </c>
      <c r="I314">
        <f>IFERROR(VALUE('T12 Input'!J325),0)</f>
        <v/>
      </c>
      <c r="J314">
        <f>IFERROR(VALUE('T12 Input'!K325),0)</f>
        <v/>
      </c>
      <c r="K314">
        <f>IFERROR(VALUE('T12 Input'!L325),0)</f>
        <v/>
      </c>
      <c r="L314">
        <f>IFERROR(VALUE('T12 Input'!M325),0)</f>
        <v/>
      </c>
      <c r="M314">
        <f>IFERROR(VALUE('T12 Input'!N325),0)</f>
        <v/>
      </c>
      <c r="N314">
        <f>IFERROR(INDEX(DescMap_Label,MATCH(A314,DescMap_Description,0)),"")</f>
        <v/>
      </c>
    </row>
    <row r="315" ht="15" customHeight="1" s="199">
      <c r="A315">
        <f>IFERROR(TRIM('T12 Input'!B326),)</f>
        <v/>
      </c>
      <c r="B315">
        <f>IFERROR(VALUE('T12 Input'!C326),0)</f>
        <v/>
      </c>
      <c r="C315">
        <f>IFERROR(VALUE('T12 Input'!D326),0)</f>
        <v/>
      </c>
      <c r="D315">
        <f>IFERROR(VALUE('T12 Input'!E326),0)</f>
        <v/>
      </c>
      <c r="E315">
        <f>IFERROR(VALUE('T12 Input'!F326),0)</f>
        <v/>
      </c>
      <c r="F315">
        <f>IFERROR(VALUE('T12 Input'!G326),0)</f>
        <v/>
      </c>
      <c r="G315">
        <f>IFERROR(VALUE('T12 Input'!H326),0)</f>
        <v/>
      </c>
      <c r="H315">
        <f>IFERROR(VALUE('T12 Input'!I326),0)</f>
        <v/>
      </c>
      <c r="I315">
        <f>IFERROR(VALUE('T12 Input'!J326),0)</f>
        <v/>
      </c>
      <c r="J315">
        <f>IFERROR(VALUE('T12 Input'!K326),0)</f>
        <v/>
      </c>
      <c r="K315">
        <f>IFERROR(VALUE('T12 Input'!L326),0)</f>
        <v/>
      </c>
      <c r="L315">
        <f>IFERROR(VALUE('T12 Input'!M326),0)</f>
        <v/>
      </c>
      <c r="M315">
        <f>IFERROR(VALUE('T12 Input'!N326),0)</f>
        <v/>
      </c>
      <c r="N315">
        <f>IFERROR(INDEX(DescMap_Label,MATCH(A315,DescMap_Description,0)),"")</f>
        <v/>
      </c>
    </row>
    <row r="316" ht="15" customHeight="1" s="199">
      <c r="A316">
        <f>IFERROR(TRIM('T12 Input'!B327),)</f>
        <v/>
      </c>
      <c r="B316">
        <f>IFERROR(VALUE('T12 Input'!C327),0)</f>
        <v/>
      </c>
      <c r="C316">
        <f>IFERROR(VALUE('T12 Input'!D327),0)</f>
        <v/>
      </c>
      <c r="D316">
        <f>IFERROR(VALUE('T12 Input'!E327),0)</f>
        <v/>
      </c>
      <c r="E316">
        <f>IFERROR(VALUE('T12 Input'!F327),0)</f>
        <v/>
      </c>
      <c r="F316">
        <f>IFERROR(VALUE('T12 Input'!G327),0)</f>
        <v/>
      </c>
      <c r="G316">
        <f>IFERROR(VALUE('T12 Input'!H327),0)</f>
        <v/>
      </c>
      <c r="H316">
        <f>IFERROR(VALUE('T12 Input'!I327),0)</f>
        <v/>
      </c>
      <c r="I316">
        <f>IFERROR(VALUE('T12 Input'!J327),0)</f>
        <v/>
      </c>
      <c r="J316">
        <f>IFERROR(VALUE('T12 Input'!K327),0)</f>
        <v/>
      </c>
      <c r="K316">
        <f>IFERROR(VALUE('T12 Input'!L327),0)</f>
        <v/>
      </c>
      <c r="L316">
        <f>IFERROR(VALUE('T12 Input'!M327),0)</f>
        <v/>
      </c>
      <c r="M316">
        <f>IFERROR(VALUE('T12 Input'!N327),0)</f>
        <v/>
      </c>
      <c r="N316">
        <f>IFERROR(INDEX(DescMap_Label,MATCH(A316,DescMap_Description,0)),"")</f>
        <v/>
      </c>
    </row>
    <row r="317" ht="15" customHeight="1" s="199">
      <c r="A317">
        <f>IFERROR(TRIM('T12 Input'!B328),)</f>
        <v/>
      </c>
      <c r="B317">
        <f>IFERROR(VALUE('T12 Input'!C328),0)</f>
        <v/>
      </c>
      <c r="C317">
        <f>IFERROR(VALUE('T12 Input'!D328),0)</f>
        <v/>
      </c>
      <c r="D317">
        <f>IFERROR(VALUE('T12 Input'!E328),0)</f>
        <v/>
      </c>
      <c r="E317">
        <f>IFERROR(VALUE('T12 Input'!F328),0)</f>
        <v/>
      </c>
      <c r="F317">
        <f>IFERROR(VALUE('T12 Input'!G328),0)</f>
        <v/>
      </c>
      <c r="G317">
        <f>IFERROR(VALUE('T12 Input'!H328),0)</f>
        <v/>
      </c>
      <c r="H317">
        <f>IFERROR(VALUE('T12 Input'!I328),0)</f>
        <v/>
      </c>
      <c r="I317">
        <f>IFERROR(VALUE('T12 Input'!J328),0)</f>
        <v/>
      </c>
      <c r="J317">
        <f>IFERROR(VALUE('T12 Input'!K328),0)</f>
        <v/>
      </c>
      <c r="K317">
        <f>IFERROR(VALUE('T12 Input'!L328),0)</f>
        <v/>
      </c>
      <c r="L317">
        <f>IFERROR(VALUE('T12 Input'!M328),0)</f>
        <v/>
      </c>
      <c r="M317">
        <f>IFERROR(VALUE('T12 Input'!N328),0)</f>
        <v/>
      </c>
      <c r="N317">
        <f>IFERROR(INDEX(DescMap_Label,MATCH(A317,DescMap_Description,0)),"")</f>
        <v/>
      </c>
    </row>
    <row r="318" ht="15" customHeight="1" s="199">
      <c r="A318">
        <f>IFERROR(TRIM('T12 Input'!B329),)</f>
        <v/>
      </c>
      <c r="B318">
        <f>IFERROR(VALUE('T12 Input'!C329),0)</f>
        <v/>
      </c>
      <c r="C318">
        <f>IFERROR(VALUE('T12 Input'!D329),0)</f>
        <v/>
      </c>
      <c r="D318">
        <f>IFERROR(VALUE('T12 Input'!E329),0)</f>
        <v/>
      </c>
      <c r="E318">
        <f>IFERROR(VALUE('T12 Input'!F329),0)</f>
        <v/>
      </c>
      <c r="F318">
        <f>IFERROR(VALUE('T12 Input'!G329),0)</f>
        <v/>
      </c>
      <c r="G318">
        <f>IFERROR(VALUE('T12 Input'!H329),0)</f>
        <v/>
      </c>
      <c r="H318">
        <f>IFERROR(VALUE('T12 Input'!I329),0)</f>
        <v/>
      </c>
      <c r="I318">
        <f>IFERROR(VALUE('T12 Input'!J329),0)</f>
        <v/>
      </c>
      <c r="J318">
        <f>IFERROR(VALUE('T12 Input'!K329),0)</f>
        <v/>
      </c>
      <c r="K318">
        <f>IFERROR(VALUE('T12 Input'!L329),0)</f>
        <v/>
      </c>
      <c r="L318">
        <f>IFERROR(VALUE('T12 Input'!M329),0)</f>
        <v/>
      </c>
      <c r="M318">
        <f>IFERROR(VALUE('T12 Input'!N329),0)</f>
        <v/>
      </c>
      <c r="N318">
        <f>IFERROR(INDEX(DescMap_Label,MATCH(A318,DescMap_Description,0)),"")</f>
        <v/>
      </c>
    </row>
    <row r="319" ht="15" customHeight="1" s="199">
      <c r="A319">
        <f>IFERROR(TRIM('T12 Input'!B330),)</f>
        <v/>
      </c>
      <c r="B319">
        <f>IFERROR(VALUE('T12 Input'!C330),0)</f>
        <v/>
      </c>
      <c r="C319">
        <f>IFERROR(VALUE('T12 Input'!D330),0)</f>
        <v/>
      </c>
      <c r="D319">
        <f>IFERROR(VALUE('T12 Input'!E330),0)</f>
        <v/>
      </c>
      <c r="E319">
        <f>IFERROR(VALUE('T12 Input'!F330),0)</f>
        <v/>
      </c>
      <c r="F319">
        <f>IFERROR(VALUE('T12 Input'!G330),0)</f>
        <v/>
      </c>
      <c r="G319">
        <f>IFERROR(VALUE('T12 Input'!H330),0)</f>
        <v/>
      </c>
      <c r="H319">
        <f>IFERROR(VALUE('T12 Input'!I330),0)</f>
        <v/>
      </c>
      <c r="I319">
        <f>IFERROR(VALUE('T12 Input'!J330),0)</f>
        <v/>
      </c>
      <c r="J319">
        <f>IFERROR(VALUE('T12 Input'!K330),0)</f>
        <v/>
      </c>
      <c r="K319">
        <f>IFERROR(VALUE('T12 Input'!L330),0)</f>
        <v/>
      </c>
      <c r="L319">
        <f>IFERROR(VALUE('T12 Input'!M330),0)</f>
        <v/>
      </c>
      <c r="M319">
        <f>IFERROR(VALUE('T12 Input'!N330),0)</f>
        <v/>
      </c>
      <c r="N319">
        <f>IFERROR(INDEX(DescMap_Label,MATCH(A319,DescMap_Description,0)),"")</f>
        <v/>
      </c>
    </row>
    <row r="320" ht="15" customHeight="1" s="199">
      <c r="A320">
        <f>IFERROR(TRIM('T12 Input'!B331),)</f>
        <v/>
      </c>
      <c r="B320">
        <f>IFERROR(VALUE('T12 Input'!C331),0)</f>
        <v/>
      </c>
      <c r="C320">
        <f>IFERROR(VALUE('T12 Input'!D331),0)</f>
        <v/>
      </c>
      <c r="D320">
        <f>IFERROR(VALUE('T12 Input'!E331),0)</f>
        <v/>
      </c>
      <c r="E320">
        <f>IFERROR(VALUE('T12 Input'!F331),0)</f>
        <v/>
      </c>
      <c r="F320">
        <f>IFERROR(VALUE('T12 Input'!G331),0)</f>
        <v/>
      </c>
      <c r="G320">
        <f>IFERROR(VALUE('T12 Input'!H331),0)</f>
        <v/>
      </c>
      <c r="H320">
        <f>IFERROR(VALUE('T12 Input'!I331),0)</f>
        <v/>
      </c>
      <c r="I320">
        <f>IFERROR(VALUE('T12 Input'!J331),0)</f>
        <v/>
      </c>
      <c r="J320">
        <f>IFERROR(VALUE('T12 Input'!K331),0)</f>
        <v/>
      </c>
      <c r="K320">
        <f>IFERROR(VALUE('T12 Input'!L331),0)</f>
        <v/>
      </c>
      <c r="L320">
        <f>IFERROR(VALUE('T12 Input'!M331),0)</f>
        <v/>
      </c>
      <c r="M320">
        <f>IFERROR(VALUE('T12 Input'!N331),0)</f>
        <v/>
      </c>
      <c r="N320">
        <f>IFERROR(INDEX(DescMap_Label,MATCH(A320,DescMap_Description,0)),"")</f>
        <v/>
      </c>
    </row>
    <row r="321" ht="15" customHeight="1" s="199">
      <c r="A321">
        <f>IFERROR(TRIM('T12 Input'!B332),)</f>
        <v/>
      </c>
      <c r="B321">
        <f>IFERROR(VALUE('T12 Input'!C332),0)</f>
        <v/>
      </c>
      <c r="C321">
        <f>IFERROR(VALUE('T12 Input'!D332),0)</f>
        <v/>
      </c>
      <c r="D321">
        <f>IFERROR(VALUE('T12 Input'!E332),0)</f>
        <v/>
      </c>
      <c r="E321">
        <f>IFERROR(VALUE('T12 Input'!F332),0)</f>
        <v/>
      </c>
      <c r="F321">
        <f>IFERROR(VALUE('T12 Input'!G332),0)</f>
        <v/>
      </c>
      <c r="G321">
        <f>IFERROR(VALUE('T12 Input'!H332),0)</f>
        <v/>
      </c>
      <c r="H321">
        <f>IFERROR(VALUE('T12 Input'!I332),0)</f>
        <v/>
      </c>
      <c r="I321">
        <f>IFERROR(VALUE('T12 Input'!J332),0)</f>
        <v/>
      </c>
      <c r="J321">
        <f>IFERROR(VALUE('T12 Input'!K332),0)</f>
        <v/>
      </c>
      <c r="K321">
        <f>IFERROR(VALUE('T12 Input'!L332),0)</f>
        <v/>
      </c>
      <c r="L321">
        <f>IFERROR(VALUE('T12 Input'!M332),0)</f>
        <v/>
      </c>
      <c r="M321">
        <f>IFERROR(VALUE('T12 Input'!N332),0)</f>
        <v/>
      </c>
      <c r="N321">
        <f>IFERROR(INDEX(DescMap_Label,MATCH(A321,DescMap_Description,0)),"")</f>
        <v/>
      </c>
    </row>
    <row r="322" ht="15" customHeight="1" s="199">
      <c r="A322">
        <f>IFERROR(TRIM('T12 Input'!B333),)</f>
        <v/>
      </c>
      <c r="B322">
        <f>IFERROR(VALUE('T12 Input'!C333),0)</f>
        <v/>
      </c>
      <c r="C322">
        <f>IFERROR(VALUE('T12 Input'!D333),0)</f>
        <v/>
      </c>
      <c r="D322">
        <f>IFERROR(VALUE('T12 Input'!E333),0)</f>
        <v/>
      </c>
      <c r="E322">
        <f>IFERROR(VALUE('T12 Input'!F333),0)</f>
        <v/>
      </c>
      <c r="F322">
        <f>IFERROR(VALUE('T12 Input'!G333),0)</f>
        <v/>
      </c>
      <c r="G322">
        <f>IFERROR(VALUE('T12 Input'!H333),0)</f>
        <v/>
      </c>
      <c r="H322">
        <f>IFERROR(VALUE('T12 Input'!I333),0)</f>
        <v/>
      </c>
      <c r="I322">
        <f>IFERROR(VALUE('T12 Input'!J333),0)</f>
        <v/>
      </c>
      <c r="J322">
        <f>IFERROR(VALUE('T12 Input'!K333),0)</f>
        <v/>
      </c>
      <c r="K322">
        <f>IFERROR(VALUE('T12 Input'!L333),0)</f>
        <v/>
      </c>
      <c r="L322">
        <f>IFERROR(VALUE('T12 Input'!M333),0)</f>
        <v/>
      </c>
      <c r="M322">
        <f>IFERROR(VALUE('T12 Input'!N333),0)</f>
        <v/>
      </c>
      <c r="N322">
        <f>IFERROR(INDEX(DescMap_Label,MATCH(A322,DescMap_Description,0)),"")</f>
        <v/>
      </c>
    </row>
    <row r="323" ht="15" customHeight="1" s="199">
      <c r="A323">
        <f>IFERROR(TRIM('T12 Input'!B334),)</f>
        <v/>
      </c>
      <c r="B323">
        <f>IFERROR(VALUE('T12 Input'!C334),0)</f>
        <v/>
      </c>
      <c r="C323">
        <f>IFERROR(VALUE('T12 Input'!D334),0)</f>
        <v/>
      </c>
      <c r="D323">
        <f>IFERROR(VALUE('T12 Input'!E334),0)</f>
        <v/>
      </c>
      <c r="E323">
        <f>IFERROR(VALUE('T12 Input'!F334),0)</f>
        <v/>
      </c>
      <c r="F323">
        <f>IFERROR(VALUE('T12 Input'!G334),0)</f>
        <v/>
      </c>
      <c r="G323">
        <f>IFERROR(VALUE('T12 Input'!H334),0)</f>
        <v/>
      </c>
      <c r="H323">
        <f>IFERROR(VALUE('T12 Input'!I334),0)</f>
        <v/>
      </c>
      <c r="I323">
        <f>IFERROR(VALUE('T12 Input'!J334),0)</f>
        <v/>
      </c>
      <c r="J323">
        <f>IFERROR(VALUE('T12 Input'!K334),0)</f>
        <v/>
      </c>
      <c r="K323">
        <f>IFERROR(VALUE('T12 Input'!L334),0)</f>
        <v/>
      </c>
      <c r="L323">
        <f>IFERROR(VALUE('T12 Input'!M334),0)</f>
        <v/>
      </c>
      <c r="M323">
        <f>IFERROR(VALUE('T12 Input'!N334),0)</f>
        <v/>
      </c>
      <c r="N323">
        <f>IFERROR(INDEX(DescMap_Label,MATCH(A323,DescMap_Description,0)),"")</f>
        <v/>
      </c>
    </row>
    <row r="324" ht="15" customHeight="1" s="199">
      <c r="A324">
        <f>IFERROR(TRIM('T12 Input'!B335),)</f>
        <v/>
      </c>
      <c r="B324">
        <f>IFERROR(VALUE('T12 Input'!C335),0)</f>
        <v/>
      </c>
      <c r="C324">
        <f>IFERROR(VALUE('T12 Input'!D335),0)</f>
        <v/>
      </c>
      <c r="D324">
        <f>IFERROR(VALUE('T12 Input'!E335),0)</f>
        <v/>
      </c>
      <c r="E324">
        <f>IFERROR(VALUE('T12 Input'!F335),0)</f>
        <v/>
      </c>
      <c r="F324">
        <f>IFERROR(VALUE('T12 Input'!G335),0)</f>
        <v/>
      </c>
      <c r="G324">
        <f>IFERROR(VALUE('T12 Input'!H335),0)</f>
        <v/>
      </c>
      <c r="H324">
        <f>IFERROR(VALUE('T12 Input'!I335),0)</f>
        <v/>
      </c>
      <c r="I324">
        <f>IFERROR(VALUE('T12 Input'!J335),0)</f>
        <v/>
      </c>
      <c r="J324">
        <f>IFERROR(VALUE('T12 Input'!K335),0)</f>
        <v/>
      </c>
      <c r="K324">
        <f>IFERROR(VALUE('T12 Input'!L335),0)</f>
        <v/>
      </c>
      <c r="L324">
        <f>IFERROR(VALUE('T12 Input'!M335),0)</f>
        <v/>
      </c>
      <c r="M324">
        <f>IFERROR(VALUE('T12 Input'!N335),0)</f>
        <v/>
      </c>
      <c r="N324">
        <f>IFERROR(INDEX(DescMap_Label,MATCH(A324,DescMap_Description,0)),"")</f>
        <v/>
      </c>
    </row>
    <row r="325" ht="15" customHeight="1" s="199">
      <c r="A325">
        <f>IFERROR(TRIM('T12 Input'!B336),)</f>
        <v/>
      </c>
      <c r="B325">
        <f>IFERROR(VALUE('T12 Input'!C336),0)</f>
        <v/>
      </c>
      <c r="C325">
        <f>IFERROR(VALUE('T12 Input'!D336),0)</f>
        <v/>
      </c>
      <c r="D325">
        <f>IFERROR(VALUE('T12 Input'!E336),0)</f>
        <v/>
      </c>
      <c r="E325">
        <f>IFERROR(VALUE('T12 Input'!F336),0)</f>
        <v/>
      </c>
      <c r="F325">
        <f>IFERROR(VALUE('T12 Input'!G336),0)</f>
        <v/>
      </c>
      <c r="G325">
        <f>IFERROR(VALUE('T12 Input'!H336),0)</f>
        <v/>
      </c>
      <c r="H325">
        <f>IFERROR(VALUE('T12 Input'!I336),0)</f>
        <v/>
      </c>
      <c r="I325">
        <f>IFERROR(VALUE('T12 Input'!J336),0)</f>
        <v/>
      </c>
      <c r="J325">
        <f>IFERROR(VALUE('T12 Input'!K336),0)</f>
        <v/>
      </c>
      <c r="K325">
        <f>IFERROR(VALUE('T12 Input'!L336),0)</f>
        <v/>
      </c>
      <c r="L325">
        <f>IFERROR(VALUE('T12 Input'!M336),0)</f>
        <v/>
      </c>
      <c r="M325">
        <f>IFERROR(VALUE('T12 Input'!N336),0)</f>
        <v/>
      </c>
      <c r="N325">
        <f>IFERROR(INDEX(DescMap_Label,MATCH(A325,DescMap_Description,0)),"")</f>
        <v/>
      </c>
    </row>
    <row r="326" ht="15" customHeight="1" s="199">
      <c r="A326">
        <f>IFERROR(TRIM('T12 Input'!B337),)</f>
        <v/>
      </c>
      <c r="B326">
        <f>IFERROR(VALUE('T12 Input'!C337),0)</f>
        <v/>
      </c>
      <c r="C326">
        <f>IFERROR(VALUE('T12 Input'!D337),0)</f>
        <v/>
      </c>
      <c r="D326">
        <f>IFERROR(VALUE('T12 Input'!E337),0)</f>
        <v/>
      </c>
      <c r="E326">
        <f>IFERROR(VALUE('T12 Input'!F337),0)</f>
        <v/>
      </c>
      <c r="F326">
        <f>IFERROR(VALUE('T12 Input'!G337),0)</f>
        <v/>
      </c>
      <c r="G326">
        <f>IFERROR(VALUE('T12 Input'!H337),0)</f>
        <v/>
      </c>
      <c r="H326">
        <f>IFERROR(VALUE('T12 Input'!I337),0)</f>
        <v/>
      </c>
      <c r="I326">
        <f>IFERROR(VALUE('T12 Input'!J337),0)</f>
        <v/>
      </c>
      <c r="J326">
        <f>IFERROR(VALUE('T12 Input'!K337),0)</f>
        <v/>
      </c>
      <c r="K326">
        <f>IFERROR(VALUE('T12 Input'!L337),0)</f>
        <v/>
      </c>
      <c r="L326">
        <f>IFERROR(VALUE('T12 Input'!M337),0)</f>
        <v/>
      </c>
      <c r="M326">
        <f>IFERROR(VALUE('T12 Input'!N337),0)</f>
        <v/>
      </c>
      <c r="N326">
        <f>IFERROR(INDEX(DescMap_Label,MATCH(A326,DescMap_Description,0)),"")</f>
        <v/>
      </c>
    </row>
    <row r="327" ht="15" customHeight="1" s="199">
      <c r="A327">
        <f>IFERROR(TRIM('T12 Input'!B338),)</f>
        <v/>
      </c>
      <c r="B327">
        <f>IFERROR(VALUE('T12 Input'!C338),0)</f>
        <v/>
      </c>
      <c r="C327">
        <f>IFERROR(VALUE('T12 Input'!D338),0)</f>
        <v/>
      </c>
      <c r="D327">
        <f>IFERROR(VALUE('T12 Input'!E338),0)</f>
        <v/>
      </c>
      <c r="E327">
        <f>IFERROR(VALUE('T12 Input'!F338),0)</f>
        <v/>
      </c>
      <c r="F327">
        <f>IFERROR(VALUE('T12 Input'!G338),0)</f>
        <v/>
      </c>
      <c r="G327">
        <f>IFERROR(VALUE('T12 Input'!H338),0)</f>
        <v/>
      </c>
      <c r="H327">
        <f>IFERROR(VALUE('T12 Input'!I338),0)</f>
        <v/>
      </c>
      <c r="I327">
        <f>IFERROR(VALUE('T12 Input'!J338),0)</f>
        <v/>
      </c>
      <c r="J327">
        <f>IFERROR(VALUE('T12 Input'!K338),0)</f>
        <v/>
      </c>
      <c r="K327">
        <f>IFERROR(VALUE('T12 Input'!L338),0)</f>
        <v/>
      </c>
      <c r="L327">
        <f>IFERROR(VALUE('T12 Input'!M338),0)</f>
        <v/>
      </c>
      <c r="M327">
        <f>IFERROR(VALUE('T12 Input'!N338),0)</f>
        <v/>
      </c>
      <c r="N327">
        <f>IFERROR(INDEX(DescMap_Label,MATCH(A327,DescMap_Description,0)),"")</f>
        <v/>
      </c>
    </row>
    <row r="328" ht="15" customHeight="1" s="199">
      <c r="A328">
        <f>IFERROR(TRIM('T12 Input'!B339),)</f>
        <v/>
      </c>
      <c r="B328">
        <f>IFERROR(VALUE('T12 Input'!C339),0)</f>
        <v/>
      </c>
      <c r="C328">
        <f>IFERROR(VALUE('T12 Input'!D339),0)</f>
        <v/>
      </c>
      <c r="D328">
        <f>IFERROR(VALUE('T12 Input'!E339),0)</f>
        <v/>
      </c>
      <c r="E328">
        <f>IFERROR(VALUE('T12 Input'!F339),0)</f>
        <v/>
      </c>
      <c r="F328">
        <f>IFERROR(VALUE('T12 Input'!G339),0)</f>
        <v/>
      </c>
      <c r="G328">
        <f>IFERROR(VALUE('T12 Input'!H339),0)</f>
        <v/>
      </c>
      <c r="H328">
        <f>IFERROR(VALUE('T12 Input'!I339),0)</f>
        <v/>
      </c>
      <c r="I328">
        <f>IFERROR(VALUE('T12 Input'!J339),0)</f>
        <v/>
      </c>
      <c r="J328">
        <f>IFERROR(VALUE('T12 Input'!K339),0)</f>
        <v/>
      </c>
      <c r="K328">
        <f>IFERROR(VALUE('T12 Input'!L339),0)</f>
        <v/>
      </c>
      <c r="L328">
        <f>IFERROR(VALUE('T12 Input'!M339),0)</f>
        <v/>
      </c>
      <c r="M328">
        <f>IFERROR(VALUE('T12 Input'!N339),0)</f>
        <v/>
      </c>
      <c r="N328">
        <f>IFERROR(INDEX(DescMap_Label,MATCH(A328,DescMap_Description,0)),"")</f>
        <v/>
      </c>
    </row>
    <row r="329" ht="15" customHeight="1" s="199">
      <c r="A329">
        <f>IFERROR(TRIM('T12 Input'!B340),)</f>
        <v/>
      </c>
      <c r="B329">
        <f>IFERROR(VALUE('T12 Input'!C340),0)</f>
        <v/>
      </c>
      <c r="C329">
        <f>IFERROR(VALUE('T12 Input'!D340),0)</f>
        <v/>
      </c>
      <c r="D329">
        <f>IFERROR(VALUE('T12 Input'!E340),0)</f>
        <v/>
      </c>
      <c r="E329">
        <f>IFERROR(VALUE('T12 Input'!F340),0)</f>
        <v/>
      </c>
      <c r="F329">
        <f>IFERROR(VALUE('T12 Input'!G340),0)</f>
        <v/>
      </c>
      <c r="G329">
        <f>IFERROR(VALUE('T12 Input'!H340),0)</f>
        <v/>
      </c>
      <c r="H329">
        <f>IFERROR(VALUE('T12 Input'!I340),0)</f>
        <v/>
      </c>
      <c r="I329">
        <f>IFERROR(VALUE('T12 Input'!J340),0)</f>
        <v/>
      </c>
      <c r="J329">
        <f>IFERROR(VALUE('T12 Input'!K340),0)</f>
        <v/>
      </c>
      <c r="K329">
        <f>IFERROR(VALUE('T12 Input'!L340),0)</f>
        <v/>
      </c>
      <c r="L329">
        <f>IFERROR(VALUE('T12 Input'!M340),0)</f>
        <v/>
      </c>
      <c r="M329">
        <f>IFERROR(VALUE('T12 Input'!N340),0)</f>
        <v/>
      </c>
      <c r="N329">
        <f>IFERROR(INDEX(DescMap_Label,MATCH(A329,DescMap_Description,0)),"")</f>
        <v/>
      </c>
    </row>
    <row r="330" ht="15" customHeight="1" s="199">
      <c r="A330">
        <f>IFERROR(TRIM('T12 Input'!B341),)</f>
        <v/>
      </c>
      <c r="B330">
        <f>IFERROR(VALUE('T12 Input'!C341),0)</f>
        <v/>
      </c>
      <c r="C330">
        <f>IFERROR(VALUE('T12 Input'!D341),0)</f>
        <v/>
      </c>
      <c r="D330">
        <f>IFERROR(VALUE('T12 Input'!E341),0)</f>
        <v/>
      </c>
      <c r="E330">
        <f>IFERROR(VALUE('T12 Input'!F341),0)</f>
        <v/>
      </c>
      <c r="F330">
        <f>IFERROR(VALUE('T12 Input'!G341),0)</f>
        <v/>
      </c>
      <c r="G330">
        <f>IFERROR(VALUE('T12 Input'!H341),0)</f>
        <v/>
      </c>
      <c r="H330">
        <f>IFERROR(VALUE('T12 Input'!I341),0)</f>
        <v/>
      </c>
      <c r="I330">
        <f>IFERROR(VALUE('T12 Input'!J341),0)</f>
        <v/>
      </c>
      <c r="J330">
        <f>IFERROR(VALUE('T12 Input'!K341),0)</f>
        <v/>
      </c>
      <c r="K330">
        <f>IFERROR(VALUE('T12 Input'!L341),0)</f>
        <v/>
      </c>
      <c r="L330">
        <f>IFERROR(VALUE('T12 Input'!M341),0)</f>
        <v/>
      </c>
      <c r="M330">
        <f>IFERROR(VALUE('T12 Input'!N341),0)</f>
        <v/>
      </c>
      <c r="N330">
        <f>IFERROR(INDEX(DescMap_Label,MATCH(A330,DescMap_Description,0)),"")</f>
        <v/>
      </c>
    </row>
    <row r="331" ht="15" customHeight="1" s="199">
      <c r="A331">
        <f>IFERROR(TRIM('T12 Input'!B342),)</f>
        <v/>
      </c>
      <c r="B331">
        <f>IFERROR(VALUE('T12 Input'!C342),0)</f>
        <v/>
      </c>
      <c r="C331">
        <f>IFERROR(VALUE('T12 Input'!D342),0)</f>
        <v/>
      </c>
      <c r="D331">
        <f>IFERROR(VALUE('T12 Input'!E342),0)</f>
        <v/>
      </c>
      <c r="E331">
        <f>IFERROR(VALUE('T12 Input'!F342),0)</f>
        <v/>
      </c>
      <c r="F331">
        <f>IFERROR(VALUE('T12 Input'!G342),0)</f>
        <v/>
      </c>
      <c r="G331">
        <f>IFERROR(VALUE('T12 Input'!H342),0)</f>
        <v/>
      </c>
      <c r="H331">
        <f>IFERROR(VALUE('T12 Input'!I342),0)</f>
        <v/>
      </c>
      <c r="I331">
        <f>IFERROR(VALUE('T12 Input'!J342),0)</f>
        <v/>
      </c>
      <c r="J331">
        <f>IFERROR(VALUE('T12 Input'!K342),0)</f>
        <v/>
      </c>
      <c r="K331">
        <f>IFERROR(VALUE('T12 Input'!L342),0)</f>
        <v/>
      </c>
      <c r="L331">
        <f>IFERROR(VALUE('T12 Input'!M342),0)</f>
        <v/>
      </c>
      <c r="M331">
        <f>IFERROR(VALUE('T12 Input'!N342),0)</f>
        <v/>
      </c>
      <c r="N331">
        <f>IFERROR(INDEX(DescMap_Label,MATCH(A331,DescMap_Description,0)),"")</f>
        <v/>
      </c>
    </row>
    <row r="332" ht="15" customHeight="1" s="199">
      <c r="A332">
        <f>IFERROR(TRIM('T12 Input'!B343),)</f>
        <v/>
      </c>
      <c r="B332">
        <f>IFERROR(VALUE('T12 Input'!C343),0)</f>
        <v/>
      </c>
      <c r="C332">
        <f>IFERROR(VALUE('T12 Input'!D343),0)</f>
        <v/>
      </c>
      <c r="D332">
        <f>IFERROR(VALUE('T12 Input'!E343),0)</f>
        <v/>
      </c>
      <c r="E332">
        <f>IFERROR(VALUE('T12 Input'!F343),0)</f>
        <v/>
      </c>
      <c r="F332">
        <f>IFERROR(VALUE('T12 Input'!G343),0)</f>
        <v/>
      </c>
      <c r="G332">
        <f>IFERROR(VALUE('T12 Input'!H343),0)</f>
        <v/>
      </c>
      <c r="H332">
        <f>IFERROR(VALUE('T12 Input'!I343),0)</f>
        <v/>
      </c>
      <c r="I332">
        <f>IFERROR(VALUE('T12 Input'!J343),0)</f>
        <v/>
      </c>
      <c r="J332">
        <f>IFERROR(VALUE('T12 Input'!K343),0)</f>
        <v/>
      </c>
      <c r="K332">
        <f>IFERROR(VALUE('T12 Input'!L343),0)</f>
        <v/>
      </c>
      <c r="L332">
        <f>IFERROR(VALUE('T12 Input'!M343),0)</f>
        <v/>
      </c>
      <c r="M332">
        <f>IFERROR(VALUE('T12 Input'!N343),0)</f>
        <v/>
      </c>
      <c r="N332">
        <f>IFERROR(INDEX(DescMap_Label,MATCH(A332,DescMap_Description,0)),"")</f>
        <v/>
      </c>
    </row>
    <row r="333" ht="15" customHeight="1" s="199">
      <c r="A333">
        <f>IFERROR(TRIM('T12 Input'!B344),)</f>
        <v/>
      </c>
      <c r="B333">
        <f>IFERROR(VALUE('T12 Input'!C344),0)</f>
        <v/>
      </c>
      <c r="C333">
        <f>IFERROR(VALUE('T12 Input'!D344),0)</f>
        <v/>
      </c>
      <c r="D333">
        <f>IFERROR(VALUE('T12 Input'!E344),0)</f>
        <v/>
      </c>
      <c r="E333">
        <f>IFERROR(VALUE('T12 Input'!F344),0)</f>
        <v/>
      </c>
      <c r="F333">
        <f>IFERROR(VALUE('T12 Input'!G344),0)</f>
        <v/>
      </c>
      <c r="G333">
        <f>IFERROR(VALUE('T12 Input'!H344),0)</f>
        <v/>
      </c>
      <c r="H333">
        <f>IFERROR(VALUE('T12 Input'!I344),0)</f>
        <v/>
      </c>
      <c r="I333">
        <f>IFERROR(VALUE('T12 Input'!J344),0)</f>
        <v/>
      </c>
      <c r="J333">
        <f>IFERROR(VALUE('T12 Input'!K344),0)</f>
        <v/>
      </c>
      <c r="K333">
        <f>IFERROR(VALUE('T12 Input'!L344),0)</f>
        <v/>
      </c>
      <c r="L333">
        <f>IFERROR(VALUE('T12 Input'!M344),0)</f>
        <v/>
      </c>
      <c r="M333">
        <f>IFERROR(VALUE('T12 Input'!N344),0)</f>
        <v/>
      </c>
      <c r="N333">
        <f>IFERROR(INDEX(DescMap_Label,MATCH(A333,DescMap_Description,0)),"")</f>
        <v/>
      </c>
    </row>
    <row r="334" ht="15" customHeight="1" s="199">
      <c r="A334">
        <f>IFERROR(TRIM('T12 Input'!B345),)</f>
        <v/>
      </c>
      <c r="B334">
        <f>IFERROR(VALUE('T12 Input'!C345),0)</f>
        <v/>
      </c>
      <c r="C334">
        <f>IFERROR(VALUE('T12 Input'!D345),0)</f>
        <v/>
      </c>
      <c r="D334">
        <f>IFERROR(VALUE('T12 Input'!E345),0)</f>
        <v/>
      </c>
      <c r="E334">
        <f>IFERROR(VALUE('T12 Input'!F345),0)</f>
        <v/>
      </c>
      <c r="F334">
        <f>IFERROR(VALUE('T12 Input'!G345),0)</f>
        <v/>
      </c>
      <c r="G334">
        <f>IFERROR(VALUE('T12 Input'!H345),0)</f>
        <v/>
      </c>
      <c r="H334">
        <f>IFERROR(VALUE('T12 Input'!I345),0)</f>
        <v/>
      </c>
      <c r="I334">
        <f>IFERROR(VALUE('T12 Input'!J345),0)</f>
        <v/>
      </c>
      <c r="J334">
        <f>IFERROR(VALUE('T12 Input'!K345),0)</f>
        <v/>
      </c>
      <c r="K334">
        <f>IFERROR(VALUE('T12 Input'!L345),0)</f>
        <v/>
      </c>
      <c r="L334">
        <f>IFERROR(VALUE('T12 Input'!M345),0)</f>
        <v/>
      </c>
      <c r="M334">
        <f>IFERROR(VALUE('T12 Input'!N345),0)</f>
        <v/>
      </c>
      <c r="N334">
        <f>IFERROR(INDEX(DescMap_Label,MATCH(A334,DescMap_Description,0)),"")</f>
        <v/>
      </c>
    </row>
    <row r="335" ht="15" customHeight="1" s="199">
      <c r="A335">
        <f>IFERROR(TRIM('T12 Input'!B346),)</f>
        <v/>
      </c>
      <c r="B335">
        <f>IFERROR(VALUE('T12 Input'!C346),0)</f>
        <v/>
      </c>
      <c r="C335">
        <f>IFERROR(VALUE('T12 Input'!D346),0)</f>
        <v/>
      </c>
      <c r="D335">
        <f>IFERROR(VALUE('T12 Input'!E346),0)</f>
        <v/>
      </c>
      <c r="E335">
        <f>IFERROR(VALUE('T12 Input'!F346),0)</f>
        <v/>
      </c>
      <c r="F335">
        <f>IFERROR(VALUE('T12 Input'!G346),0)</f>
        <v/>
      </c>
      <c r="G335">
        <f>IFERROR(VALUE('T12 Input'!H346),0)</f>
        <v/>
      </c>
      <c r="H335">
        <f>IFERROR(VALUE('T12 Input'!I346),0)</f>
        <v/>
      </c>
      <c r="I335">
        <f>IFERROR(VALUE('T12 Input'!J346),0)</f>
        <v/>
      </c>
      <c r="J335">
        <f>IFERROR(VALUE('T12 Input'!K346),0)</f>
        <v/>
      </c>
      <c r="K335">
        <f>IFERROR(VALUE('T12 Input'!L346),0)</f>
        <v/>
      </c>
      <c r="L335">
        <f>IFERROR(VALUE('T12 Input'!M346),0)</f>
        <v/>
      </c>
      <c r="M335">
        <f>IFERROR(VALUE('T12 Input'!N346),0)</f>
        <v/>
      </c>
      <c r="N335">
        <f>IFERROR(INDEX(DescMap_Label,MATCH(A335,DescMap_Description,0)),"")</f>
        <v/>
      </c>
    </row>
    <row r="336" ht="15" customHeight="1" s="199">
      <c r="A336">
        <f>IFERROR(TRIM('T12 Input'!B347),)</f>
        <v/>
      </c>
      <c r="B336">
        <f>IFERROR(VALUE('T12 Input'!C347),0)</f>
        <v/>
      </c>
      <c r="C336">
        <f>IFERROR(VALUE('T12 Input'!D347),0)</f>
        <v/>
      </c>
      <c r="D336">
        <f>IFERROR(VALUE('T12 Input'!E347),0)</f>
        <v/>
      </c>
      <c r="E336">
        <f>IFERROR(VALUE('T12 Input'!F347),0)</f>
        <v/>
      </c>
      <c r="F336">
        <f>IFERROR(VALUE('T12 Input'!G347),0)</f>
        <v/>
      </c>
      <c r="G336">
        <f>IFERROR(VALUE('T12 Input'!H347),0)</f>
        <v/>
      </c>
      <c r="H336">
        <f>IFERROR(VALUE('T12 Input'!I347),0)</f>
        <v/>
      </c>
      <c r="I336">
        <f>IFERROR(VALUE('T12 Input'!J347),0)</f>
        <v/>
      </c>
      <c r="J336">
        <f>IFERROR(VALUE('T12 Input'!K347),0)</f>
        <v/>
      </c>
      <c r="K336">
        <f>IFERROR(VALUE('T12 Input'!L347),0)</f>
        <v/>
      </c>
      <c r="L336">
        <f>IFERROR(VALUE('T12 Input'!M347),0)</f>
        <v/>
      </c>
      <c r="M336">
        <f>IFERROR(VALUE('T12 Input'!N347),0)</f>
        <v/>
      </c>
      <c r="N336">
        <f>IFERROR(INDEX(DescMap_Label,MATCH(A336,DescMap_Description,0)),"")</f>
        <v/>
      </c>
    </row>
    <row r="337" ht="15" customHeight="1" s="199">
      <c r="A337">
        <f>IFERROR(TRIM('T12 Input'!B348),)</f>
        <v/>
      </c>
      <c r="B337">
        <f>IFERROR(VALUE('T12 Input'!C348),0)</f>
        <v/>
      </c>
      <c r="C337">
        <f>IFERROR(VALUE('T12 Input'!D348),0)</f>
        <v/>
      </c>
      <c r="D337">
        <f>IFERROR(VALUE('T12 Input'!E348),0)</f>
        <v/>
      </c>
      <c r="E337">
        <f>IFERROR(VALUE('T12 Input'!F348),0)</f>
        <v/>
      </c>
      <c r="F337">
        <f>IFERROR(VALUE('T12 Input'!G348),0)</f>
        <v/>
      </c>
      <c r="G337">
        <f>IFERROR(VALUE('T12 Input'!H348),0)</f>
        <v/>
      </c>
      <c r="H337">
        <f>IFERROR(VALUE('T12 Input'!I348),0)</f>
        <v/>
      </c>
      <c r="I337">
        <f>IFERROR(VALUE('T12 Input'!J348),0)</f>
        <v/>
      </c>
      <c r="J337">
        <f>IFERROR(VALUE('T12 Input'!K348),0)</f>
        <v/>
      </c>
      <c r="K337">
        <f>IFERROR(VALUE('T12 Input'!L348),0)</f>
        <v/>
      </c>
      <c r="L337">
        <f>IFERROR(VALUE('T12 Input'!M348),0)</f>
        <v/>
      </c>
      <c r="M337">
        <f>IFERROR(VALUE('T12 Input'!N348),0)</f>
        <v/>
      </c>
      <c r="N337">
        <f>IFERROR(INDEX(DescMap_Label,MATCH(A337,DescMap_Description,0)),"")</f>
        <v/>
      </c>
    </row>
    <row r="338" ht="15" customHeight="1" s="199">
      <c r="A338">
        <f>IFERROR(TRIM('T12 Input'!B349),)</f>
        <v/>
      </c>
      <c r="B338">
        <f>IFERROR(VALUE('T12 Input'!C349),0)</f>
        <v/>
      </c>
      <c r="C338">
        <f>IFERROR(VALUE('T12 Input'!D349),0)</f>
        <v/>
      </c>
      <c r="D338">
        <f>IFERROR(VALUE('T12 Input'!E349),0)</f>
        <v/>
      </c>
      <c r="E338">
        <f>IFERROR(VALUE('T12 Input'!F349),0)</f>
        <v/>
      </c>
      <c r="F338">
        <f>IFERROR(VALUE('T12 Input'!G349),0)</f>
        <v/>
      </c>
      <c r="G338">
        <f>IFERROR(VALUE('T12 Input'!H349),0)</f>
        <v/>
      </c>
      <c r="H338">
        <f>IFERROR(VALUE('T12 Input'!I349),0)</f>
        <v/>
      </c>
      <c r="I338">
        <f>IFERROR(VALUE('T12 Input'!J349),0)</f>
        <v/>
      </c>
      <c r="J338">
        <f>IFERROR(VALUE('T12 Input'!K349),0)</f>
        <v/>
      </c>
      <c r="K338">
        <f>IFERROR(VALUE('T12 Input'!L349),0)</f>
        <v/>
      </c>
      <c r="L338">
        <f>IFERROR(VALUE('T12 Input'!M349),0)</f>
        <v/>
      </c>
      <c r="M338">
        <f>IFERROR(VALUE('T12 Input'!N349),0)</f>
        <v/>
      </c>
      <c r="N338">
        <f>IFERROR(INDEX(DescMap_Label,MATCH(A338,DescMap_Description,0)),"")</f>
        <v/>
      </c>
    </row>
    <row r="339" ht="15" customHeight="1" s="199">
      <c r="A339">
        <f>IFERROR(TRIM('T12 Input'!B350),)</f>
        <v/>
      </c>
      <c r="B339">
        <f>IFERROR(VALUE('T12 Input'!C350),0)</f>
        <v/>
      </c>
      <c r="C339">
        <f>IFERROR(VALUE('T12 Input'!D350),0)</f>
        <v/>
      </c>
      <c r="D339">
        <f>IFERROR(VALUE('T12 Input'!E350),0)</f>
        <v/>
      </c>
      <c r="E339">
        <f>IFERROR(VALUE('T12 Input'!F350),0)</f>
        <v/>
      </c>
      <c r="F339">
        <f>IFERROR(VALUE('T12 Input'!G350),0)</f>
        <v/>
      </c>
      <c r="G339">
        <f>IFERROR(VALUE('T12 Input'!H350),0)</f>
        <v/>
      </c>
      <c r="H339">
        <f>IFERROR(VALUE('T12 Input'!I350),0)</f>
        <v/>
      </c>
      <c r="I339">
        <f>IFERROR(VALUE('T12 Input'!J350),0)</f>
        <v/>
      </c>
      <c r="J339">
        <f>IFERROR(VALUE('T12 Input'!K350),0)</f>
        <v/>
      </c>
      <c r="K339">
        <f>IFERROR(VALUE('T12 Input'!L350),0)</f>
        <v/>
      </c>
      <c r="L339">
        <f>IFERROR(VALUE('T12 Input'!M350),0)</f>
        <v/>
      </c>
      <c r="M339">
        <f>IFERROR(VALUE('T12 Input'!N350),0)</f>
        <v/>
      </c>
      <c r="N339">
        <f>IFERROR(INDEX(DescMap_Label,MATCH(A339,DescMap_Description,0)),"")</f>
        <v/>
      </c>
    </row>
    <row r="340" ht="15" customHeight="1" s="199">
      <c r="A340">
        <f>IFERROR(TRIM('T12 Input'!B351),)</f>
        <v/>
      </c>
      <c r="B340">
        <f>IFERROR(VALUE('T12 Input'!C351),0)</f>
        <v/>
      </c>
      <c r="C340">
        <f>IFERROR(VALUE('T12 Input'!D351),0)</f>
        <v/>
      </c>
      <c r="D340">
        <f>IFERROR(VALUE('T12 Input'!E351),0)</f>
        <v/>
      </c>
      <c r="E340">
        <f>IFERROR(VALUE('T12 Input'!F351),0)</f>
        <v/>
      </c>
      <c r="F340">
        <f>IFERROR(VALUE('T12 Input'!G351),0)</f>
        <v/>
      </c>
      <c r="G340">
        <f>IFERROR(VALUE('T12 Input'!H351),0)</f>
        <v/>
      </c>
      <c r="H340">
        <f>IFERROR(VALUE('T12 Input'!I351),0)</f>
        <v/>
      </c>
      <c r="I340">
        <f>IFERROR(VALUE('T12 Input'!J351),0)</f>
        <v/>
      </c>
      <c r="J340">
        <f>IFERROR(VALUE('T12 Input'!K351),0)</f>
        <v/>
      </c>
      <c r="K340">
        <f>IFERROR(VALUE('T12 Input'!L351),0)</f>
        <v/>
      </c>
      <c r="L340">
        <f>IFERROR(VALUE('T12 Input'!M351),0)</f>
        <v/>
      </c>
      <c r="M340">
        <f>IFERROR(VALUE('T12 Input'!N351),0)</f>
        <v/>
      </c>
      <c r="N340">
        <f>IFERROR(INDEX(DescMap_Label,MATCH(A340,DescMap_Description,0)),"")</f>
        <v/>
      </c>
    </row>
    <row r="341" ht="15" customHeight="1" s="199">
      <c r="A341">
        <f>IFERROR(TRIM('T12 Input'!B352),)</f>
        <v/>
      </c>
      <c r="B341">
        <f>IFERROR(VALUE('T12 Input'!C352),0)</f>
        <v/>
      </c>
      <c r="C341">
        <f>IFERROR(VALUE('T12 Input'!D352),0)</f>
        <v/>
      </c>
      <c r="D341">
        <f>IFERROR(VALUE('T12 Input'!E352),0)</f>
        <v/>
      </c>
      <c r="E341">
        <f>IFERROR(VALUE('T12 Input'!F352),0)</f>
        <v/>
      </c>
      <c r="F341">
        <f>IFERROR(VALUE('T12 Input'!G352),0)</f>
        <v/>
      </c>
      <c r="G341">
        <f>IFERROR(VALUE('T12 Input'!H352),0)</f>
        <v/>
      </c>
      <c r="H341">
        <f>IFERROR(VALUE('T12 Input'!I352),0)</f>
        <v/>
      </c>
      <c r="I341">
        <f>IFERROR(VALUE('T12 Input'!J352),0)</f>
        <v/>
      </c>
      <c r="J341">
        <f>IFERROR(VALUE('T12 Input'!K352),0)</f>
        <v/>
      </c>
      <c r="K341">
        <f>IFERROR(VALUE('T12 Input'!L352),0)</f>
        <v/>
      </c>
      <c r="L341">
        <f>IFERROR(VALUE('T12 Input'!M352),0)</f>
        <v/>
      </c>
      <c r="M341">
        <f>IFERROR(VALUE('T12 Input'!N352),0)</f>
        <v/>
      </c>
      <c r="N341">
        <f>IFERROR(INDEX(DescMap_Label,MATCH(A341,DescMap_Description,0)),"")</f>
        <v/>
      </c>
    </row>
    <row r="342" ht="15" customHeight="1" s="199">
      <c r="A342">
        <f>IFERROR(TRIM('T12 Input'!B353),)</f>
        <v/>
      </c>
      <c r="B342">
        <f>IFERROR(VALUE('T12 Input'!C353),0)</f>
        <v/>
      </c>
      <c r="C342">
        <f>IFERROR(VALUE('T12 Input'!D353),0)</f>
        <v/>
      </c>
      <c r="D342">
        <f>IFERROR(VALUE('T12 Input'!E353),0)</f>
        <v/>
      </c>
      <c r="E342">
        <f>IFERROR(VALUE('T12 Input'!F353),0)</f>
        <v/>
      </c>
      <c r="F342">
        <f>IFERROR(VALUE('T12 Input'!G353),0)</f>
        <v/>
      </c>
      <c r="G342">
        <f>IFERROR(VALUE('T12 Input'!H353),0)</f>
        <v/>
      </c>
      <c r="H342">
        <f>IFERROR(VALUE('T12 Input'!I353),0)</f>
        <v/>
      </c>
      <c r="I342">
        <f>IFERROR(VALUE('T12 Input'!J353),0)</f>
        <v/>
      </c>
      <c r="J342">
        <f>IFERROR(VALUE('T12 Input'!K353),0)</f>
        <v/>
      </c>
      <c r="K342">
        <f>IFERROR(VALUE('T12 Input'!L353),0)</f>
        <v/>
      </c>
      <c r="L342">
        <f>IFERROR(VALUE('T12 Input'!M353),0)</f>
        <v/>
      </c>
      <c r="M342">
        <f>IFERROR(VALUE('T12 Input'!N353),0)</f>
        <v/>
      </c>
      <c r="N342">
        <f>IFERROR(INDEX(DescMap_Label,MATCH(A342,DescMap_Description,0)),"")</f>
        <v/>
      </c>
    </row>
    <row r="343" ht="15" customHeight="1" s="199">
      <c r="A343">
        <f>IFERROR(TRIM('T12 Input'!B354),)</f>
        <v/>
      </c>
      <c r="B343">
        <f>IFERROR(VALUE('T12 Input'!C354),0)</f>
        <v/>
      </c>
      <c r="C343">
        <f>IFERROR(VALUE('T12 Input'!D354),0)</f>
        <v/>
      </c>
      <c r="D343">
        <f>IFERROR(VALUE('T12 Input'!E354),0)</f>
        <v/>
      </c>
      <c r="E343">
        <f>IFERROR(VALUE('T12 Input'!F354),0)</f>
        <v/>
      </c>
      <c r="F343">
        <f>IFERROR(VALUE('T12 Input'!G354),0)</f>
        <v/>
      </c>
      <c r="G343">
        <f>IFERROR(VALUE('T12 Input'!H354),0)</f>
        <v/>
      </c>
      <c r="H343">
        <f>IFERROR(VALUE('T12 Input'!I354),0)</f>
        <v/>
      </c>
      <c r="I343">
        <f>IFERROR(VALUE('T12 Input'!J354),0)</f>
        <v/>
      </c>
      <c r="J343">
        <f>IFERROR(VALUE('T12 Input'!K354),0)</f>
        <v/>
      </c>
      <c r="K343">
        <f>IFERROR(VALUE('T12 Input'!L354),0)</f>
        <v/>
      </c>
      <c r="L343">
        <f>IFERROR(VALUE('T12 Input'!M354),0)</f>
        <v/>
      </c>
      <c r="M343">
        <f>IFERROR(VALUE('T12 Input'!N354),0)</f>
        <v/>
      </c>
      <c r="N343">
        <f>IFERROR(INDEX(DescMap_Label,MATCH(A343,DescMap_Description,0)),"")</f>
        <v/>
      </c>
    </row>
    <row r="344" ht="15" customHeight="1" s="199">
      <c r="A344">
        <f>IFERROR(TRIM('T12 Input'!B355),)</f>
        <v/>
      </c>
      <c r="B344">
        <f>IFERROR(VALUE('T12 Input'!C355),0)</f>
        <v/>
      </c>
      <c r="C344">
        <f>IFERROR(VALUE('T12 Input'!D355),0)</f>
        <v/>
      </c>
      <c r="D344">
        <f>IFERROR(VALUE('T12 Input'!E355),0)</f>
        <v/>
      </c>
      <c r="E344">
        <f>IFERROR(VALUE('T12 Input'!F355),0)</f>
        <v/>
      </c>
      <c r="F344">
        <f>IFERROR(VALUE('T12 Input'!G355),0)</f>
        <v/>
      </c>
      <c r="G344">
        <f>IFERROR(VALUE('T12 Input'!H355),0)</f>
        <v/>
      </c>
      <c r="H344">
        <f>IFERROR(VALUE('T12 Input'!I355),0)</f>
        <v/>
      </c>
      <c r="I344">
        <f>IFERROR(VALUE('T12 Input'!J355),0)</f>
        <v/>
      </c>
      <c r="J344">
        <f>IFERROR(VALUE('T12 Input'!K355),0)</f>
        <v/>
      </c>
      <c r="K344">
        <f>IFERROR(VALUE('T12 Input'!L355),0)</f>
        <v/>
      </c>
      <c r="L344">
        <f>IFERROR(VALUE('T12 Input'!M355),0)</f>
        <v/>
      </c>
      <c r="M344">
        <f>IFERROR(VALUE('T12 Input'!N355),0)</f>
        <v/>
      </c>
      <c r="N344">
        <f>IFERROR(INDEX(DescMap_Label,MATCH(A344,DescMap_Description,0)),"")</f>
        <v/>
      </c>
    </row>
    <row r="345" ht="15" customHeight="1" s="199">
      <c r="A345">
        <f>IFERROR(TRIM('T12 Input'!B356),)</f>
        <v/>
      </c>
      <c r="B345">
        <f>IFERROR(VALUE('T12 Input'!C356),0)</f>
        <v/>
      </c>
      <c r="C345">
        <f>IFERROR(VALUE('T12 Input'!D356),0)</f>
        <v/>
      </c>
      <c r="D345">
        <f>IFERROR(VALUE('T12 Input'!E356),0)</f>
        <v/>
      </c>
      <c r="E345">
        <f>IFERROR(VALUE('T12 Input'!F356),0)</f>
        <v/>
      </c>
      <c r="F345">
        <f>IFERROR(VALUE('T12 Input'!G356),0)</f>
        <v/>
      </c>
      <c r="G345">
        <f>IFERROR(VALUE('T12 Input'!H356),0)</f>
        <v/>
      </c>
      <c r="H345">
        <f>IFERROR(VALUE('T12 Input'!I356),0)</f>
        <v/>
      </c>
      <c r="I345">
        <f>IFERROR(VALUE('T12 Input'!J356),0)</f>
        <v/>
      </c>
      <c r="J345">
        <f>IFERROR(VALUE('T12 Input'!K356),0)</f>
        <v/>
      </c>
      <c r="K345">
        <f>IFERROR(VALUE('T12 Input'!L356),0)</f>
        <v/>
      </c>
      <c r="L345">
        <f>IFERROR(VALUE('T12 Input'!M356),0)</f>
        <v/>
      </c>
      <c r="M345">
        <f>IFERROR(VALUE('T12 Input'!N356),0)</f>
        <v/>
      </c>
      <c r="N345">
        <f>IFERROR(INDEX(DescMap_Label,MATCH(A345,DescMap_Description,0)),"")</f>
        <v/>
      </c>
    </row>
    <row r="346" ht="15" customHeight="1" s="199">
      <c r="A346">
        <f>IFERROR(TRIM('T12 Input'!B357),)</f>
        <v/>
      </c>
      <c r="B346">
        <f>IFERROR(VALUE('T12 Input'!C357),0)</f>
        <v/>
      </c>
      <c r="C346">
        <f>IFERROR(VALUE('T12 Input'!D357),0)</f>
        <v/>
      </c>
      <c r="D346">
        <f>IFERROR(VALUE('T12 Input'!E357),0)</f>
        <v/>
      </c>
      <c r="E346">
        <f>IFERROR(VALUE('T12 Input'!F357),0)</f>
        <v/>
      </c>
      <c r="F346">
        <f>IFERROR(VALUE('T12 Input'!G357),0)</f>
        <v/>
      </c>
      <c r="G346">
        <f>IFERROR(VALUE('T12 Input'!H357),0)</f>
        <v/>
      </c>
      <c r="H346">
        <f>IFERROR(VALUE('T12 Input'!I357),0)</f>
        <v/>
      </c>
      <c r="I346">
        <f>IFERROR(VALUE('T12 Input'!J357),0)</f>
        <v/>
      </c>
      <c r="J346">
        <f>IFERROR(VALUE('T12 Input'!K357),0)</f>
        <v/>
      </c>
      <c r="K346">
        <f>IFERROR(VALUE('T12 Input'!L357),0)</f>
        <v/>
      </c>
      <c r="L346">
        <f>IFERROR(VALUE('T12 Input'!M357),0)</f>
        <v/>
      </c>
      <c r="M346">
        <f>IFERROR(VALUE('T12 Input'!N357),0)</f>
        <v/>
      </c>
      <c r="N346">
        <f>IFERROR(INDEX(DescMap_Label,MATCH(A346,DescMap_Description,0)),"")</f>
        <v/>
      </c>
    </row>
    <row r="347" ht="15" customHeight="1" s="199">
      <c r="A347">
        <f>IFERROR(TRIM('T12 Input'!B358),)</f>
        <v/>
      </c>
      <c r="B347">
        <f>IFERROR(VALUE('T12 Input'!C358),0)</f>
        <v/>
      </c>
      <c r="C347">
        <f>IFERROR(VALUE('T12 Input'!D358),0)</f>
        <v/>
      </c>
      <c r="D347">
        <f>IFERROR(VALUE('T12 Input'!E358),0)</f>
        <v/>
      </c>
      <c r="E347">
        <f>IFERROR(VALUE('T12 Input'!F358),0)</f>
        <v/>
      </c>
      <c r="F347">
        <f>IFERROR(VALUE('T12 Input'!G358),0)</f>
        <v/>
      </c>
      <c r="G347">
        <f>IFERROR(VALUE('T12 Input'!H358),0)</f>
        <v/>
      </c>
      <c r="H347">
        <f>IFERROR(VALUE('T12 Input'!I358),0)</f>
        <v/>
      </c>
      <c r="I347">
        <f>IFERROR(VALUE('T12 Input'!J358),0)</f>
        <v/>
      </c>
      <c r="J347">
        <f>IFERROR(VALUE('T12 Input'!K358),0)</f>
        <v/>
      </c>
      <c r="K347">
        <f>IFERROR(VALUE('T12 Input'!L358),0)</f>
        <v/>
      </c>
      <c r="L347">
        <f>IFERROR(VALUE('T12 Input'!M358),0)</f>
        <v/>
      </c>
      <c r="M347">
        <f>IFERROR(VALUE('T12 Input'!N358),0)</f>
        <v/>
      </c>
      <c r="N347">
        <f>IFERROR(INDEX(DescMap_Label,MATCH(A347,DescMap_Description,0)),"")</f>
        <v/>
      </c>
    </row>
    <row r="348" ht="15" customHeight="1" s="199">
      <c r="A348">
        <f>IFERROR(TRIM('T12 Input'!B359),)</f>
        <v/>
      </c>
      <c r="B348">
        <f>IFERROR(VALUE('T12 Input'!C359),0)</f>
        <v/>
      </c>
      <c r="C348">
        <f>IFERROR(VALUE('T12 Input'!D359),0)</f>
        <v/>
      </c>
      <c r="D348">
        <f>IFERROR(VALUE('T12 Input'!E359),0)</f>
        <v/>
      </c>
      <c r="E348">
        <f>IFERROR(VALUE('T12 Input'!F359),0)</f>
        <v/>
      </c>
      <c r="F348">
        <f>IFERROR(VALUE('T12 Input'!G359),0)</f>
        <v/>
      </c>
      <c r="G348">
        <f>IFERROR(VALUE('T12 Input'!H359),0)</f>
        <v/>
      </c>
      <c r="H348">
        <f>IFERROR(VALUE('T12 Input'!I359),0)</f>
        <v/>
      </c>
      <c r="I348">
        <f>IFERROR(VALUE('T12 Input'!J359),0)</f>
        <v/>
      </c>
      <c r="J348">
        <f>IFERROR(VALUE('T12 Input'!K359),0)</f>
        <v/>
      </c>
      <c r="K348">
        <f>IFERROR(VALUE('T12 Input'!L359),0)</f>
        <v/>
      </c>
      <c r="L348">
        <f>IFERROR(VALUE('T12 Input'!M359),0)</f>
        <v/>
      </c>
      <c r="M348">
        <f>IFERROR(VALUE('T12 Input'!N359),0)</f>
        <v/>
      </c>
      <c r="N348">
        <f>IFERROR(INDEX(DescMap_Label,MATCH(A348,DescMap_Description,0)),"")</f>
        <v/>
      </c>
    </row>
    <row r="349" ht="15" customHeight="1" s="199">
      <c r="A349">
        <f>IFERROR(TRIM('T12 Input'!B360),)</f>
        <v/>
      </c>
      <c r="B349">
        <f>IFERROR(VALUE('T12 Input'!C360),0)</f>
        <v/>
      </c>
      <c r="C349">
        <f>IFERROR(VALUE('T12 Input'!D360),0)</f>
        <v/>
      </c>
      <c r="D349">
        <f>IFERROR(VALUE('T12 Input'!E360),0)</f>
        <v/>
      </c>
      <c r="E349">
        <f>IFERROR(VALUE('T12 Input'!F360),0)</f>
        <v/>
      </c>
      <c r="F349">
        <f>IFERROR(VALUE('T12 Input'!G360),0)</f>
        <v/>
      </c>
      <c r="G349">
        <f>IFERROR(VALUE('T12 Input'!H360),0)</f>
        <v/>
      </c>
      <c r="H349">
        <f>IFERROR(VALUE('T12 Input'!I360),0)</f>
        <v/>
      </c>
      <c r="I349">
        <f>IFERROR(VALUE('T12 Input'!J360),0)</f>
        <v/>
      </c>
      <c r="J349">
        <f>IFERROR(VALUE('T12 Input'!K360),0)</f>
        <v/>
      </c>
      <c r="K349">
        <f>IFERROR(VALUE('T12 Input'!L360),0)</f>
        <v/>
      </c>
      <c r="L349">
        <f>IFERROR(VALUE('T12 Input'!M360),0)</f>
        <v/>
      </c>
      <c r="M349">
        <f>IFERROR(VALUE('T12 Input'!N360),0)</f>
        <v/>
      </c>
      <c r="N349">
        <f>IFERROR(INDEX(DescMap_Label,MATCH(A349,DescMap_Description,0)),"")</f>
        <v/>
      </c>
    </row>
    <row r="350" ht="15" customHeight="1" s="199">
      <c r="A350">
        <f>IFERROR(TRIM('T12 Input'!B361),)</f>
        <v/>
      </c>
      <c r="B350">
        <f>IFERROR(VALUE('T12 Input'!C361),0)</f>
        <v/>
      </c>
      <c r="C350">
        <f>IFERROR(VALUE('T12 Input'!D361),0)</f>
        <v/>
      </c>
      <c r="D350">
        <f>IFERROR(VALUE('T12 Input'!E361),0)</f>
        <v/>
      </c>
      <c r="E350">
        <f>IFERROR(VALUE('T12 Input'!F361),0)</f>
        <v/>
      </c>
      <c r="F350">
        <f>IFERROR(VALUE('T12 Input'!G361),0)</f>
        <v/>
      </c>
      <c r="G350">
        <f>IFERROR(VALUE('T12 Input'!H361),0)</f>
        <v/>
      </c>
      <c r="H350">
        <f>IFERROR(VALUE('T12 Input'!I361),0)</f>
        <v/>
      </c>
      <c r="I350">
        <f>IFERROR(VALUE('T12 Input'!J361),0)</f>
        <v/>
      </c>
      <c r="J350">
        <f>IFERROR(VALUE('T12 Input'!K361),0)</f>
        <v/>
      </c>
      <c r="K350">
        <f>IFERROR(VALUE('T12 Input'!L361),0)</f>
        <v/>
      </c>
      <c r="L350">
        <f>IFERROR(VALUE('T12 Input'!M361),0)</f>
        <v/>
      </c>
      <c r="M350">
        <f>IFERROR(VALUE('T12 Input'!N361),0)</f>
        <v/>
      </c>
      <c r="N350">
        <f>IFERROR(INDEX(DescMap_Label,MATCH(A350,DescMap_Description,0)),"")</f>
        <v/>
      </c>
    </row>
    <row r="351" ht="15" customHeight="1" s="199">
      <c r="A351">
        <f>IFERROR(TRIM('T12 Input'!B362),)</f>
        <v/>
      </c>
      <c r="B351">
        <f>IFERROR(VALUE('T12 Input'!C362),0)</f>
        <v/>
      </c>
      <c r="C351">
        <f>IFERROR(VALUE('T12 Input'!D362),0)</f>
        <v/>
      </c>
      <c r="D351">
        <f>IFERROR(VALUE('T12 Input'!E362),0)</f>
        <v/>
      </c>
      <c r="E351">
        <f>IFERROR(VALUE('T12 Input'!F362),0)</f>
        <v/>
      </c>
      <c r="F351">
        <f>IFERROR(VALUE('T12 Input'!G362),0)</f>
        <v/>
      </c>
      <c r="G351">
        <f>IFERROR(VALUE('T12 Input'!H362),0)</f>
        <v/>
      </c>
      <c r="H351">
        <f>IFERROR(VALUE('T12 Input'!I362),0)</f>
        <v/>
      </c>
      <c r="I351">
        <f>IFERROR(VALUE('T12 Input'!J362),0)</f>
        <v/>
      </c>
      <c r="J351">
        <f>IFERROR(VALUE('T12 Input'!K362),0)</f>
        <v/>
      </c>
      <c r="K351">
        <f>IFERROR(VALUE('T12 Input'!L362),0)</f>
        <v/>
      </c>
      <c r="L351">
        <f>IFERROR(VALUE('T12 Input'!M362),0)</f>
        <v/>
      </c>
      <c r="M351">
        <f>IFERROR(VALUE('T12 Input'!N362),0)</f>
        <v/>
      </c>
      <c r="N351">
        <f>IFERROR(INDEX(DescMap_Label,MATCH(A351,DescMap_Description,0)),"")</f>
        <v/>
      </c>
    </row>
    <row r="352" ht="15" customHeight="1" s="199">
      <c r="A352">
        <f>IFERROR(TRIM('T12 Input'!B363),)</f>
        <v/>
      </c>
      <c r="B352">
        <f>IFERROR(VALUE('T12 Input'!C363),0)</f>
        <v/>
      </c>
      <c r="C352">
        <f>IFERROR(VALUE('T12 Input'!D363),0)</f>
        <v/>
      </c>
      <c r="D352">
        <f>IFERROR(VALUE('T12 Input'!E363),0)</f>
        <v/>
      </c>
      <c r="E352">
        <f>IFERROR(VALUE('T12 Input'!F363),0)</f>
        <v/>
      </c>
      <c r="F352">
        <f>IFERROR(VALUE('T12 Input'!G363),0)</f>
        <v/>
      </c>
      <c r="G352">
        <f>IFERROR(VALUE('T12 Input'!H363),0)</f>
        <v/>
      </c>
      <c r="H352">
        <f>IFERROR(VALUE('T12 Input'!I363),0)</f>
        <v/>
      </c>
      <c r="I352">
        <f>IFERROR(VALUE('T12 Input'!J363),0)</f>
        <v/>
      </c>
      <c r="J352">
        <f>IFERROR(VALUE('T12 Input'!K363),0)</f>
        <v/>
      </c>
      <c r="K352">
        <f>IFERROR(VALUE('T12 Input'!L363),0)</f>
        <v/>
      </c>
      <c r="L352">
        <f>IFERROR(VALUE('T12 Input'!M363),0)</f>
        <v/>
      </c>
      <c r="M352">
        <f>IFERROR(VALUE('T12 Input'!N363),0)</f>
        <v/>
      </c>
      <c r="N352">
        <f>IFERROR(INDEX(DescMap_Label,MATCH(A352,DescMap_Description,0)),"")</f>
        <v/>
      </c>
    </row>
    <row r="353" ht="15" customHeight="1" s="199">
      <c r="A353">
        <f>IFERROR(TRIM('T12 Input'!B364),)</f>
        <v/>
      </c>
      <c r="B353">
        <f>IFERROR(VALUE('T12 Input'!C364),0)</f>
        <v/>
      </c>
      <c r="C353">
        <f>IFERROR(VALUE('T12 Input'!D364),0)</f>
        <v/>
      </c>
      <c r="D353">
        <f>IFERROR(VALUE('T12 Input'!E364),0)</f>
        <v/>
      </c>
      <c r="E353">
        <f>IFERROR(VALUE('T12 Input'!F364),0)</f>
        <v/>
      </c>
      <c r="F353">
        <f>IFERROR(VALUE('T12 Input'!G364),0)</f>
        <v/>
      </c>
      <c r="G353">
        <f>IFERROR(VALUE('T12 Input'!H364),0)</f>
        <v/>
      </c>
      <c r="H353">
        <f>IFERROR(VALUE('T12 Input'!I364),0)</f>
        <v/>
      </c>
      <c r="I353">
        <f>IFERROR(VALUE('T12 Input'!J364),0)</f>
        <v/>
      </c>
      <c r="J353">
        <f>IFERROR(VALUE('T12 Input'!K364),0)</f>
        <v/>
      </c>
      <c r="K353">
        <f>IFERROR(VALUE('T12 Input'!L364),0)</f>
        <v/>
      </c>
      <c r="L353">
        <f>IFERROR(VALUE('T12 Input'!M364),0)</f>
        <v/>
      </c>
      <c r="M353">
        <f>IFERROR(VALUE('T12 Input'!N364),0)</f>
        <v/>
      </c>
      <c r="N353">
        <f>IFERROR(INDEX(DescMap_Label,MATCH(A353,DescMap_Description,0)),"")</f>
        <v/>
      </c>
    </row>
    <row r="354" ht="15" customHeight="1" s="199">
      <c r="A354">
        <f>IFERROR(TRIM('T12 Input'!B365),)</f>
        <v/>
      </c>
      <c r="B354">
        <f>IFERROR(VALUE('T12 Input'!C365),0)</f>
        <v/>
      </c>
      <c r="C354">
        <f>IFERROR(VALUE('T12 Input'!D365),0)</f>
        <v/>
      </c>
      <c r="D354">
        <f>IFERROR(VALUE('T12 Input'!E365),0)</f>
        <v/>
      </c>
      <c r="E354">
        <f>IFERROR(VALUE('T12 Input'!F365),0)</f>
        <v/>
      </c>
      <c r="F354">
        <f>IFERROR(VALUE('T12 Input'!G365),0)</f>
        <v/>
      </c>
      <c r="G354">
        <f>IFERROR(VALUE('T12 Input'!H365),0)</f>
        <v/>
      </c>
      <c r="H354">
        <f>IFERROR(VALUE('T12 Input'!I365),0)</f>
        <v/>
      </c>
      <c r="I354">
        <f>IFERROR(VALUE('T12 Input'!J365),0)</f>
        <v/>
      </c>
      <c r="J354">
        <f>IFERROR(VALUE('T12 Input'!K365),0)</f>
        <v/>
      </c>
      <c r="K354">
        <f>IFERROR(VALUE('T12 Input'!L365),0)</f>
        <v/>
      </c>
      <c r="L354">
        <f>IFERROR(VALUE('T12 Input'!M365),0)</f>
        <v/>
      </c>
      <c r="M354">
        <f>IFERROR(VALUE('T12 Input'!N365),0)</f>
        <v/>
      </c>
      <c r="N354">
        <f>IFERROR(INDEX(DescMap_Label,MATCH(A354,DescMap_Description,0)),"")</f>
        <v/>
      </c>
    </row>
    <row r="355" ht="15" customHeight="1" s="199">
      <c r="A355">
        <f>IFERROR(TRIM('T12 Input'!B366),)</f>
        <v/>
      </c>
      <c r="B355">
        <f>IFERROR(VALUE('T12 Input'!C366),0)</f>
        <v/>
      </c>
      <c r="C355">
        <f>IFERROR(VALUE('T12 Input'!D366),0)</f>
        <v/>
      </c>
      <c r="D355">
        <f>IFERROR(VALUE('T12 Input'!E366),0)</f>
        <v/>
      </c>
      <c r="E355">
        <f>IFERROR(VALUE('T12 Input'!F366),0)</f>
        <v/>
      </c>
      <c r="F355">
        <f>IFERROR(VALUE('T12 Input'!G366),0)</f>
        <v/>
      </c>
      <c r="G355">
        <f>IFERROR(VALUE('T12 Input'!H366),0)</f>
        <v/>
      </c>
      <c r="H355">
        <f>IFERROR(VALUE('T12 Input'!I366),0)</f>
        <v/>
      </c>
      <c r="I355">
        <f>IFERROR(VALUE('T12 Input'!J366),0)</f>
        <v/>
      </c>
      <c r="J355">
        <f>IFERROR(VALUE('T12 Input'!K366),0)</f>
        <v/>
      </c>
      <c r="K355">
        <f>IFERROR(VALUE('T12 Input'!L366),0)</f>
        <v/>
      </c>
      <c r="L355">
        <f>IFERROR(VALUE('T12 Input'!M366),0)</f>
        <v/>
      </c>
      <c r="M355">
        <f>IFERROR(VALUE('T12 Input'!N366),0)</f>
        <v/>
      </c>
      <c r="N355">
        <f>IFERROR(INDEX(DescMap_Label,MATCH(A355,DescMap_Description,0)),"")</f>
        <v/>
      </c>
    </row>
    <row r="356" ht="15" customHeight="1" s="199">
      <c r="A356">
        <f>IFERROR(TRIM('T12 Input'!B367),)</f>
        <v/>
      </c>
      <c r="B356">
        <f>IFERROR(VALUE('T12 Input'!C367),0)</f>
        <v/>
      </c>
      <c r="C356">
        <f>IFERROR(VALUE('T12 Input'!D367),0)</f>
        <v/>
      </c>
      <c r="D356">
        <f>IFERROR(VALUE('T12 Input'!E367),0)</f>
        <v/>
      </c>
      <c r="E356">
        <f>IFERROR(VALUE('T12 Input'!F367),0)</f>
        <v/>
      </c>
      <c r="F356">
        <f>IFERROR(VALUE('T12 Input'!G367),0)</f>
        <v/>
      </c>
      <c r="G356">
        <f>IFERROR(VALUE('T12 Input'!H367),0)</f>
        <v/>
      </c>
      <c r="H356">
        <f>IFERROR(VALUE('T12 Input'!I367),0)</f>
        <v/>
      </c>
      <c r="I356">
        <f>IFERROR(VALUE('T12 Input'!J367),0)</f>
        <v/>
      </c>
      <c r="J356">
        <f>IFERROR(VALUE('T12 Input'!K367),0)</f>
        <v/>
      </c>
      <c r="K356">
        <f>IFERROR(VALUE('T12 Input'!L367),0)</f>
        <v/>
      </c>
      <c r="L356">
        <f>IFERROR(VALUE('T12 Input'!M367),0)</f>
        <v/>
      </c>
      <c r="M356">
        <f>IFERROR(VALUE('T12 Input'!N367),0)</f>
        <v/>
      </c>
      <c r="N356">
        <f>IFERROR(INDEX(DescMap_Label,MATCH(A356,DescMap_Description,0)),"")</f>
        <v/>
      </c>
    </row>
    <row r="357" ht="15" customHeight="1" s="199">
      <c r="A357">
        <f>IFERROR(TRIM('T12 Input'!B368),)</f>
        <v/>
      </c>
      <c r="B357">
        <f>IFERROR(VALUE('T12 Input'!C368),0)</f>
        <v/>
      </c>
      <c r="C357">
        <f>IFERROR(VALUE('T12 Input'!D368),0)</f>
        <v/>
      </c>
      <c r="D357">
        <f>IFERROR(VALUE('T12 Input'!E368),0)</f>
        <v/>
      </c>
      <c r="E357">
        <f>IFERROR(VALUE('T12 Input'!F368),0)</f>
        <v/>
      </c>
      <c r="F357">
        <f>IFERROR(VALUE('T12 Input'!G368),0)</f>
        <v/>
      </c>
      <c r="G357">
        <f>IFERROR(VALUE('T12 Input'!H368),0)</f>
        <v/>
      </c>
      <c r="H357">
        <f>IFERROR(VALUE('T12 Input'!I368),0)</f>
        <v/>
      </c>
      <c r="I357">
        <f>IFERROR(VALUE('T12 Input'!J368),0)</f>
        <v/>
      </c>
      <c r="J357">
        <f>IFERROR(VALUE('T12 Input'!K368),0)</f>
        <v/>
      </c>
      <c r="K357">
        <f>IFERROR(VALUE('T12 Input'!L368),0)</f>
        <v/>
      </c>
      <c r="L357">
        <f>IFERROR(VALUE('T12 Input'!M368),0)</f>
        <v/>
      </c>
      <c r="M357">
        <f>IFERROR(VALUE('T12 Input'!N368),0)</f>
        <v/>
      </c>
      <c r="N357">
        <f>IFERROR(INDEX(DescMap_Label,MATCH(A357,DescMap_Description,0)),"")</f>
        <v/>
      </c>
    </row>
    <row r="358" ht="15" customHeight="1" s="199">
      <c r="A358">
        <f>IFERROR(TRIM('T12 Input'!B369),)</f>
        <v/>
      </c>
      <c r="B358">
        <f>IFERROR(VALUE('T12 Input'!C369),0)</f>
        <v/>
      </c>
      <c r="C358">
        <f>IFERROR(VALUE('T12 Input'!D369),0)</f>
        <v/>
      </c>
      <c r="D358">
        <f>IFERROR(VALUE('T12 Input'!E369),0)</f>
        <v/>
      </c>
      <c r="E358">
        <f>IFERROR(VALUE('T12 Input'!F369),0)</f>
        <v/>
      </c>
      <c r="F358">
        <f>IFERROR(VALUE('T12 Input'!G369),0)</f>
        <v/>
      </c>
      <c r="G358">
        <f>IFERROR(VALUE('T12 Input'!H369),0)</f>
        <v/>
      </c>
      <c r="H358">
        <f>IFERROR(VALUE('T12 Input'!I369),0)</f>
        <v/>
      </c>
      <c r="I358">
        <f>IFERROR(VALUE('T12 Input'!J369),0)</f>
        <v/>
      </c>
      <c r="J358">
        <f>IFERROR(VALUE('T12 Input'!K369),0)</f>
        <v/>
      </c>
      <c r="K358">
        <f>IFERROR(VALUE('T12 Input'!L369),0)</f>
        <v/>
      </c>
      <c r="L358">
        <f>IFERROR(VALUE('T12 Input'!M369),0)</f>
        <v/>
      </c>
      <c r="M358">
        <f>IFERROR(VALUE('T12 Input'!N369),0)</f>
        <v/>
      </c>
      <c r="N358">
        <f>IFERROR(INDEX(DescMap_Label,MATCH(A358,DescMap_Description,0)),"")</f>
        <v/>
      </c>
    </row>
    <row r="359" ht="15" customHeight="1" s="199">
      <c r="A359">
        <f>IFERROR(TRIM('T12 Input'!B370),)</f>
        <v/>
      </c>
      <c r="B359">
        <f>IFERROR(VALUE('T12 Input'!C370),0)</f>
        <v/>
      </c>
      <c r="C359">
        <f>IFERROR(VALUE('T12 Input'!D370),0)</f>
        <v/>
      </c>
      <c r="D359">
        <f>IFERROR(VALUE('T12 Input'!E370),0)</f>
        <v/>
      </c>
      <c r="E359">
        <f>IFERROR(VALUE('T12 Input'!F370),0)</f>
        <v/>
      </c>
      <c r="F359">
        <f>IFERROR(VALUE('T12 Input'!G370),0)</f>
        <v/>
      </c>
      <c r="G359">
        <f>IFERROR(VALUE('T12 Input'!H370),0)</f>
        <v/>
      </c>
      <c r="H359">
        <f>IFERROR(VALUE('T12 Input'!I370),0)</f>
        <v/>
      </c>
      <c r="I359">
        <f>IFERROR(VALUE('T12 Input'!J370),0)</f>
        <v/>
      </c>
      <c r="J359">
        <f>IFERROR(VALUE('T12 Input'!K370),0)</f>
        <v/>
      </c>
      <c r="K359">
        <f>IFERROR(VALUE('T12 Input'!L370),0)</f>
        <v/>
      </c>
      <c r="L359">
        <f>IFERROR(VALUE('T12 Input'!M370),0)</f>
        <v/>
      </c>
      <c r="M359">
        <f>IFERROR(VALUE('T12 Input'!N370),0)</f>
        <v/>
      </c>
      <c r="N359">
        <f>IFERROR(INDEX(DescMap_Label,MATCH(A359,DescMap_Description,0)),"")</f>
        <v/>
      </c>
    </row>
    <row r="360" ht="15" customHeight="1" s="199">
      <c r="A360">
        <f>IFERROR(TRIM('T12 Input'!B371),)</f>
        <v/>
      </c>
      <c r="B360">
        <f>IFERROR(VALUE('T12 Input'!C371),0)</f>
        <v/>
      </c>
      <c r="C360">
        <f>IFERROR(VALUE('T12 Input'!D371),0)</f>
        <v/>
      </c>
      <c r="D360">
        <f>IFERROR(VALUE('T12 Input'!E371),0)</f>
        <v/>
      </c>
      <c r="E360">
        <f>IFERROR(VALUE('T12 Input'!F371),0)</f>
        <v/>
      </c>
      <c r="F360">
        <f>IFERROR(VALUE('T12 Input'!G371),0)</f>
        <v/>
      </c>
      <c r="G360">
        <f>IFERROR(VALUE('T12 Input'!H371),0)</f>
        <v/>
      </c>
      <c r="H360">
        <f>IFERROR(VALUE('T12 Input'!I371),0)</f>
        <v/>
      </c>
      <c r="I360">
        <f>IFERROR(VALUE('T12 Input'!J371),0)</f>
        <v/>
      </c>
      <c r="J360">
        <f>IFERROR(VALUE('T12 Input'!K371),0)</f>
        <v/>
      </c>
      <c r="K360">
        <f>IFERROR(VALUE('T12 Input'!L371),0)</f>
        <v/>
      </c>
      <c r="L360">
        <f>IFERROR(VALUE('T12 Input'!M371),0)</f>
        <v/>
      </c>
      <c r="M360">
        <f>IFERROR(VALUE('T12 Input'!N371),0)</f>
        <v/>
      </c>
      <c r="N360">
        <f>IFERROR(INDEX(DescMap_Label,MATCH(A360,DescMap_Description,0)),"")</f>
        <v/>
      </c>
    </row>
    <row r="361" ht="15" customHeight="1" s="199">
      <c r="A361">
        <f>IFERROR(TRIM('T12 Input'!B372),)</f>
        <v/>
      </c>
      <c r="B361">
        <f>IFERROR(VALUE('T12 Input'!C372),0)</f>
        <v/>
      </c>
      <c r="C361">
        <f>IFERROR(VALUE('T12 Input'!D372),0)</f>
        <v/>
      </c>
      <c r="D361">
        <f>IFERROR(VALUE('T12 Input'!E372),0)</f>
        <v/>
      </c>
      <c r="E361">
        <f>IFERROR(VALUE('T12 Input'!F372),0)</f>
        <v/>
      </c>
      <c r="F361">
        <f>IFERROR(VALUE('T12 Input'!G372),0)</f>
        <v/>
      </c>
      <c r="G361">
        <f>IFERROR(VALUE('T12 Input'!H372),0)</f>
        <v/>
      </c>
      <c r="H361">
        <f>IFERROR(VALUE('T12 Input'!I372),0)</f>
        <v/>
      </c>
      <c r="I361">
        <f>IFERROR(VALUE('T12 Input'!J372),0)</f>
        <v/>
      </c>
      <c r="J361">
        <f>IFERROR(VALUE('T12 Input'!K372),0)</f>
        <v/>
      </c>
      <c r="K361">
        <f>IFERROR(VALUE('T12 Input'!L372),0)</f>
        <v/>
      </c>
      <c r="L361">
        <f>IFERROR(VALUE('T12 Input'!M372),0)</f>
        <v/>
      </c>
      <c r="M361">
        <f>IFERROR(VALUE('T12 Input'!N372),0)</f>
        <v/>
      </c>
      <c r="N361">
        <f>IFERROR(INDEX(DescMap_Label,MATCH(A361,DescMap_Description,0)),"")</f>
        <v/>
      </c>
    </row>
    <row r="362" ht="15" customHeight="1" s="199">
      <c r="A362">
        <f>IFERROR(TRIM('T12 Input'!B373),)</f>
        <v/>
      </c>
      <c r="B362">
        <f>IFERROR(VALUE('T12 Input'!C373),0)</f>
        <v/>
      </c>
      <c r="C362">
        <f>IFERROR(VALUE('T12 Input'!D373),0)</f>
        <v/>
      </c>
      <c r="D362">
        <f>IFERROR(VALUE('T12 Input'!E373),0)</f>
        <v/>
      </c>
      <c r="E362">
        <f>IFERROR(VALUE('T12 Input'!F373),0)</f>
        <v/>
      </c>
      <c r="F362">
        <f>IFERROR(VALUE('T12 Input'!G373),0)</f>
        <v/>
      </c>
      <c r="G362">
        <f>IFERROR(VALUE('T12 Input'!H373),0)</f>
        <v/>
      </c>
      <c r="H362">
        <f>IFERROR(VALUE('T12 Input'!I373),0)</f>
        <v/>
      </c>
      <c r="I362">
        <f>IFERROR(VALUE('T12 Input'!J373),0)</f>
        <v/>
      </c>
      <c r="J362">
        <f>IFERROR(VALUE('T12 Input'!K373),0)</f>
        <v/>
      </c>
      <c r="K362">
        <f>IFERROR(VALUE('T12 Input'!L373),0)</f>
        <v/>
      </c>
      <c r="L362">
        <f>IFERROR(VALUE('T12 Input'!M373),0)</f>
        <v/>
      </c>
      <c r="M362">
        <f>IFERROR(VALUE('T12 Input'!N373),0)</f>
        <v/>
      </c>
      <c r="N362">
        <f>IFERROR(INDEX(DescMap_Label,MATCH(A362,DescMap_Description,0)),"")</f>
        <v/>
      </c>
    </row>
    <row r="363" ht="15" customHeight="1" s="199">
      <c r="A363">
        <f>IFERROR(TRIM('T12 Input'!B374),)</f>
        <v/>
      </c>
      <c r="B363">
        <f>IFERROR(VALUE('T12 Input'!C374),0)</f>
        <v/>
      </c>
      <c r="C363">
        <f>IFERROR(VALUE('T12 Input'!D374),0)</f>
        <v/>
      </c>
      <c r="D363">
        <f>IFERROR(VALUE('T12 Input'!E374),0)</f>
        <v/>
      </c>
      <c r="E363">
        <f>IFERROR(VALUE('T12 Input'!F374),0)</f>
        <v/>
      </c>
      <c r="F363">
        <f>IFERROR(VALUE('T12 Input'!G374),0)</f>
        <v/>
      </c>
      <c r="G363">
        <f>IFERROR(VALUE('T12 Input'!H374),0)</f>
        <v/>
      </c>
      <c r="H363">
        <f>IFERROR(VALUE('T12 Input'!I374),0)</f>
        <v/>
      </c>
      <c r="I363">
        <f>IFERROR(VALUE('T12 Input'!J374),0)</f>
        <v/>
      </c>
      <c r="J363">
        <f>IFERROR(VALUE('T12 Input'!K374),0)</f>
        <v/>
      </c>
      <c r="K363">
        <f>IFERROR(VALUE('T12 Input'!L374),0)</f>
        <v/>
      </c>
      <c r="L363">
        <f>IFERROR(VALUE('T12 Input'!M374),0)</f>
        <v/>
      </c>
      <c r="M363">
        <f>IFERROR(VALUE('T12 Input'!N374),0)</f>
        <v/>
      </c>
      <c r="N363">
        <f>IFERROR(INDEX(DescMap_Label,MATCH(A363,DescMap_Description,0)),"")</f>
        <v/>
      </c>
    </row>
    <row r="364" ht="15" customHeight="1" s="199">
      <c r="A364">
        <f>IFERROR(TRIM('T12 Input'!B375),)</f>
        <v/>
      </c>
      <c r="B364">
        <f>IFERROR(VALUE('T12 Input'!C375),0)</f>
        <v/>
      </c>
      <c r="C364">
        <f>IFERROR(VALUE('T12 Input'!D375),0)</f>
        <v/>
      </c>
      <c r="D364">
        <f>IFERROR(VALUE('T12 Input'!E375),0)</f>
        <v/>
      </c>
      <c r="E364">
        <f>IFERROR(VALUE('T12 Input'!F375),0)</f>
        <v/>
      </c>
      <c r="F364">
        <f>IFERROR(VALUE('T12 Input'!G375),0)</f>
        <v/>
      </c>
      <c r="G364">
        <f>IFERROR(VALUE('T12 Input'!H375),0)</f>
        <v/>
      </c>
      <c r="H364">
        <f>IFERROR(VALUE('T12 Input'!I375),0)</f>
        <v/>
      </c>
      <c r="I364">
        <f>IFERROR(VALUE('T12 Input'!J375),0)</f>
        <v/>
      </c>
      <c r="J364">
        <f>IFERROR(VALUE('T12 Input'!K375),0)</f>
        <v/>
      </c>
      <c r="K364">
        <f>IFERROR(VALUE('T12 Input'!L375),0)</f>
        <v/>
      </c>
      <c r="L364">
        <f>IFERROR(VALUE('T12 Input'!M375),0)</f>
        <v/>
      </c>
      <c r="M364">
        <f>IFERROR(VALUE('T12 Input'!N375),0)</f>
        <v/>
      </c>
      <c r="N364">
        <f>IFERROR(INDEX(DescMap_Label,MATCH(A364,DescMap_Description,0)),"")</f>
        <v/>
      </c>
    </row>
    <row r="365" ht="15" customHeight="1" s="199">
      <c r="A365">
        <f>IFERROR(TRIM('T12 Input'!B376),)</f>
        <v/>
      </c>
      <c r="B365">
        <f>IFERROR(VALUE('T12 Input'!C376),0)</f>
        <v/>
      </c>
      <c r="C365">
        <f>IFERROR(VALUE('T12 Input'!D376),0)</f>
        <v/>
      </c>
      <c r="D365">
        <f>IFERROR(VALUE('T12 Input'!E376),0)</f>
        <v/>
      </c>
      <c r="E365">
        <f>IFERROR(VALUE('T12 Input'!F376),0)</f>
        <v/>
      </c>
      <c r="F365">
        <f>IFERROR(VALUE('T12 Input'!G376),0)</f>
        <v/>
      </c>
      <c r="G365">
        <f>IFERROR(VALUE('T12 Input'!H376),0)</f>
        <v/>
      </c>
      <c r="H365">
        <f>IFERROR(VALUE('T12 Input'!I376),0)</f>
        <v/>
      </c>
      <c r="I365">
        <f>IFERROR(VALUE('T12 Input'!J376),0)</f>
        <v/>
      </c>
      <c r="J365">
        <f>IFERROR(VALUE('T12 Input'!K376),0)</f>
        <v/>
      </c>
      <c r="K365">
        <f>IFERROR(VALUE('T12 Input'!L376),0)</f>
        <v/>
      </c>
      <c r="L365">
        <f>IFERROR(VALUE('T12 Input'!M376),0)</f>
        <v/>
      </c>
      <c r="M365">
        <f>IFERROR(VALUE('T12 Input'!N376),0)</f>
        <v/>
      </c>
      <c r="N365">
        <f>IFERROR(INDEX(DescMap_Label,MATCH(A365,DescMap_Description,0)),"")</f>
        <v/>
      </c>
    </row>
    <row r="366" ht="15" customHeight="1" s="199">
      <c r="A366">
        <f>IFERROR(TRIM('T12 Input'!B377),)</f>
        <v/>
      </c>
      <c r="B366">
        <f>IFERROR(VALUE('T12 Input'!C377),0)</f>
        <v/>
      </c>
      <c r="C366">
        <f>IFERROR(VALUE('T12 Input'!D377),0)</f>
        <v/>
      </c>
      <c r="D366">
        <f>IFERROR(VALUE('T12 Input'!E377),0)</f>
        <v/>
      </c>
      <c r="E366">
        <f>IFERROR(VALUE('T12 Input'!F377),0)</f>
        <v/>
      </c>
      <c r="F366">
        <f>IFERROR(VALUE('T12 Input'!G377),0)</f>
        <v/>
      </c>
      <c r="G366">
        <f>IFERROR(VALUE('T12 Input'!H377),0)</f>
        <v/>
      </c>
      <c r="H366">
        <f>IFERROR(VALUE('T12 Input'!I377),0)</f>
        <v/>
      </c>
      <c r="I366">
        <f>IFERROR(VALUE('T12 Input'!J377),0)</f>
        <v/>
      </c>
      <c r="J366">
        <f>IFERROR(VALUE('T12 Input'!K377),0)</f>
        <v/>
      </c>
      <c r="K366">
        <f>IFERROR(VALUE('T12 Input'!L377),0)</f>
        <v/>
      </c>
      <c r="L366">
        <f>IFERROR(VALUE('T12 Input'!M377),0)</f>
        <v/>
      </c>
      <c r="M366">
        <f>IFERROR(VALUE('T12 Input'!N377),0)</f>
        <v/>
      </c>
      <c r="N366">
        <f>IFERROR(INDEX(DescMap_Label,MATCH(A366,DescMap_Description,0)),"")</f>
        <v/>
      </c>
    </row>
    <row r="367" ht="15" customHeight="1" s="199">
      <c r="A367">
        <f>IFERROR(TRIM('T12 Input'!B378),)</f>
        <v/>
      </c>
      <c r="B367">
        <f>IFERROR(VALUE('T12 Input'!C378),0)</f>
        <v/>
      </c>
      <c r="C367">
        <f>IFERROR(VALUE('T12 Input'!D378),0)</f>
        <v/>
      </c>
      <c r="D367">
        <f>IFERROR(VALUE('T12 Input'!E378),0)</f>
        <v/>
      </c>
      <c r="E367">
        <f>IFERROR(VALUE('T12 Input'!F378),0)</f>
        <v/>
      </c>
      <c r="F367">
        <f>IFERROR(VALUE('T12 Input'!G378),0)</f>
        <v/>
      </c>
      <c r="G367">
        <f>IFERROR(VALUE('T12 Input'!H378),0)</f>
        <v/>
      </c>
      <c r="H367">
        <f>IFERROR(VALUE('T12 Input'!I378),0)</f>
        <v/>
      </c>
      <c r="I367">
        <f>IFERROR(VALUE('T12 Input'!J378),0)</f>
        <v/>
      </c>
      <c r="J367">
        <f>IFERROR(VALUE('T12 Input'!K378),0)</f>
        <v/>
      </c>
      <c r="K367">
        <f>IFERROR(VALUE('T12 Input'!L378),0)</f>
        <v/>
      </c>
      <c r="L367">
        <f>IFERROR(VALUE('T12 Input'!M378),0)</f>
        <v/>
      </c>
      <c r="M367">
        <f>IFERROR(VALUE('T12 Input'!N378),0)</f>
        <v/>
      </c>
      <c r="N367">
        <f>IFERROR(INDEX(DescMap_Label,MATCH(A367,DescMap_Description,0)),"")</f>
        <v/>
      </c>
    </row>
    <row r="368" ht="15" customHeight="1" s="199">
      <c r="A368">
        <f>IFERROR(TRIM('T12 Input'!B379),)</f>
        <v/>
      </c>
      <c r="B368">
        <f>IFERROR(VALUE('T12 Input'!C379),0)</f>
        <v/>
      </c>
      <c r="C368">
        <f>IFERROR(VALUE('T12 Input'!D379),0)</f>
        <v/>
      </c>
      <c r="D368">
        <f>IFERROR(VALUE('T12 Input'!E379),0)</f>
        <v/>
      </c>
      <c r="E368">
        <f>IFERROR(VALUE('T12 Input'!F379),0)</f>
        <v/>
      </c>
      <c r="F368">
        <f>IFERROR(VALUE('T12 Input'!G379),0)</f>
        <v/>
      </c>
      <c r="G368">
        <f>IFERROR(VALUE('T12 Input'!H379),0)</f>
        <v/>
      </c>
      <c r="H368">
        <f>IFERROR(VALUE('T12 Input'!I379),0)</f>
        <v/>
      </c>
      <c r="I368">
        <f>IFERROR(VALUE('T12 Input'!J379),0)</f>
        <v/>
      </c>
      <c r="J368">
        <f>IFERROR(VALUE('T12 Input'!K379),0)</f>
        <v/>
      </c>
      <c r="K368">
        <f>IFERROR(VALUE('T12 Input'!L379),0)</f>
        <v/>
      </c>
      <c r="L368">
        <f>IFERROR(VALUE('T12 Input'!M379),0)</f>
        <v/>
      </c>
      <c r="M368">
        <f>IFERROR(VALUE('T12 Input'!N379),0)</f>
        <v/>
      </c>
      <c r="N368">
        <f>IFERROR(INDEX(DescMap_Label,MATCH(A368,DescMap_Description,0)),"")</f>
        <v/>
      </c>
    </row>
    <row r="369" ht="15" customHeight="1" s="199">
      <c r="A369">
        <f>IFERROR(TRIM('T12 Input'!B380),)</f>
        <v/>
      </c>
      <c r="B369">
        <f>IFERROR(VALUE('T12 Input'!C380),0)</f>
        <v/>
      </c>
      <c r="C369">
        <f>IFERROR(VALUE('T12 Input'!D380),0)</f>
        <v/>
      </c>
      <c r="D369">
        <f>IFERROR(VALUE('T12 Input'!E380),0)</f>
        <v/>
      </c>
      <c r="E369">
        <f>IFERROR(VALUE('T12 Input'!F380),0)</f>
        <v/>
      </c>
      <c r="F369">
        <f>IFERROR(VALUE('T12 Input'!G380),0)</f>
        <v/>
      </c>
      <c r="G369">
        <f>IFERROR(VALUE('T12 Input'!H380),0)</f>
        <v/>
      </c>
      <c r="H369">
        <f>IFERROR(VALUE('T12 Input'!I380),0)</f>
        <v/>
      </c>
      <c r="I369">
        <f>IFERROR(VALUE('T12 Input'!J380),0)</f>
        <v/>
      </c>
      <c r="J369">
        <f>IFERROR(VALUE('T12 Input'!K380),0)</f>
        <v/>
      </c>
      <c r="K369">
        <f>IFERROR(VALUE('T12 Input'!L380),0)</f>
        <v/>
      </c>
      <c r="L369">
        <f>IFERROR(VALUE('T12 Input'!M380),0)</f>
        <v/>
      </c>
      <c r="M369">
        <f>IFERROR(VALUE('T12 Input'!N380),0)</f>
        <v/>
      </c>
      <c r="N369">
        <f>IFERROR(INDEX(DescMap_Label,MATCH(A369,DescMap_Description,0)),"")</f>
        <v/>
      </c>
    </row>
    <row r="370" ht="15" customHeight="1" s="199">
      <c r="A370">
        <f>IFERROR(TRIM('T12 Input'!B381),)</f>
        <v/>
      </c>
      <c r="B370">
        <f>IFERROR(VALUE('T12 Input'!C381),0)</f>
        <v/>
      </c>
      <c r="C370">
        <f>IFERROR(VALUE('T12 Input'!D381),0)</f>
        <v/>
      </c>
      <c r="D370">
        <f>IFERROR(VALUE('T12 Input'!E381),0)</f>
        <v/>
      </c>
      <c r="E370">
        <f>IFERROR(VALUE('T12 Input'!F381),0)</f>
        <v/>
      </c>
      <c r="F370">
        <f>IFERROR(VALUE('T12 Input'!G381),0)</f>
        <v/>
      </c>
      <c r="G370">
        <f>IFERROR(VALUE('T12 Input'!H381),0)</f>
        <v/>
      </c>
      <c r="H370">
        <f>IFERROR(VALUE('T12 Input'!I381),0)</f>
        <v/>
      </c>
      <c r="I370">
        <f>IFERROR(VALUE('T12 Input'!J381),0)</f>
        <v/>
      </c>
      <c r="J370">
        <f>IFERROR(VALUE('T12 Input'!K381),0)</f>
        <v/>
      </c>
      <c r="K370">
        <f>IFERROR(VALUE('T12 Input'!L381),0)</f>
        <v/>
      </c>
      <c r="L370">
        <f>IFERROR(VALUE('T12 Input'!M381),0)</f>
        <v/>
      </c>
      <c r="M370">
        <f>IFERROR(VALUE('T12 Input'!N381),0)</f>
        <v/>
      </c>
      <c r="N370">
        <f>IFERROR(INDEX(DescMap_Label,MATCH(A370,DescMap_Description,0)),"")</f>
        <v/>
      </c>
    </row>
    <row r="371" ht="15" customHeight="1" s="199">
      <c r="A371">
        <f>IFERROR(TRIM('T12 Input'!B382),)</f>
        <v/>
      </c>
      <c r="B371">
        <f>IFERROR(VALUE('T12 Input'!C382),0)</f>
        <v/>
      </c>
      <c r="C371">
        <f>IFERROR(VALUE('T12 Input'!D382),0)</f>
        <v/>
      </c>
      <c r="D371">
        <f>IFERROR(VALUE('T12 Input'!E382),0)</f>
        <v/>
      </c>
      <c r="E371">
        <f>IFERROR(VALUE('T12 Input'!F382),0)</f>
        <v/>
      </c>
      <c r="F371">
        <f>IFERROR(VALUE('T12 Input'!G382),0)</f>
        <v/>
      </c>
      <c r="G371">
        <f>IFERROR(VALUE('T12 Input'!H382),0)</f>
        <v/>
      </c>
      <c r="H371">
        <f>IFERROR(VALUE('T12 Input'!I382),0)</f>
        <v/>
      </c>
      <c r="I371">
        <f>IFERROR(VALUE('T12 Input'!J382),0)</f>
        <v/>
      </c>
      <c r="J371">
        <f>IFERROR(VALUE('T12 Input'!K382),0)</f>
        <v/>
      </c>
      <c r="K371">
        <f>IFERROR(VALUE('T12 Input'!L382),0)</f>
        <v/>
      </c>
      <c r="L371">
        <f>IFERROR(VALUE('T12 Input'!M382),0)</f>
        <v/>
      </c>
      <c r="M371">
        <f>IFERROR(VALUE('T12 Input'!N382),0)</f>
        <v/>
      </c>
      <c r="N371">
        <f>IFERROR(INDEX(DescMap_Label,MATCH(A371,DescMap_Description,0)),"")</f>
        <v/>
      </c>
    </row>
    <row r="372" ht="15" customHeight="1" s="199">
      <c r="A372">
        <f>IFERROR(TRIM('T12 Input'!B383),)</f>
        <v/>
      </c>
      <c r="B372">
        <f>IFERROR(VALUE('T12 Input'!C383),0)</f>
        <v/>
      </c>
      <c r="C372">
        <f>IFERROR(VALUE('T12 Input'!D383),0)</f>
        <v/>
      </c>
      <c r="D372">
        <f>IFERROR(VALUE('T12 Input'!E383),0)</f>
        <v/>
      </c>
      <c r="E372">
        <f>IFERROR(VALUE('T12 Input'!F383),0)</f>
        <v/>
      </c>
      <c r="F372">
        <f>IFERROR(VALUE('T12 Input'!G383),0)</f>
        <v/>
      </c>
      <c r="G372">
        <f>IFERROR(VALUE('T12 Input'!H383),0)</f>
        <v/>
      </c>
      <c r="H372">
        <f>IFERROR(VALUE('T12 Input'!I383),0)</f>
        <v/>
      </c>
      <c r="I372">
        <f>IFERROR(VALUE('T12 Input'!J383),0)</f>
        <v/>
      </c>
      <c r="J372">
        <f>IFERROR(VALUE('T12 Input'!K383),0)</f>
        <v/>
      </c>
      <c r="K372">
        <f>IFERROR(VALUE('T12 Input'!L383),0)</f>
        <v/>
      </c>
      <c r="L372">
        <f>IFERROR(VALUE('T12 Input'!M383),0)</f>
        <v/>
      </c>
      <c r="M372">
        <f>IFERROR(VALUE('T12 Input'!N383),0)</f>
        <v/>
      </c>
      <c r="N372">
        <f>IFERROR(INDEX(DescMap_Label,MATCH(A372,DescMap_Description,0)),"")</f>
        <v/>
      </c>
    </row>
    <row r="373" ht="15" customHeight="1" s="199">
      <c r="A373">
        <f>IFERROR(TRIM('T12 Input'!B384),)</f>
        <v/>
      </c>
      <c r="B373">
        <f>IFERROR(VALUE('T12 Input'!C384),0)</f>
        <v/>
      </c>
      <c r="C373">
        <f>IFERROR(VALUE('T12 Input'!D384),0)</f>
        <v/>
      </c>
      <c r="D373">
        <f>IFERROR(VALUE('T12 Input'!E384),0)</f>
        <v/>
      </c>
      <c r="E373">
        <f>IFERROR(VALUE('T12 Input'!F384),0)</f>
        <v/>
      </c>
      <c r="F373">
        <f>IFERROR(VALUE('T12 Input'!G384),0)</f>
        <v/>
      </c>
      <c r="G373">
        <f>IFERROR(VALUE('T12 Input'!H384),0)</f>
        <v/>
      </c>
      <c r="H373">
        <f>IFERROR(VALUE('T12 Input'!I384),0)</f>
        <v/>
      </c>
      <c r="I373">
        <f>IFERROR(VALUE('T12 Input'!J384),0)</f>
        <v/>
      </c>
      <c r="J373">
        <f>IFERROR(VALUE('T12 Input'!K384),0)</f>
        <v/>
      </c>
      <c r="K373">
        <f>IFERROR(VALUE('T12 Input'!L384),0)</f>
        <v/>
      </c>
      <c r="L373">
        <f>IFERROR(VALUE('T12 Input'!M384),0)</f>
        <v/>
      </c>
      <c r="M373">
        <f>IFERROR(VALUE('T12 Input'!N384),0)</f>
        <v/>
      </c>
      <c r="N373">
        <f>IFERROR(INDEX(DescMap_Label,MATCH(A373,DescMap_Description,0)),"")</f>
        <v/>
      </c>
    </row>
    <row r="374" ht="15" customHeight="1" s="199">
      <c r="A374">
        <f>IFERROR(TRIM('T12 Input'!B385),)</f>
        <v/>
      </c>
      <c r="B374">
        <f>IFERROR(VALUE('T12 Input'!C385),0)</f>
        <v/>
      </c>
      <c r="C374">
        <f>IFERROR(VALUE('T12 Input'!D385),0)</f>
        <v/>
      </c>
      <c r="D374">
        <f>IFERROR(VALUE('T12 Input'!E385),0)</f>
        <v/>
      </c>
      <c r="E374">
        <f>IFERROR(VALUE('T12 Input'!F385),0)</f>
        <v/>
      </c>
      <c r="F374">
        <f>IFERROR(VALUE('T12 Input'!G385),0)</f>
        <v/>
      </c>
      <c r="G374">
        <f>IFERROR(VALUE('T12 Input'!H385),0)</f>
        <v/>
      </c>
      <c r="H374">
        <f>IFERROR(VALUE('T12 Input'!I385),0)</f>
        <v/>
      </c>
      <c r="I374">
        <f>IFERROR(VALUE('T12 Input'!J385),0)</f>
        <v/>
      </c>
      <c r="J374">
        <f>IFERROR(VALUE('T12 Input'!K385),0)</f>
        <v/>
      </c>
      <c r="K374">
        <f>IFERROR(VALUE('T12 Input'!L385),0)</f>
        <v/>
      </c>
      <c r="L374">
        <f>IFERROR(VALUE('T12 Input'!M385),0)</f>
        <v/>
      </c>
      <c r="M374">
        <f>IFERROR(VALUE('T12 Input'!N385),0)</f>
        <v/>
      </c>
      <c r="N374">
        <f>IFERROR(INDEX(DescMap_Label,MATCH(A374,DescMap_Description,0)),"")</f>
        <v/>
      </c>
    </row>
    <row r="375" ht="15" customHeight="1" s="199">
      <c r="A375">
        <f>IFERROR(TRIM('T12 Input'!B386),)</f>
        <v/>
      </c>
      <c r="B375">
        <f>IFERROR(VALUE('T12 Input'!C386),0)</f>
        <v/>
      </c>
      <c r="C375">
        <f>IFERROR(VALUE('T12 Input'!D386),0)</f>
        <v/>
      </c>
      <c r="D375">
        <f>IFERROR(VALUE('T12 Input'!E386),0)</f>
        <v/>
      </c>
      <c r="E375">
        <f>IFERROR(VALUE('T12 Input'!F386),0)</f>
        <v/>
      </c>
      <c r="F375">
        <f>IFERROR(VALUE('T12 Input'!G386),0)</f>
        <v/>
      </c>
      <c r="G375">
        <f>IFERROR(VALUE('T12 Input'!H386),0)</f>
        <v/>
      </c>
      <c r="H375">
        <f>IFERROR(VALUE('T12 Input'!I386),0)</f>
        <v/>
      </c>
      <c r="I375">
        <f>IFERROR(VALUE('T12 Input'!J386),0)</f>
        <v/>
      </c>
      <c r="J375">
        <f>IFERROR(VALUE('T12 Input'!K386),0)</f>
        <v/>
      </c>
      <c r="K375">
        <f>IFERROR(VALUE('T12 Input'!L386),0)</f>
        <v/>
      </c>
      <c r="L375">
        <f>IFERROR(VALUE('T12 Input'!M386),0)</f>
        <v/>
      </c>
      <c r="M375">
        <f>IFERROR(VALUE('T12 Input'!N386),0)</f>
        <v/>
      </c>
      <c r="N375">
        <f>IFERROR(INDEX(DescMap_Label,MATCH(A375,DescMap_Description,0)),"")</f>
        <v/>
      </c>
    </row>
    <row r="376" ht="15" customHeight="1" s="199">
      <c r="A376">
        <f>IFERROR(TRIM('T12 Input'!B387),)</f>
        <v/>
      </c>
      <c r="B376">
        <f>IFERROR(VALUE('T12 Input'!C387),0)</f>
        <v/>
      </c>
      <c r="C376">
        <f>IFERROR(VALUE('T12 Input'!D387),0)</f>
        <v/>
      </c>
      <c r="D376">
        <f>IFERROR(VALUE('T12 Input'!E387),0)</f>
        <v/>
      </c>
      <c r="E376">
        <f>IFERROR(VALUE('T12 Input'!F387),0)</f>
        <v/>
      </c>
      <c r="F376">
        <f>IFERROR(VALUE('T12 Input'!G387),0)</f>
        <v/>
      </c>
      <c r="G376">
        <f>IFERROR(VALUE('T12 Input'!H387),0)</f>
        <v/>
      </c>
      <c r="H376">
        <f>IFERROR(VALUE('T12 Input'!I387),0)</f>
        <v/>
      </c>
      <c r="I376">
        <f>IFERROR(VALUE('T12 Input'!J387),0)</f>
        <v/>
      </c>
      <c r="J376">
        <f>IFERROR(VALUE('T12 Input'!K387),0)</f>
        <v/>
      </c>
      <c r="K376">
        <f>IFERROR(VALUE('T12 Input'!L387),0)</f>
        <v/>
      </c>
      <c r="L376">
        <f>IFERROR(VALUE('T12 Input'!M387),0)</f>
        <v/>
      </c>
      <c r="M376">
        <f>IFERROR(VALUE('T12 Input'!N387),0)</f>
        <v/>
      </c>
      <c r="N376">
        <f>IFERROR(INDEX(DescMap_Label,MATCH(A376,DescMap_Description,0)),"")</f>
        <v/>
      </c>
    </row>
    <row r="377" ht="15" customHeight="1" s="199">
      <c r="A377">
        <f>IFERROR(TRIM('T12 Input'!B388),)</f>
        <v/>
      </c>
      <c r="B377">
        <f>IFERROR(VALUE('T12 Input'!C388),0)</f>
        <v/>
      </c>
      <c r="C377">
        <f>IFERROR(VALUE('T12 Input'!D388),0)</f>
        <v/>
      </c>
      <c r="D377">
        <f>IFERROR(VALUE('T12 Input'!E388),0)</f>
        <v/>
      </c>
      <c r="E377">
        <f>IFERROR(VALUE('T12 Input'!F388),0)</f>
        <v/>
      </c>
      <c r="F377">
        <f>IFERROR(VALUE('T12 Input'!G388),0)</f>
        <v/>
      </c>
      <c r="G377">
        <f>IFERROR(VALUE('T12 Input'!H388),0)</f>
        <v/>
      </c>
      <c r="H377">
        <f>IFERROR(VALUE('T12 Input'!I388),0)</f>
        <v/>
      </c>
      <c r="I377">
        <f>IFERROR(VALUE('T12 Input'!J388),0)</f>
        <v/>
      </c>
      <c r="J377">
        <f>IFERROR(VALUE('T12 Input'!K388),0)</f>
        <v/>
      </c>
      <c r="K377">
        <f>IFERROR(VALUE('T12 Input'!L388),0)</f>
        <v/>
      </c>
      <c r="L377">
        <f>IFERROR(VALUE('T12 Input'!M388),0)</f>
        <v/>
      </c>
      <c r="M377">
        <f>IFERROR(VALUE('T12 Input'!N388),0)</f>
        <v/>
      </c>
      <c r="N377">
        <f>IFERROR(INDEX(DescMap_Label,MATCH(A377,DescMap_Description,0)),"")</f>
        <v/>
      </c>
    </row>
    <row r="378" ht="15" customHeight="1" s="199">
      <c r="A378">
        <f>IFERROR(TRIM('T12 Input'!B389),)</f>
        <v/>
      </c>
      <c r="B378">
        <f>IFERROR(VALUE('T12 Input'!C389),0)</f>
        <v/>
      </c>
      <c r="C378">
        <f>IFERROR(VALUE('T12 Input'!D389),0)</f>
        <v/>
      </c>
      <c r="D378">
        <f>IFERROR(VALUE('T12 Input'!E389),0)</f>
        <v/>
      </c>
      <c r="E378">
        <f>IFERROR(VALUE('T12 Input'!F389),0)</f>
        <v/>
      </c>
      <c r="F378">
        <f>IFERROR(VALUE('T12 Input'!G389),0)</f>
        <v/>
      </c>
      <c r="G378">
        <f>IFERROR(VALUE('T12 Input'!H389),0)</f>
        <v/>
      </c>
      <c r="H378">
        <f>IFERROR(VALUE('T12 Input'!I389),0)</f>
        <v/>
      </c>
      <c r="I378">
        <f>IFERROR(VALUE('T12 Input'!J389),0)</f>
        <v/>
      </c>
      <c r="J378">
        <f>IFERROR(VALUE('T12 Input'!K389),0)</f>
        <v/>
      </c>
      <c r="K378">
        <f>IFERROR(VALUE('T12 Input'!L389),0)</f>
        <v/>
      </c>
      <c r="L378">
        <f>IFERROR(VALUE('T12 Input'!M389),0)</f>
        <v/>
      </c>
      <c r="M378">
        <f>IFERROR(VALUE('T12 Input'!N389),0)</f>
        <v/>
      </c>
      <c r="N378">
        <f>IFERROR(INDEX(DescMap_Label,MATCH(A378,DescMap_Description,0)),"")</f>
        <v/>
      </c>
    </row>
    <row r="379" ht="15" customHeight="1" s="199">
      <c r="A379">
        <f>IFERROR(TRIM('T12 Input'!B390),)</f>
        <v/>
      </c>
      <c r="B379">
        <f>IFERROR(VALUE('T12 Input'!C390),0)</f>
        <v/>
      </c>
      <c r="C379">
        <f>IFERROR(VALUE('T12 Input'!D390),0)</f>
        <v/>
      </c>
      <c r="D379">
        <f>IFERROR(VALUE('T12 Input'!E390),0)</f>
        <v/>
      </c>
      <c r="E379">
        <f>IFERROR(VALUE('T12 Input'!F390),0)</f>
        <v/>
      </c>
      <c r="F379">
        <f>IFERROR(VALUE('T12 Input'!G390),0)</f>
        <v/>
      </c>
      <c r="G379">
        <f>IFERROR(VALUE('T12 Input'!H390),0)</f>
        <v/>
      </c>
      <c r="H379">
        <f>IFERROR(VALUE('T12 Input'!I390),0)</f>
        <v/>
      </c>
      <c r="I379">
        <f>IFERROR(VALUE('T12 Input'!J390),0)</f>
        <v/>
      </c>
      <c r="J379">
        <f>IFERROR(VALUE('T12 Input'!K390),0)</f>
        <v/>
      </c>
      <c r="K379">
        <f>IFERROR(VALUE('T12 Input'!L390),0)</f>
        <v/>
      </c>
      <c r="L379">
        <f>IFERROR(VALUE('T12 Input'!M390),0)</f>
        <v/>
      </c>
      <c r="M379">
        <f>IFERROR(VALUE('T12 Input'!N390),0)</f>
        <v/>
      </c>
      <c r="N379">
        <f>IFERROR(INDEX(DescMap_Label,MATCH(A379,DescMap_Description,0)),"")</f>
        <v/>
      </c>
    </row>
    <row r="380" ht="15" customHeight="1" s="199">
      <c r="A380">
        <f>IFERROR(TRIM('T12 Input'!B391),)</f>
        <v/>
      </c>
      <c r="B380">
        <f>IFERROR(VALUE('T12 Input'!C391),0)</f>
        <v/>
      </c>
      <c r="C380">
        <f>IFERROR(VALUE('T12 Input'!D391),0)</f>
        <v/>
      </c>
      <c r="D380">
        <f>IFERROR(VALUE('T12 Input'!E391),0)</f>
        <v/>
      </c>
      <c r="E380">
        <f>IFERROR(VALUE('T12 Input'!F391),0)</f>
        <v/>
      </c>
      <c r="F380">
        <f>IFERROR(VALUE('T12 Input'!G391),0)</f>
        <v/>
      </c>
      <c r="G380">
        <f>IFERROR(VALUE('T12 Input'!H391),0)</f>
        <v/>
      </c>
      <c r="H380">
        <f>IFERROR(VALUE('T12 Input'!I391),0)</f>
        <v/>
      </c>
      <c r="I380">
        <f>IFERROR(VALUE('T12 Input'!J391),0)</f>
        <v/>
      </c>
      <c r="J380">
        <f>IFERROR(VALUE('T12 Input'!K391),0)</f>
        <v/>
      </c>
      <c r="K380">
        <f>IFERROR(VALUE('T12 Input'!L391),0)</f>
        <v/>
      </c>
      <c r="L380">
        <f>IFERROR(VALUE('T12 Input'!M391),0)</f>
        <v/>
      </c>
      <c r="M380">
        <f>IFERROR(VALUE('T12 Input'!N391),0)</f>
        <v/>
      </c>
      <c r="N380">
        <f>IFERROR(INDEX(DescMap_Label,MATCH(A380,DescMap_Description,0)),"")</f>
        <v/>
      </c>
    </row>
    <row r="381" ht="15" customHeight="1" s="199">
      <c r="A381">
        <f>IFERROR(TRIM('T12 Input'!B392),)</f>
        <v/>
      </c>
      <c r="B381">
        <f>IFERROR(VALUE('T12 Input'!C392),0)</f>
        <v/>
      </c>
      <c r="C381">
        <f>IFERROR(VALUE('T12 Input'!D392),0)</f>
        <v/>
      </c>
      <c r="D381">
        <f>IFERROR(VALUE('T12 Input'!E392),0)</f>
        <v/>
      </c>
      <c r="E381">
        <f>IFERROR(VALUE('T12 Input'!F392),0)</f>
        <v/>
      </c>
      <c r="F381">
        <f>IFERROR(VALUE('T12 Input'!G392),0)</f>
        <v/>
      </c>
      <c r="G381">
        <f>IFERROR(VALUE('T12 Input'!H392),0)</f>
        <v/>
      </c>
      <c r="H381">
        <f>IFERROR(VALUE('T12 Input'!I392),0)</f>
        <v/>
      </c>
      <c r="I381">
        <f>IFERROR(VALUE('T12 Input'!J392),0)</f>
        <v/>
      </c>
      <c r="J381">
        <f>IFERROR(VALUE('T12 Input'!K392),0)</f>
        <v/>
      </c>
      <c r="K381">
        <f>IFERROR(VALUE('T12 Input'!L392),0)</f>
        <v/>
      </c>
      <c r="L381">
        <f>IFERROR(VALUE('T12 Input'!M392),0)</f>
        <v/>
      </c>
      <c r="M381">
        <f>IFERROR(VALUE('T12 Input'!N392),0)</f>
        <v/>
      </c>
      <c r="N381">
        <f>IFERROR(INDEX(DescMap_Label,MATCH(A381,DescMap_Description,0)),"")</f>
        <v/>
      </c>
    </row>
    <row r="382" ht="15" customHeight="1" s="199">
      <c r="A382">
        <f>IFERROR(TRIM('T12 Input'!B393),)</f>
        <v/>
      </c>
      <c r="B382">
        <f>IFERROR(VALUE('T12 Input'!C393),0)</f>
        <v/>
      </c>
      <c r="C382">
        <f>IFERROR(VALUE('T12 Input'!D393),0)</f>
        <v/>
      </c>
      <c r="D382">
        <f>IFERROR(VALUE('T12 Input'!E393),0)</f>
        <v/>
      </c>
      <c r="E382">
        <f>IFERROR(VALUE('T12 Input'!F393),0)</f>
        <v/>
      </c>
      <c r="F382">
        <f>IFERROR(VALUE('T12 Input'!G393),0)</f>
        <v/>
      </c>
      <c r="G382">
        <f>IFERROR(VALUE('T12 Input'!H393),0)</f>
        <v/>
      </c>
      <c r="H382">
        <f>IFERROR(VALUE('T12 Input'!I393),0)</f>
        <v/>
      </c>
      <c r="I382">
        <f>IFERROR(VALUE('T12 Input'!J393),0)</f>
        <v/>
      </c>
      <c r="J382">
        <f>IFERROR(VALUE('T12 Input'!K393),0)</f>
        <v/>
      </c>
      <c r="K382">
        <f>IFERROR(VALUE('T12 Input'!L393),0)</f>
        <v/>
      </c>
      <c r="L382">
        <f>IFERROR(VALUE('T12 Input'!M393),0)</f>
        <v/>
      </c>
      <c r="M382">
        <f>IFERROR(VALUE('T12 Input'!N393),0)</f>
        <v/>
      </c>
      <c r="N382">
        <f>IFERROR(INDEX(DescMap_Label,MATCH(A382,DescMap_Description,0)),"")</f>
        <v/>
      </c>
    </row>
    <row r="383" ht="15" customHeight="1" s="199">
      <c r="A383">
        <f>IFERROR(TRIM('T12 Input'!B394),)</f>
        <v/>
      </c>
      <c r="B383">
        <f>IFERROR(VALUE('T12 Input'!C394),0)</f>
        <v/>
      </c>
      <c r="C383">
        <f>IFERROR(VALUE('T12 Input'!D394),0)</f>
        <v/>
      </c>
      <c r="D383">
        <f>IFERROR(VALUE('T12 Input'!E394),0)</f>
        <v/>
      </c>
      <c r="E383">
        <f>IFERROR(VALUE('T12 Input'!F394),0)</f>
        <v/>
      </c>
      <c r="F383">
        <f>IFERROR(VALUE('T12 Input'!G394),0)</f>
        <v/>
      </c>
      <c r="G383">
        <f>IFERROR(VALUE('T12 Input'!H394),0)</f>
        <v/>
      </c>
      <c r="H383">
        <f>IFERROR(VALUE('T12 Input'!I394),0)</f>
        <v/>
      </c>
      <c r="I383">
        <f>IFERROR(VALUE('T12 Input'!J394),0)</f>
        <v/>
      </c>
      <c r="J383">
        <f>IFERROR(VALUE('T12 Input'!K394),0)</f>
        <v/>
      </c>
      <c r="K383">
        <f>IFERROR(VALUE('T12 Input'!L394),0)</f>
        <v/>
      </c>
      <c r="L383">
        <f>IFERROR(VALUE('T12 Input'!M394),0)</f>
        <v/>
      </c>
      <c r="M383">
        <f>IFERROR(VALUE('T12 Input'!N394),0)</f>
        <v/>
      </c>
      <c r="N383">
        <f>IFERROR(INDEX(DescMap_Label,MATCH(A383,DescMap_Description,0)),"")</f>
        <v/>
      </c>
    </row>
    <row r="384" ht="15" customHeight="1" s="199">
      <c r="A384">
        <f>IFERROR(TRIM('T12 Input'!B395),)</f>
        <v/>
      </c>
      <c r="B384">
        <f>IFERROR(VALUE('T12 Input'!C395),0)</f>
        <v/>
      </c>
      <c r="C384">
        <f>IFERROR(VALUE('T12 Input'!D395),0)</f>
        <v/>
      </c>
      <c r="D384">
        <f>IFERROR(VALUE('T12 Input'!E395),0)</f>
        <v/>
      </c>
      <c r="E384">
        <f>IFERROR(VALUE('T12 Input'!F395),0)</f>
        <v/>
      </c>
      <c r="F384">
        <f>IFERROR(VALUE('T12 Input'!G395),0)</f>
        <v/>
      </c>
      <c r="G384">
        <f>IFERROR(VALUE('T12 Input'!H395),0)</f>
        <v/>
      </c>
      <c r="H384">
        <f>IFERROR(VALUE('T12 Input'!I395),0)</f>
        <v/>
      </c>
      <c r="I384">
        <f>IFERROR(VALUE('T12 Input'!J395),0)</f>
        <v/>
      </c>
      <c r="J384">
        <f>IFERROR(VALUE('T12 Input'!K395),0)</f>
        <v/>
      </c>
      <c r="K384">
        <f>IFERROR(VALUE('T12 Input'!L395),0)</f>
        <v/>
      </c>
      <c r="L384">
        <f>IFERROR(VALUE('T12 Input'!M395),0)</f>
        <v/>
      </c>
      <c r="M384">
        <f>IFERROR(VALUE('T12 Input'!N395),0)</f>
        <v/>
      </c>
      <c r="N384">
        <f>IFERROR(INDEX(DescMap_Label,MATCH(A384,DescMap_Description,0)),"")</f>
        <v/>
      </c>
    </row>
    <row r="385" ht="15" customHeight="1" s="199">
      <c r="A385">
        <f>IFERROR(TRIM('T12 Input'!B396),)</f>
        <v/>
      </c>
      <c r="B385">
        <f>IFERROR(VALUE('T12 Input'!C396),0)</f>
        <v/>
      </c>
      <c r="C385">
        <f>IFERROR(VALUE('T12 Input'!D396),0)</f>
        <v/>
      </c>
      <c r="D385">
        <f>IFERROR(VALUE('T12 Input'!E396),0)</f>
        <v/>
      </c>
      <c r="E385">
        <f>IFERROR(VALUE('T12 Input'!F396),0)</f>
        <v/>
      </c>
      <c r="F385">
        <f>IFERROR(VALUE('T12 Input'!G396),0)</f>
        <v/>
      </c>
      <c r="G385">
        <f>IFERROR(VALUE('T12 Input'!H396),0)</f>
        <v/>
      </c>
      <c r="H385">
        <f>IFERROR(VALUE('T12 Input'!I396),0)</f>
        <v/>
      </c>
      <c r="I385">
        <f>IFERROR(VALUE('T12 Input'!J396),0)</f>
        <v/>
      </c>
      <c r="J385">
        <f>IFERROR(VALUE('T12 Input'!K396),0)</f>
        <v/>
      </c>
      <c r="K385">
        <f>IFERROR(VALUE('T12 Input'!L396),0)</f>
        <v/>
      </c>
      <c r="L385">
        <f>IFERROR(VALUE('T12 Input'!M396),0)</f>
        <v/>
      </c>
      <c r="M385">
        <f>IFERROR(VALUE('T12 Input'!N396),0)</f>
        <v/>
      </c>
      <c r="N385">
        <f>IFERROR(INDEX(DescMap_Label,MATCH(A385,DescMap_Description,0)),"")</f>
        <v/>
      </c>
    </row>
    <row r="386" ht="15" customHeight="1" s="199">
      <c r="A386">
        <f>IFERROR(TRIM('T12 Input'!B397),)</f>
        <v/>
      </c>
      <c r="B386">
        <f>IFERROR(VALUE('T12 Input'!C397),0)</f>
        <v/>
      </c>
      <c r="C386">
        <f>IFERROR(VALUE('T12 Input'!D397),0)</f>
        <v/>
      </c>
      <c r="D386">
        <f>IFERROR(VALUE('T12 Input'!E397),0)</f>
        <v/>
      </c>
      <c r="E386">
        <f>IFERROR(VALUE('T12 Input'!F397),0)</f>
        <v/>
      </c>
      <c r="F386">
        <f>IFERROR(VALUE('T12 Input'!G397),0)</f>
        <v/>
      </c>
      <c r="G386">
        <f>IFERROR(VALUE('T12 Input'!H397),0)</f>
        <v/>
      </c>
      <c r="H386">
        <f>IFERROR(VALUE('T12 Input'!I397),0)</f>
        <v/>
      </c>
      <c r="I386">
        <f>IFERROR(VALUE('T12 Input'!J397),0)</f>
        <v/>
      </c>
      <c r="J386">
        <f>IFERROR(VALUE('T12 Input'!K397),0)</f>
        <v/>
      </c>
      <c r="K386">
        <f>IFERROR(VALUE('T12 Input'!L397),0)</f>
        <v/>
      </c>
      <c r="L386">
        <f>IFERROR(VALUE('T12 Input'!M397),0)</f>
        <v/>
      </c>
      <c r="M386">
        <f>IFERROR(VALUE('T12 Input'!N397),0)</f>
        <v/>
      </c>
      <c r="N386">
        <f>IFERROR(INDEX(DescMap_Label,MATCH(A386,DescMap_Description,0)),"")</f>
        <v/>
      </c>
    </row>
    <row r="387" ht="15" customHeight="1" s="199">
      <c r="A387">
        <f>IFERROR(TRIM('T12 Input'!B398),)</f>
        <v/>
      </c>
      <c r="B387">
        <f>IFERROR(VALUE('T12 Input'!C398),0)</f>
        <v/>
      </c>
      <c r="C387">
        <f>IFERROR(VALUE('T12 Input'!D398),0)</f>
        <v/>
      </c>
      <c r="D387">
        <f>IFERROR(VALUE('T12 Input'!E398),0)</f>
        <v/>
      </c>
      <c r="E387">
        <f>IFERROR(VALUE('T12 Input'!F398),0)</f>
        <v/>
      </c>
      <c r="F387">
        <f>IFERROR(VALUE('T12 Input'!G398),0)</f>
        <v/>
      </c>
      <c r="G387">
        <f>IFERROR(VALUE('T12 Input'!H398),0)</f>
        <v/>
      </c>
      <c r="H387">
        <f>IFERROR(VALUE('T12 Input'!I398),0)</f>
        <v/>
      </c>
      <c r="I387">
        <f>IFERROR(VALUE('T12 Input'!J398),0)</f>
        <v/>
      </c>
      <c r="J387">
        <f>IFERROR(VALUE('T12 Input'!K398),0)</f>
        <v/>
      </c>
      <c r="K387">
        <f>IFERROR(VALUE('T12 Input'!L398),0)</f>
        <v/>
      </c>
      <c r="L387">
        <f>IFERROR(VALUE('T12 Input'!M398),0)</f>
        <v/>
      </c>
      <c r="M387">
        <f>IFERROR(VALUE('T12 Input'!N398),0)</f>
        <v/>
      </c>
      <c r="N387">
        <f>IFERROR(INDEX(DescMap_Label,MATCH(A387,DescMap_Description,0)),"")</f>
        <v/>
      </c>
    </row>
    <row r="388" ht="15" customHeight="1" s="199">
      <c r="A388">
        <f>IFERROR(TRIM('T12 Input'!B399),)</f>
        <v/>
      </c>
      <c r="B388">
        <f>IFERROR(VALUE('T12 Input'!C399),0)</f>
        <v/>
      </c>
      <c r="C388">
        <f>IFERROR(VALUE('T12 Input'!D399),0)</f>
        <v/>
      </c>
      <c r="D388">
        <f>IFERROR(VALUE('T12 Input'!E399),0)</f>
        <v/>
      </c>
      <c r="E388">
        <f>IFERROR(VALUE('T12 Input'!F399),0)</f>
        <v/>
      </c>
      <c r="F388">
        <f>IFERROR(VALUE('T12 Input'!G399),0)</f>
        <v/>
      </c>
      <c r="G388">
        <f>IFERROR(VALUE('T12 Input'!H399),0)</f>
        <v/>
      </c>
      <c r="H388">
        <f>IFERROR(VALUE('T12 Input'!I399),0)</f>
        <v/>
      </c>
      <c r="I388">
        <f>IFERROR(VALUE('T12 Input'!J399),0)</f>
        <v/>
      </c>
      <c r="J388">
        <f>IFERROR(VALUE('T12 Input'!K399),0)</f>
        <v/>
      </c>
      <c r="K388">
        <f>IFERROR(VALUE('T12 Input'!L399),0)</f>
        <v/>
      </c>
      <c r="L388">
        <f>IFERROR(VALUE('T12 Input'!M399),0)</f>
        <v/>
      </c>
      <c r="M388">
        <f>IFERROR(VALUE('T12 Input'!N399),0)</f>
        <v/>
      </c>
      <c r="N388">
        <f>IFERROR(INDEX(DescMap_Label,MATCH(A388,DescMap_Description,0)),"")</f>
        <v/>
      </c>
    </row>
    <row r="389" ht="15" customHeight="1" s="199">
      <c r="A389">
        <f>IFERROR(TRIM('T12 Input'!B400),)</f>
        <v/>
      </c>
      <c r="B389">
        <f>IFERROR(VALUE('T12 Input'!C400),0)</f>
        <v/>
      </c>
      <c r="C389">
        <f>IFERROR(VALUE('T12 Input'!D400),0)</f>
        <v/>
      </c>
      <c r="D389">
        <f>IFERROR(VALUE('T12 Input'!E400),0)</f>
        <v/>
      </c>
      <c r="E389">
        <f>IFERROR(VALUE('T12 Input'!F400),0)</f>
        <v/>
      </c>
      <c r="F389">
        <f>IFERROR(VALUE('T12 Input'!G400),0)</f>
        <v/>
      </c>
      <c r="G389">
        <f>IFERROR(VALUE('T12 Input'!H400),0)</f>
        <v/>
      </c>
      <c r="H389">
        <f>IFERROR(VALUE('T12 Input'!I400),0)</f>
        <v/>
      </c>
      <c r="I389">
        <f>IFERROR(VALUE('T12 Input'!J400),0)</f>
        <v/>
      </c>
      <c r="J389">
        <f>IFERROR(VALUE('T12 Input'!K400),0)</f>
        <v/>
      </c>
      <c r="K389">
        <f>IFERROR(VALUE('T12 Input'!L400),0)</f>
        <v/>
      </c>
      <c r="L389">
        <f>IFERROR(VALUE('T12 Input'!M400),0)</f>
        <v/>
      </c>
      <c r="M389">
        <f>IFERROR(VALUE('T12 Input'!N400),0)</f>
        <v/>
      </c>
      <c r="N389">
        <f>IFERROR(INDEX(DescMap_Label,MATCH(A389,DescMap_Description,0)),"")</f>
        <v/>
      </c>
    </row>
    <row r="390" ht="15" customHeight="1" s="199">
      <c r="A390">
        <f>IFERROR(TRIM('T12 Input'!B401),)</f>
        <v/>
      </c>
      <c r="B390">
        <f>IFERROR(VALUE('T12 Input'!C401),0)</f>
        <v/>
      </c>
      <c r="C390">
        <f>IFERROR(VALUE('T12 Input'!D401),0)</f>
        <v/>
      </c>
      <c r="D390">
        <f>IFERROR(VALUE('T12 Input'!E401),0)</f>
        <v/>
      </c>
      <c r="E390">
        <f>IFERROR(VALUE('T12 Input'!F401),0)</f>
        <v/>
      </c>
      <c r="F390">
        <f>IFERROR(VALUE('T12 Input'!G401),0)</f>
        <v/>
      </c>
      <c r="G390">
        <f>IFERROR(VALUE('T12 Input'!H401),0)</f>
        <v/>
      </c>
      <c r="H390">
        <f>IFERROR(VALUE('T12 Input'!I401),0)</f>
        <v/>
      </c>
      <c r="I390">
        <f>IFERROR(VALUE('T12 Input'!J401),0)</f>
        <v/>
      </c>
      <c r="J390">
        <f>IFERROR(VALUE('T12 Input'!K401),0)</f>
        <v/>
      </c>
      <c r="K390">
        <f>IFERROR(VALUE('T12 Input'!L401),0)</f>
        <v/>
      </c>
      <c r="L390">
        <f>IFERROR(VALUE('T12 Input'!M401),0)</f>
        <v/>
      </c>
      <c r="M390">
        <f>IFERROR(VALUE('T12 Input'!N401),0)</f>
        <v/>
      </c>
      <c r="N390">
        <f>IFERROR(INDEX(DescMap_Label,MATCH(A390,DescMap_Description,0)),"")</f>
        <v/>
      </c>
    </row>
    <row r="391" ht="15" customHeight="1" s="199">
      <c r="A391">
        <f>IFERROR(TRIM('T12 Input'!B402),)</f>
        <v/>
      </c>
      <c r="B391">
        <f>IFERROR(VALUE('T12 Input'!C402),0)</f>
        <v/>
      </c>
      <c r="C391">
        <f>IFERROR(VALUE('T12 Input'!D402),0)</f>
        <v/>
      </c>
      <c r="D391">
        <f>IFERROR(VALUE('T12 Input'!E402),0)</f>
        <v/>
      </c>
      <c r="E391">
        <f>IFERROR(VALUE('T12 Input'!F402),0)</f>
        <v/>
      </c>
      <c r="F391">
        <f>IFERROR(VALUE('T12 Input'!G402),0)</f>
        <v/>
      </c>
      <c r="G391">
        <f>IFERROR(VALUE('T12 Input'!H402),0)</f>
        <v/>
      </c>
      <c r="H391">
        <f>IFERROR(VALUE('T12 Input'!I402),0)</f>
        <v/>
      </c>
      <c r="I391">
        <f>IFERROR(VALUE('T12 Input'!J402),0)</f>
        <v/>
      </c>
      <c r="J391">
        <f>IFERROR(VALUE('T12 Input'!K402),0)</f>
        <v/>
      </c>
      <c r="K391">
        <f>IFERROR(VALUE('T12 Input'!L402),0)</f>
        <v/>
      </c>
      <c r="L391">
        <f>IFERROR(VALUE('T12 Input'!M402),0)</f>
        <v/>
      </c>
      <c r="M391">
        <f>IFERROR(VALUE('T12 Input'!N402),0)</f>
        <v/>
      </c>
      <c r="N391">
        <f>IFERROR(INDEX(DescMap_Label,MATCH(A391,DescMap_Description,0)),"")</f>
        <v/>
      </c>
    </row>
    <row r="392" ht="15" customHeight="1" s="199">
      <c r="A392">
        <f>IFERROR(TRIM('T12 Input'!B403),)</f>
        <v/>
      </c>
      <c r="B392">
        <f>IFERROR(VALUE('T12 Input'!C403),0)</f>
        <v/>
      </c>
      <c r="C392">
        <f>IFERROR(VALUE('T12 Input'!D403),0)</f>
        <v/>
      </c>
      <c r="D392">
        <f>IFERROR(VALUE('T12 Input'!E403),0)</f>
        <v/>
      </c>
      <c r="E392">
        <f>IFERROR(VALUE('T12 Input'!F403),0)</f>
        <v/>
      </c>
      <c r="F392">
        <f>IFERROR(VALUE('T12 Input'!G403),0)</f>
        <v/>
      </c>
      <c r="G392">
        <f>IFERROR(VALUE('T12 Input'!H403),0)</f>
        <v/>
      </c>
      <c r="H392">
        <f>IFERROR(VALUE('T12 Input'!I403),0)</f>
        <v/>
      </c>
      <c r="I392">
        <f>IFERROR(VALUE('T12 Input'!J403),0)</f>
        <v/>
      </c>
      <c r="J392">
        <f>IFERROR(VALUE('T12 Input'!K403),0)</f>
        <v/>
      </c>
      <c r="K392">
        <f>IFERROR(VALUE('T12 Input'!L403),0)</f>
        <v/>
      </c>
      <c r="L392">
        <f>IFERROR(VALUE('T12 Input'!M403),0)</f>
        <v/>
      </c>
      <c r="M392">
        <f>IFERROR(VALUE('T12 Input'!N403),0)</f>
        <v/>
      </c>
      <c r="N392">
        <f>IFERROR(INDEX(DescMap_Label,MATCH(A392,DescMap_Description,0)),"")</f>
        <v/>
      </c>
    </row>
    <row r="393" ht="15" customHeight="1" s="199">
      <c r="A393">
        <f>IFERROR(TRIM('T12 Input'!B404),)</f>
        <v/>
      </c>
      <c r="B393">
        <f>IFERROR(VALUE('T12 Input'!C404),0)</f>
        <v/>
      </c>
      <c r="C393">
        <f>IFERROR(VALUE('T12 Input'!D404),0)</f>
        <v/>
      </c>
      <c r="D393">
        <f>IFERROR(VALUE('T12 Input'!E404),0)</f>
        <v/>
      </c>
      <c r="E393">
        <f>IFERROR(VALUE('T12 Input'!F404),0)</f>
        <v/>
      </c>
      <c r="F393">
        <f>IFERROR(VALUE('T12 Input'!G404),0)</f>
        <v/>
      </c>
      <c r="G393">
        <f>IFERROR(VALUE('T12 Input'!H404),0)</f>
        <v/>
      </c>
      <c r="H393">
        <f>IFERROR(VALUE('T12 Input'!I404),0)</f>
        <v/>
      </c>
      <c r="I393">
        <f>IFERROR(VALUE('T12 Input'!J404),0)</f>
        <v/>
      </c>
      <c r="J393">
        <f>IFERROR(VALUE('T12 Input'!K404),0)</f>
        <v/>
      </c>
      <c r="K393">
        <f>IFERROR(VALUE('T12 Input'!L404),0)</f>
        <v/>
      </c>
      <c r="L393">
        <f>IFERROR(VALUE('T12 Input'!M404),0)</f>
        <v/>
      </c>
      <c r="M393">
        <f>IFERROR(VALUE('T12 Input'!N404),0)</f>
        <v/>
      </c>
      <c r="N393">
        <f>IFERROR(INDEX(DescMap_Label,MATCH(A393,DescMap_Description,0)),"")</f>
        <v/>
      </c>
    </row>
    <row r="394" ht="15" customHeight="1" s="199">
      <c r="A394">
        <f>IFERROR(TRIM('T12 Input'!B405),)</f>
        <v/>
      </c>
      <c r="B394">
        <f>IFERROR(VALUE('T12 Input'!C405),0)</f>
        <v/>
      </c>
      <c r="C394">
        <f>IFERROR(VALUE('T12 Input'!D405),0)</f>
        <v/>
      </c>
      <c r="D394">
        <f>IFERROR(VALUE('T12 Input'!E405),0)</f>
        <v/>
      </c>
      <c r="E394">
        <f>IFERROR(VALUE('T12 Input'!F405),0)</f>
        <v/>
      </c>
      <c r="F394">
        <f>IFERROR(VALUE('T12 Input'!G405),0)</f>
        <v/>
      </c>
      <c r="G394">
        <f>IFERROR(VALUE('T12 Input'!H405),0)</f>
        <v/>
      </c>
      <c r="H394">
        <f>IFERROR(VALUE('T12 Input'!I405),0)</f>
        <v/>
      </c>
      <c r="I394">
        <f>IFERROR(VALUE('T12 Input'!J405),0)</f>
        <v/>
      </c>
      <c r="J394">
        <f>IFERROR(VALUE('T12 Input'!K405),0)</f>
        <v/>
      </c>
      <c r="K394">
        <f>IFERROR(VALUE('T12 Input'!L405),0)</f>
        <v/>
      </c>
      <c r="L394">
        <f>IFERROR(VALUE('T12 Input'!M405),0)</f>
        <v/>
      </c>
      <c r="M394">
        <f>IFERROR(VALUE('T12 Input'!N405),0)</f>
        <v/>
      </c>
      <c r="N394">
        <f>IFERROR(INDEX(DescMap_Label,MATCH(A394,DescMap_Description,0)),"")</f>
        <v/>
      </c>
    </row>
    <row r="395" ht="15" customHeight="1" s="199">
      <c r="A395">
        <f>IFERROR(TRIM('T12 Input'!B406),)</f>
        <v/>
      </c>
      <c r="B395">
        <f>IFERROR(VALUE('T12 Input'!C406),0)</f>
        <v/>
      </c>
      <c r="C395">
        <f>IFERROR(VALUE('T12 Input'!D406),0)</f>
        <v/>
      </c>
      <c r="D395">
        <f>IFERROR(VALUE('T12 Input'!E406),0)</f>
        <v/>
      </c>
      <c r="E395">
        <f>IFERROR(VALUE('T12 Input'!F406),0)</f>
        <v/>
      </c>
      <c r="F395">
        <f>IFERROR(VALUE('T12 Input'!G406),0)</f>
        <v/>
      </c>
      <c r="G395">
        <f>IFERROR(VALUE('T12 Input'!H406),0)</f>
        <v/>
      </c>
      <c r="H395">
        <f>IFERROR(VALUE('T12 Input'!I406),0)</f>
        <v/>
      </c>
      <c r="I395">
        <f>IFERROR(VALUE('T12 Input'!J406),0)</f>
        <v/>
      </c>
      <c r="J395">
        <f>IFERROR(VALUE('T12 Input'!K406),0)</f>
        <v/>
      </c>
      <c r="K395">
        <f>IFERROR(VALUE('T12 Input'!L406),0)</f>
        <v/>
      </c>
      <c r="L395">
        <f>IFERROR(VALUE('T12 Input'!M406),0)</f>
        <v/>
      </c>
      <c r="M395">
        <f>IFERROR(VALUE('T12 Input'!N406),0)</f>
        <v/>
      </c>
      <c r="N395">
        <f>IFERROR(INDEX(DescMap_Label,MATCH(A395,DescMap_Description,0)),"")</f>
        <v/>
      </c>
    </row>
    <row r="396" ht="15" customHeight="1" s="199">
      <c r="A396">
        <f>IFERROR(TRIM('T12 Input'!B407),)</f>
        <v/>
      </c>
      <c r="B396">
        <f>IFERROR(VALUE('T12 Input'!C407),0)</f>
        <v/>
      </c>
      <c r="C396">
        <f>IFERROR(VALUE('T12 Input'!D407),0)</f>
        <v/>
      </c>
      <c r="D396">
        <f>IFERROR(VALUE('T12 Input'!E407),0)</f>
        <v/>
      </c>
      <c r="E396">
        <f>IFERROR(VALUE('T12 Input'!F407),0)</f>
        <v/>
      </c>
      <c r="F396">
        <f>IFERROR(VALUE('T12 Input'!G407),0)</f>
        <v/>
      </c>
      <c r="G396">
        <f>IFERROR(VALUE('T12 Input'!H407),0)</f>
        <v/>
      </c>
      <c r="H396">
        <f>IFERROR(VALUE('T12 Input'!I407),0)</f>
        <v/>
      </c>
      <c r="I396">
        <f>IFERROR(VALUE('T12 Input'!J407),0)</f>
        <v/>
      </c>
      <c r="J396">
        <f>IFERROR(VALUE('T12 Input'!K407),0)</f>
        <v/>
      </c>
      <c r="K396">
        <f>IFERROR(VALUE('T12 Input'!L407),0)</f>
        <v/>
      </c>
      <c r="L396">
        <f>IFERROR(VALUE('T12 Input'!M407),0)</f>
        <v/>
      </c>
      <c r="M396">
        <f>IFERROR(VALUE('T12 Input'!N407),0)</f>
        <v/>
      </c>
      <c r="N396">
        <f>IFERROR(INDEX(DescMap_Label,MATCH(A396,DescMap_Description,0)),"")</f>
        <v/>
      </c>
    </row>
    <row r="397" ht="15" customHeight="1" s="199">
      <c r="A397">
        <f>IFERROR(TRIM('T12 Input'!B408),)</f>
        <v/>
      </c>
      <c r="B397">
        <f>IFERROR(VALUE('T12 Input'!C408),0)</f>
        <v/>
      </c>
      <c r="C397">
        <f>IFERROR(VALUE('T12 Input'!D408),0)</f>
        <v/>
      </c>
      <c r="D397">
        <f>IFERROR(VALUE('T12 Input'!E408),0)</f>
        <v/>
      </c>
      <c r="E397">
        <f>IFERROR(VALUE('T12 Input'!F408),0)</f>
        <v/>
      </c>
      <c r="F397">
        <f>IFERROR(VALUE('T12 Input'!G408),0)</f>
        <v/>
      </c>
      <c r="G397">
        <f>IFERROR(VALUE('T12 Input'!H408),0)</f>
        <v/>
      </c>
      <c r="H397">
        <f>IFERROR(VALUE('T12 Input'!I408),0)</f>
        <v/>
      </c>
      <c r="I397">
        <f>IFERROR(VALUE('T12 Input'!J408),0)</f>
        <v/>
      </c>
      <c r="J397">
        <f>IFERROR(VALUE('T12 Input'!K408),0)</f>
        <v/>
      </c>
      <c r="K397">
        <f>IFERROR(VALUE('T12 Input'!L408),0)</f>
        <v/>
      </c>
      <c r="L397">
        <f>IFERROR(VALUE('T12 Input'!M408),0)</f>
        <v/>
      </c>
      <c r="M397">
        <f>IFERROR(VALUE('T12 Input'!N408),0)</f>
        <v/>
      </c>
      <c r="N397">
        <f>IFERROR(INDEX(DescMap_Label,MATCH(A397,DescMap_Description,0)),"")</f>
        <v/>
      </c>
    </row>
    <row r="398" ht="15" customHeight="1" s="199">
      <c r="A398">
        <f>IFERROR(TRIM('T12 Input'!B409),)</f>
        <v/>
      </c>
      <c r="B398">
        <f>IFERROR(VALUE('T12 Input'!C409),0)</f>
        <v/>
      </c>
      <c r="C398">
        <f>IFERROR(VALUE('T12 Input'!D409),0)</f>
        <v/>
      </c>
      <c r="D398">
        <f>IFERROR(VALUE('T12 Input'!E409),0)</f>
        <v/>
      </c>
      <c r="E398">
        <f>IFERROR(VALUE('T12 Input'!F409),0)</f>
        <v/>
      </c>
      <c r="F398">
        <f>IFERROR(VALUE('T12 Input'!G409),0)</f>
        <v/>
      </c>
      <c r="G398">
        <f>IFERROR(VALUE('T12 Input'!H409),0)</f>
        <v/>
      </c>
      <c r="H398">
        <f>IFERROR(VALUE('T12 Input'!I409),0)</f>
        <v/>
      </c>
      <c r="I398">
        <f>IFERROR(VALUE('T12 Input'!J409),0)</f>
        <v/>
      </c>
      <c r="J398">
        <f>IFERROR(VALUE('T12 Input'!K409),0)</f>
        <v/>
      </c>
      <c r="K398">
        <f>IFERROR(VALUE('T12 Input'!L409),0)</f>
        <v/>
      </c>
      <c r="L398">
        <f>IFERROR(VALUE('T12 Input'!M409),0)</f>
        <v/>
      </c>
      <c r="M398">
        <f>IFERROR(VALUE('T12 Input'!N409),0)</f>
        <v/>
      </c>
      <c r="N398">
        <f>IFERROR(INDEX(DescMap_Label,MATCH(A398,DescMap_Description,0)),"")</f>
        <v/>
      </c>
    </row>
    <row r="399" ht="15" customHeight="1" s="199">
      <c r="A399">
        <f>IFERROR(TRIM('T12 Input'!B410),)</f>
        <v/>
      </c>
      <c r="B399">
        <f>IFERROR(VALUE('T12 Input'!C410),0)</f>
        <v/>
      </c>
      <c r="C399">
        <f>IFERROR(VALUE('T12 Input'!D410),0)</f>
        <v/>
      </c>
      <c r="D399">
        <f>IFERROR(VALUE('T12 Input'!E410),0)</f>
        <v/>
      </c>
      <c r="E399">
        <f>IFERROR(VALUE('T12 Input'!F410),0)</f>
        <v/>
      </c>
      <c r="F399">
        <f>IFERROR(VALUE('T12 Input'!G410),0)</f>
        <v/>
      </c>
      <c r="G399">
        <f>IFERROR(VALUE('T12 Input'!H410),0)</f>
        <v/>
      </c>
      <c r="H399">
        <f>IFERROR(VALUE('T12 Input'!I410),0)</f>
        <v/>
      </c>
      <c r="I399">
        <f>IFERROR(VALUE('T12 Input'!J410),0)</f>
        <v/>
      </c>
      <c r="J399">
        <f>IFERROR(VALUE('T12 Input'!K410),0)</f>
        <v/>
      </c>
      <c r="K399">
        <f>IFERROR(VALUE('T12 Input'!L410),0)</f>
        <v/>
      </c>
      <c r="L399">
        <f>IFERROR(VALUE('T12 Input'!M410),0)</f>
        <v/>
      </c>
      <c r="M399">
        <f>IFERROR(VALUE('T12 Input'!N410),0)</f>
        <v/>
      </c>
      <c r="N399">
        <f>IFERROR(INDEX(DescMap_Label,MATCH(A399,DescMap_Description,0)),"")</f>
        <v/>
      </c>
    </row>
    <row r="400" ht="15" customHeight="1" s="199">
      <c r="A400">
        <f>IFERROR(TRIM('T12 Input'!B411),)</f>
        <v/>
      </c>
      <c r="B400">
        <f>IFERROR(VALUE('T12 Input'!C411),0)</f>
        <v/>
      </c>
      <c r="C400">
        <f>IFERROR(VALUE('T12 Input'!D411),0)</f>
        <v/>
      </c>
      <c r="D400">
        <f>IFERROR(VALUE('T12 Input'!E411),0)</f>
        <v/>
      </c>
      <c r="E400">
        <f>IFERROR(VALUE('T12 Input'!F411),0)</f>
        <v/>
      </c>
      <c r="F400">
        <f>IFERROR(VALUE('T12 Input'!G411),0)</f>
        <v/>
      </c>
      <c r="G400">
        <f>IFERROR(VALUE('T12 Input'!H411),0)</f>
        <v/>
      </c>
      <c r="H400">
        <f>IFERROR(VALUE('T12 Input'!I411),0)</f>
        <v/>
      </c>
      <c r="I400">
        <f>IFERROR(VALUE('T12 Input'!J411),0)</f>
        <v/>
      </c>
      <c r="J400">
        <f>IFERROR(VALUE('T12 Input'!K411),0)</f>
        <v/>
      </c>
      <c r="K400">
        <f>IFERROR(VALUE('T12 Input'!L411),0)</f>
        <v/>
      </c>
      <c r="L400">
        <f>IFERROR(VALUE('T12 Input'!M411),0)</f>
        <v/>
      </c>
      <c r="M400">
        <f>IFERROR(VALUE('T12 Input'!N411),0)</f>
        <v/>
      </c>
      <c r="N400">
        <f>IFERROR(INDEX(DescMap_Label,MATCH(A400,DescMap_Description,0)),"")</f>
        <v/>
      </c>
    </row>
    <row r="401" ht="15" customHeight="1" s="199">
      <c r="A401">
        <f>IFERROR(TRIM('T12 Input'!B412),)</f>
        <v/>
      </c>
      <c r="B401">
        <f>IFERROR(VALUE('T12 Input'!C412),0)</f>
        <v/>
      </c>
      <c r="C401">
        <f>IFERROR(VALUE('T12 Input'!D412),0)</f>
        <v/>
      </c>
      <c r="D401">
        <f>IFERROR(VALUE('T12 Input'!E412),0)</f>
        <v/>
      </c>
      <c r="E401">
        <f>IFERROR(VALUE('T12 Input'!F412),0)</f>
        <v/>
      </c>
      <c r="F401">
        <f>IFERROR(VALUE('T12 Input'!G412),0)</f>
        <v/>
      </c>
      <c r="G401">
        <f>IFERROR(VALUE('T12 Input'!H412),0)</f>
        <v/>
      </c>
      <c r="H401">
        <f>IFERROR(VALUE('T12 Input'!I412),0)</f>
        <v/>
      </c>
      <c r="I401">
        <f>IFERROR(VALUE('T12 Input'!J412),0)</f>
        <v/>
      </c>
      <c r="J401">
        <f>IFERROR(VALUE('T12 Input'!K412),0)</f>
        <v/>
      </c>
      <c r="K401">
        <f>IFERROR(VALUE('T12 Input'!L412),0)</f>
        <v/>
      </c>
      <c r="L401">
        <f>IFERROR(VALUE('T12 Input'!M412),0)</f>
        <v/>
      </c>
      <c r="M401">
        <f>IFERROR(VALUE('T12 Input'!N412),0)</f>
        <v/>
      </c>
      <c r="N401">
        <f>IFERROR(INDEX(DescMap_Label,MATCH(A401,DescMap_Description,0)),"")</f>
        <v/>
      </c>
    </row>
    <row r="402" ht="15" customHeight="1" s="199">
      <c r="A402">
        <f>IFERROR(TRIM('T12 Input'!B413),)</f>
        <v/>
      </c>
      <c r="B402">
        <f>IFERROR(VALUE('T12 Input'!C413),0)</f>
        <v/>
      </c>
      <c r="C402">
        <f>IFERROR(VALUE('T12 Input'!D413),0)</f>
        <v/>
      </c>
      <c r="D402">
        <f>IFERROR(VALUE('T12 Input'!E413),0)</f>
        <v/>
      </c>
      <c r="E402">
        <f>IFERROR(VALUE('T12 Input'!F413),0)</f>
        <v/>
      </c>
      <c r="F402">
        <f>IFERROR(VALUE('T12 Input'!G413),0)</f>
        <v/>
      </c>
      <c r="G402">
        <f>IFERROR(VALUE('T12 Input'!H413),0)</f>
        <v/>
      </c>
      <c r="H402">
        <f>IFERROR(VALUE('T12 Input'!I413),0)</f>
        <v/>
      </c>
      <c r="I402">
        <f>IFERROR(VALUE('T12 Input'!J413),0)</f>
        <v/>
      </c>
      <c r="J402">
        <f>IFERROR(VALUE('T12 Input'!K413),0)</f>
        <v/>
      </c>
      <c r="K402">
        <f>IFERROR(VALUE('T12 Input'!L413),0)</f>
        <v/>
      </c>
      <c r="L402">
        <f>IFERROR(VALUE('T12 Input'!M413),0)</f>
        <v/>
      </c>
      <c r="M402">
        <f>IFERROR(VALUE('T12 Input'!N413),0)</f>
        <v/>
      </c>
      <c r="N402">
        <f>IFERROR(INDEX(DescMap_Label,MATCH(A402,DescMap_Description,0)),"")</f>
        <v/>
      </c>
    </row>
    <row r="403" ht="15" customHeight="1" s="199">
      <c r="A403">
        <f>IFERROR(TRIM('T12 Input'!B414),)</f>
        <v/>
      </c>
      <c r="B403">
        <f>IFERROR(VALUE('T12 Input'!C414),0)</f>
        <v/>
      </c>
      <c r="C403">
        <f>IFERROR(VALUE('T12 Input'!D414),0)</f>
        <v/>
      </c>
      <c r="D403">
        <f>IFERROR(VALUE('T12 Input'!E414),0)</f>
        <v/>
      </c>
      <c r="E403">
        <f>IFERROR(VALUE('T12 Input'!F414),0)</f>
        <v/>
      </c>
      <c r="F403">
        <f>IFERROR(VALUE('T12 Input'!G414),0)</f>
        <v/>
      </c>
      <c r="G403">
        <f>IFERROR(VALUE('T12 Input'!H414),0)</f>
        <v/>
      </c>
      <c r="H403">
        <f>IFERROR(VALUE('T12 Input'!I414),0)</f>
        <v/>
      </c>
      <c r="I403">
        <f>IFERROR(VALUE('T12 Input'!J414),0)</f>
        <v/>
      </c>
      <c r="J403">
        <f>IFERROR(VALUE('T12 Input'!K414),0)</f>
        <v/>
      </c>
      <c r="K403">
        <f>IFERROR(VALUE('T12 Input'!L414),0)</f>
        <v/>
      </c>
      <c r="L403">
        <f>IFERROR(VALUE('T12 Input'!M414),0)</f>
        <v/>
      </c>
      <c r="M403">
        <f>IFERROR(VALUE('T12 Input'!N414),0)</f>
        <v/>
      </c>
      <c r="N403">
        <f>IFERROR(INDEX(DescMap_Label,MATCH(A403,DescMap_Description,0)),"")</f>
        <v/>
      </c>
    </row>
    <row r="404" ht="15" customHeight="1" s="199">
      <c r="A404">
        <f>IFERROR(TRIM('T12 Input'!B415),)</f>
        <v/>
      </c>
      <c r="B404">
        <f>IFERROR(VALUE('T12 Input'!C415),0)</f>
        <v/>
      </c>
      <c r="C404">
        <f>IFERROR(VALUE('T12 Input'!D415),0)</f>
        <v/>
      </c>
      <c r="D404">
        <f>IFERROR(VALUE('T12 Input'!E415),0)</f>
        <v/>
      </c>
      <c r="E404">
        <f>IFERROR(VALUE('T12 Input'!F415),0)</f>
        <v/>
      </c>
      <c r="F404">
        <f>IFERROR(VALUE('T12 Input'!G415),0)</f>
        <v/>
      </c>
      <c r="G404">
        <f>IFERROR(VALUE('T12 Input'!H415),0)</f>
        <v/>
      </c>
      <c r="H404">
        <f>IFERROR(VALUE('T12 Input'!I415),0)</f>
        <v/>
      </c>
      <c r="I404">
        <f>IFERROR(VALUE('T12 Input'!J415),0)</f>
        <v/>
      </c>
      <c r="J404">
        <f>IFERROR(VALUE('T12 Input'!K415),0)</f>
        <v/>
      </c>
      <c r="K404">
        <f>IFERROR(VALUE('T12 Input'!L415),0)</f>
        <v/>
      </c>
      <c r="L404">
        <f>IFERROR(VALUE('T12 Input'!M415),0)</f>
        <v/>
      </c>
      <c r="M404">
        <f>IFERROR(VALUE('T12 Input'!N415),0)</f>
        <v/>
      </c>
      <c r="N404">
        <f>IFERROR(INDEX(DescMap_Label,MATCH(A404,DescMap_Description,0)),"")</f>
        <v/>
      </c>
    </row>
    <row r="405" ht="15" customHeight="1" s="199">
      <c r="A405">
        <f>IFERROR(TRIM('T12 Input'!B416),)</f>
        <v/>
      </c>
      <c r="B405">
        <f>IFERROR(VALUE('T12 Input'!C416),0)</f>
        <v/>
      </c>
      <c r="C405">
        <f>IFERROR(VALUE('T12 Input'!D416),0)</f>
        <v/>
      </c>
      <c r="D405">
        <f>IFERROR(VALUE('T12 Input'!E416),0)</f>
        <v/>
      </c>
      <c r="E405">
        <f>IFERROR(VALUE('T12 Input'!F416),0)</f>
        <v/>
      </c>
      <c r="F405">
        <f>IFERROR(VALUE('T12 Input'!G416),0)</f>
        <v/>
      </c>
      <c r="G405">
        <f>IFERROR(VALUE('T12 Input'!H416),0)</f>
        <v/>
      </c>
      <c r="H405">
        <f>IFERROR(VALUE('T12 Input'!I416),0)</f>
        <v/>
      </c>
      <c r="I405">
        <f>IFERROR(VALUE('T12 Input'!J416),0)</f>
        <v/>
      </c>
      <c r="J405">
        <f>IFERROR(VALUE('T12 Input'!K416),0)</f>
        <v/>
      </c>
      <c r="K405">
        <f>IFERROR(VALUE('T12 Input'!L416),0)</f>
        <v/>
      </c>
      <c r="L405">
        <f>IFERROR(VALUE('T12 Input'!M416),0)</f>
        <v/>
      </c>
      <c r="M405">
        <f>IFERROR(VALUE('T12 Input'!N416),0)</f>
        <v/>
      </c>
      <c r="N405">
        <f>IFERROR(INDEX(DescMap_Label,MATCH(A405,DescMap_Description,0)),"")</f>
        <v/>
      </c>
    </row>
    <row r="406" ht="15" customHeight="1" s="199">
      <c r="A406">
        <f>IFERROR(TRIM('T12 Input'!B417),)</f>
        <v/>
      </c>
      <c r="B406">
        <f>IFERROR(VALUE('T12 Input'!C417),0)</f>
        <v/>
      </c>
      <c r="C406">
        <f>IFERROR(VALUE('T12 Input'!D417),0)</f>
        <v/>
      </c>
      <c r="D406">
        <f>IFERROR(VALUE('T12 Input'!E417),0)</f>
        <v/>
      </c>
      <c r="E406">
        <f>IFERROR(VALUE('T12 Input'!F417),0)</f>
        <v/>
      </c>
      <c r="F406">
        <f>IFERROR(VALUE('T12 Input'!G417),0)</f>
        <v/>
      </c>
      <c r="G406">
        <f>IFERROR(VALUE('T12 Input'!H417),0)</f>
        <v/>
      </c>
      <c r="H406">
        <f>IFERROR(VALUE('T12 Input'!I417),0)</f>
        <v/>
      </c>
      <c r="I406">
        <f>IFERROR(VALUE('T12 Input'!J417),0)</f>
        <v/>
      </c>
      <c r="J406">
        <f>IFERROR(VALUE('T12 Input'!K417),0)</f>
        <v/>
      </c>
      <c r="K406">
        <f>IFERROR(VALUE('T12 Input'!L417),0)</f>
        <v/>
      </c>
      <c r="L406">
        <f>IFERROR(VALUE('T12 Input'!M417),0)</f>
        <v/>
      </c>
      <c r="M406">
        <f>IFERROR(VALUE('T12 Input'!N417),0)</f>
        <v/>
      </c>
      <c r="N406">
        <f>IFERROR(INDEX(DescMap_Label,MATCH(A406,DescMap_Description,0)),"")</f>
        <v/>
      </c>
    </row>
    <row r="407" ht="15" customHeight="1" s="199">
      <c r="A407">
        <f>IFERROR(TRIM('T12 Input'!B418),)</f>
        <v/>
      </c>
      <c r="B407">
        <f>IFERROR(VALUE('T12 Input'!C418),0)</f>
        <v/>
      </c>
      <c r="C407">
        <f>IFERROR(VALUE('T12 Input'!D418),0)</f>
        <v/>
      </c>
      <c r="D407">
        <f>IFERROR(VALUE('T12 Input'!E418),0)</f>
        <v/>
      </c>
      <c r="E407">
        <f>IFERROR(VALUE('T12 Input'!F418),0)</f>
        <v/>
      </c>
      <c r="F407">
        <f>IFERROR(VALUE('T12 Input'!G418),0)</f>
        <v/>
      </c>
      <c r="G407">
        <f>IFERROR(VALUE('T12 Input'!H418),0)</f>
        <v/>
      </c>
      <c r="H407">
        <f>IFERROR(VALUE('T12 Input'!I418),0)</f>
        <v/>
      </c>
      <c r="I407">
        <f>IFERROR(VALUE('T12 Input'!J418),0)</f>
        <v/>
      </c>
      <c r="J407">
        <f>IFERROR(VALUE('T12 Input'!K418),0)</f>
        <v/>
      </c>
      <c r="K407">
        <f>IFERROR(VALUE('T12 Input'!L418),0)</f>
        <v/>
      </c>
      <c r="L407">
        <f>IFERROR(VALUE('T12 Input'!M418),0)</f>
        <v/>
      </c>
      <c r="M407">
        <f>IFERROR(VALUE('T12 Input'!N418),0)</f>
        <v/>
      </c>
      <c r="N407">
        <f>IFERROR(INDEX(DescMap_Label,MATCH(A407,DescMap_Description,0)),"")</f>
        <v/>
      </c>
    </row>
    <row r="408" ht="15" customHeight="1" s="199">
      <c r="A408">
        <f>IFERROR(TRIM('T12 Input'!B419),)</f>
        <v/>
      </c>
      <c r="B408">
        <f>IFERROR(VALUE('T12 Input'!C419),0)</f>
        <v/>
      </c>
      <c r="C408">
        <f>IFERROR(VALUE('T12 Input'!D419),0)</f>
        <v/>
      </c>
      <c r="D408">
        <f>IFERROR(VALUE('T12 Input'!E419),0)</f>
        <v/>
      </c>
      <c r="E408">
        <f>IFERROR(VALUE('T12 Input'!F419),0)</f>
        <v/>
      </c>
      <c r="F408">
        <f>IFERROR(VALUE('T12 Input'!G419),0)</f>
        <v/>
      </c>
      <c r="G408">
        <f>IFERROR(VALUE('T12 Input'!H419),0)</f>
        <v/>
      </c>
      <c r="H408">
        <f>IFERROR(VALUE('T12 Input'!I419),0)</f>
        <v/>
      </c>
      <c r="I408">
        <f>IFERROR(VALUE('T12 Input'!J419),0)</f>
        <v/>
      </c>
      <c r="J408">
        <f>IFERROR(VALUE('T12 Input'!K419),0)</f>
        <v/>
      </c>
      <c r="K408">
        <f>IFERROR(VALUE('T12 Input'!L419),0)</f>
        <v/>
      </c>
      <c r="L408">
        <f>IFERROR(VALUE('T12 Input'!M419),0)</f>
        <v/>
      </c>
      <c r="M408">
        <f>IFERROR(VALUE('T12 Input'!N419),0)</f>
        <v/>
      </c>
      <c r="N408">
        <f>IFERROR(INDEX(DescMap_Label,MATCH(A408,DescMap_Description,0)),"")</f>
        <v/>
      </c>
    </row>
    <row r="409" ht="15" customHeight="1" s="199">
      <c r="A409">
        <f>IFERROR(TRIM('T12 Input'!B420),)</f>
        <v/>
      </c>
      <c r="B409">
        <f>IFERROR(VALUE('T12 Input'!C420),0)</f>
        <v/>
      </c>
      <c r="C409">
        <f>IFERROR(VALUE('T12 Input'!D420),0)</f>
        <v/>
      </c>
      <c r="D409">
        <f>IFERROR(VALUE('T12 Input'!E420),0)</f>
        <v/>
      </c>
      <c r="E409">
        <f>IFERROR(VALUE('T12 Input'!F420),0)</f>
        <v/>
      </c>
      <c r="F409">
        <f>IFERROR(VALUE('T12 Input'!G420),0)</f>
        <v/>
      </c>
      <c r="G409">
        <f>IFERROR(VALUE('T12 Input'!H420),0)</f>
        <v/>
      </c>
      <c r="H409">
        <f>IFERROR(VALUE('T12 Input'!I420),0)</f>
        <v/>
      </c>
      <c r="I409">
        <f>IFERROR(VALUE('T12 Input'!J420),0)</f>
        <v/>
      </c>
      <c r="J409">
        <f>IFERROR(VALUE('T12 Input'!K420),0)</f>
        <v/>
      </c>
      <c r="K409">
        <f>IFERROR(VALUE('T12 Input'!L420),0)</f>
        <v/>
      </c>
      <c r="L409">
        <f>IFERROR(VALUE('T12 Input'!M420),0)</f>
        <v/>
      </c>
      <c r="M409">
        <f>IFERROR(VALUE('T12 Input'!N420),0)</f>
        <v/>
      </c>
      <c r="N409">
        <f>IFERROR(INDEX(DescMap_Label,MATCH(A409,DescMap_Description,0)),"")</f>
        <v/>
      </c>
    </row>
    <row r="410" ht="15" customHeight="1" s="199">
      <c r="A410">
        <f>IFERROR(TRIM('T12 Input'!B421),)</f>
        <v/>
      </c>
      <c r="B410">
        <f>IFERROR(VALUE('T12 Input'!C421),0)</f>
        <v/>
      </c>
      <c r="C410">
        <f>IFERROR(VALUE('T12 Input'!D421),0)</f>
        <v/>
      </c>
      <c r="D410">
        <f>IFERROR(VALUE('T12 Input'!E421),0)</f>
        <v/>
      </c>
      <c r="E410">
        <f>IFERROR(VALUE('T12 Input'!F421),0)</f>
        <v/>
      </c>
      <c r="F410">
        <f>IFERROR(VALUE('T12 Input'!G421),0)</f>
        <v/>
      </c>
      <c r="G410">
        <f>IFERROR(VALUE('T12 Input'!H421),0)</f>
        <v/>
      </c>
      <c r="H410">
        <f>IFERROR(VALUE('T12 Input'!I421),0)</f>
        <v/>
      </c>
      <c r="I410">
        <f>IFERROR(VALUE('T12 Input'!J421),0)</f>
        <v/>
      </c>
      <c r="J410">
        <f>IFERROR(VALUE('T12 Input'!K421),0)</f>
        <v/>
      </c>
      <c r="K410">
        <f>IFERROR(VALUE('T12 Input'!L421),0)</f>
        <v/>
      </c>
      <c r="L410">
        <f>IFERROR(VALUE('T12 Input'!M421),0)</f>
        <v/>
      </c>
      <c r="M410">
        <f>IFERROR(VALUE('T12 Input'!N421),0)</f>
        <v/>
      </c>
      <c r="N410">
        <f>IFERROR(INDEX(DescMap_Label,MATCH(A410,DescMap_Description,0)),"")</f>
        <v/>
      </c>
    </row>
    <row r="411" ht="15" customHeight="1" s="199">
      <c r="A411">
        <f>IFERROR(TRIM('T12 Input'!B422),)</f>
        <v/>
      </c>
      <c r="B411">
        <f>IFERROR(VALUE('T12 Input'!C422),0)</f>
        <v/>
      </c>
      <c r="C411">
        <f>IFERROR(VALUE('T12 Input'!D422),0)</f>
        <v/>
      </c>
      <c r="D411">
        <f>IFERROR(VALUE('T12 Input'!E422),0)</f>
        <v/>
      </c>
      <c r="E411">
        <f>IFERROR(VALUE('T12 Input'!F422),0)</f>
        <v/>
      </c>
      <c r="F411">
        <f>IFERROR(VALUE('T12 Input'!G422),0)</f>
        <v/>
      </c>
      <c r="G411">
        <f>IFERROR(VALUE('T12 Input'!H422),0)</f>
        <v/>
      </c>
      <c r="H411">
        <f>IFERROR(VALUE('T12 Input'!I422),0)</f>
        <v/>
      </c>
      <c r="I411">
        <f>IFERROR(VALUE('T12 Input'!J422),0)</f>
        <v/>
      </c>
      <c r="J411">
        <f>IFERROR(VALUE('T12 Input'!K422),0)</f>
        <v/>
      </c>
      <c r="K411">
        <f>IFERROR(VALUE('T12 Input'!L422),0)</f>
        <v/>
      </c>
      <c r="L411">
        <f>IFERROR(VALUE('T12 Input'!M422),0)</f>
        <v/>
      </c>
      <c r="M411">
        <f>IFERROR(VALUE('T12 Input'!N422),0)</f>
        <v/>
      </c>
      <c r="N411">
        <f>IFERROR(INDEX(DescMap_Label,MATCH(A411,DescMap_Description,0)),"")</f>
        <v/>
      </c>
    </row>
    <row r="412" ht="15" customHeight="1" s="199">
      <c r="A412">
        <f>IFERROR(TRIM('T12 Input'!B423),)</f>
        <v/>
      </c>
      <c r="B412">
        <f>IFERROR(VALUE('T12 Input'!C423),0)</f>
        <v/>
      </c>
      <c r="C412">
        <f>IFERROR(VALUE('T12 Input'!D423),0)</f>
        <v/>
      </c>
      <c r="D412">
        <f>IFERROR(VALUE('T12 Input'!E423),0)</f>
        <v/>
      </c>
      <c r="E412">
        <f>IFERROR(VALUE('T12 Input'!F423),0)</f>
        <v/>
      </c>
      <c r="F412">
        <f>IFERROR(VALUE('T12 Input'!G423),0)</f>
        <v/>
      </c>
      <c r="G412">
        <f>IFERROR(VALUE('T12 Input'!H423),0)</f>
        <v/>
      </c>
      <c r="H412">
        <f>IFERROR(VALUE('T12 Input'!I423),0)</f>
        <v/>
      </c>
      <c r="I412">
        <f>IFERROR(VALUE('T12 Input'!J423),0)</f>
        <v/>
      </c>
      <c r="J412">
        <f>IFERROR(VALUE('T12 Input'!K423),0)</f>
        <v/>
      </c>
      <c r="K412">
        <f>IFERROR(VALUE('T12 Input'!L423),0)</f>
        <v/>
      </c>
      <c r="L412">
        <f>IFERROR(VALUE('T12 Input'!M423),0)</f>
        <v/>
      </c>
      <c r="M412">
        <f>IFERROR(VALUE('T12 Input'!N423),0)</f>
        <v/>
      </c>
      <c r="N412">
        <f>IFERROR(INDEX(DescMap_Label,MATCH(A412,DescMap_Description,0)),"")</f>
        <v/>
      </c>
    </row>
    <row r="413" ht="15" customHeight="1" s="199">
      <c r="A413">
        <f>IFERROR(TRIM('T12 Input'!B424),)</f>
        <v/>
      </c>
      <c r="B413">
        <f>IFERROR(VALUE('T12 Input'!C424),0)</f>
        <v/>
      </c>
      <c r="C413">
        <f>IFERROR(VALUE('T12 Input'!D424),0)</f>
        <v/>
      </c>
      <c r="D413">
        <f>IFERROR(VALUE('T12 Input'!E424),0)</f>
        <v/>
      </c>
      <c r="E413">
        <f>IFERROR(VALUE('T12 Input'!F424),0)</f>
        <v/>
      </c>
      <c r="F413">
        <f>IFERROR(VALUE('T12 Input'!G424),0)</f>
        <v/>
      </c>
      <c r="G413">
        <f>IFERROR(VALUE('T12 Input'!H424),0)</f>
        <v/>
      </c>
      <c r="H413">
        <f>IFERROR(VALUE('T12 Input'!I424),0)</f>
        <v/>
      </c>
      <c r="I413">
        <f>IFERROR(VALUE('T12 Input'!J424),0)</f>
        <v/>
      </c>
      <c r="J413">
        <f>IFERROR(VALUE('T12 Input'!K424),0)</f>
        <v/>
      </c>
      <c r="K413">
        <f>IFERROR(VALUE('T12 Input'!L424),0)</f>
        <v/>
      </c>
      <c r="L413">
        <f>IFERROR(VALUE('T12 Input'!M424),0)</f>
        <v/>
      </c>
      <c r="M413">
        <f>IFERROR(VALUE('T12 Input'!N424),0)</f>
        <v/>
      </c>
      <c r="N413">
        <f>IFERROR(INDEX(DescMap_Label,MATCH(A413,DescMap_Description,0)),"")</f>
        <v/>
      </c>
    </row>
    <row r="414" ht="15" customHeight="1" s="199">
      <c r="A414">
        <f>IFERROR(TRIM('T12 Input'!B425),)</f>
        <v/>
      </c>
      <c r="B414">
        <f>IFERROR(VALUE('T12 Input'!C425),0)</f>
        <v/>
      </c>
      <c r="C414">
        <f>IFERROR(VALUE('T12 Input'!D425),0)</f>
        <v/>
      </c>
      <c r="D414">
        <f>IFERROR(VALUE('T12 Input'!E425),0)</f>
        <v/>
      </c>
      <c r="E414">
        <f>IFERROR(VALUE('T12 Input'!F425),0)</f>
        <v/>
      </c>
      <c r="F414">
        <f>IFERROR(VALUE('T12 Input'!G425),0)</f>
        <v/>
      </c>
      <c r="G414">
        <f>IFERROR(VALUE('T12 Input'!H425),0)</f>
        <v/>
      </c>
      <c r="H414">
        <f>IFERROR(VALUE('T12 Input'!I425),0)</f>
        <v/>
      </c>
      <c r="I414">
        <f>IFERROR(VALUE('T12 Input'!J425),0)</f>
        <v/>
      </c>
      <c r="J414">
        <f>IFERROR(VALUE('T12 Input'!K425),0)</f>
        <v/>
      </c>
      <c r="K414">
        <f>IFERROR(VALUE('T12 Input'!L425),0)</f>
        <v/>
      </c>
      <c r="L414">
        <f>IFERROR(VALUE('T12 Input'!M425),0)</f>
        <v/>
      </c>
      <c r="M414">
        <f>IFERROR(VALUE('T12 Input'!N425),0)</f>
        <v/>
      </c>
      <c r="N414">
        <f>IFERROR(INDEX(DescMap_Label,MATCH(A414,DescMap_Description,0)),"")</f>
        <v/>
      </c>
    </row>
    <row r="415" ht="15" customHeight="1" s="199">
      <c r="A415">
        <f>IFERROR(TRIM('T12 Input'!B426),)</f>
        <v/>
      </c>
      <c r="B415">
        <f>IFERROR(VALUE('T12 Input'!C426),0)</f>
        <v/>
      </c>
      <c r="C415">
        <f>IFERROR(VALUE('T12 Input'!D426),0)</f>
        <v/>
      </c>
      <c r="D415">
        <f>IFERROR(VALUE('T12 Input'!E426),0)</f>
        <v/>
      </c>
      <c r="E415">
        <f>IFERROR(VALUE('T12 Input'!F426),0)</f>
        <v/>
      </c>
      <c r="F415">
        <f>IFERROR(VALUE('T12 Input'!G426),0)</f>
        <v/>
      </c>
      <c r="G415">
        <f>IFERROR(VALUE('T12 Input'!H426),0)</f>
        <v/>
      </c>
      <c r="H415">
        <f>IFERROR(VALUE('T12 Input'!I426),0)</f>
        <v/>
      </c>
      <c r="I415">
        <f>IFERROR(VALUE('T12 Input'!J426),0)</f>
        <v/>
      </c>
      <c r="J415">
        <f>IFERROR(VALUE('T12 Input'!K426),0)</f>
        <v/>
      </c>
      <c r="K415">
        <f>IFERROR(VALUE('T12 Input'!L426),0)</f>
        <v/>
      </c>
      <c r="L415">
        <f>IFERROR(VALUE('T12 Input'!M426),0)</f>
        <v/>
      </c>
      <c r="M415">
        <f>IFERROR(VALUE('T12 Input'!N426),0)</f>
        <v/>
      </c>
      <c r="N415">
        <f>IFERROR(INDEX(DescMap_Label,MATCH(A415,DescMap_Description,0)),"")</f>
        <v/>
      </c>
    </row>
    <row r="416" ht="15" customHeight="1" s="199">
      <c r="A416">
        <f>IFERROR(TRIM('T12 Input'!B427),)</f>
        <v/>
      </c>
      <c r="B416">
        <f>IFERROR(VALUE('T12 Input'!C427),0)</f>
        <v/>
      </c>
      <c r="C416">
        <f>IFERROR(VALUE('T12 Input'!D427),0)</f>
        <v/>
      </c>
      <c r="D416">
        <f>IFERROR(VALUE('T12 Input'!E427),0)</f>
        <v/>
      </c>
      <c r="E416">
        <f>IFERROR(VALUE('T12 Input'!F427),0)</f>
        <v/>
      </c>
      <c r="F416">
        <f>IFERROR(VALUE('T12 Input'!G427),0)</f>
        <v/>
      </c>
      <c r="G416">
        <f>IFERROR(VALUE('T12 Input'!H427),0)</f>
        <v/>
      </c>
      <c r="H416">
        <f>IFERROR(VALUE('T12 Input'!I427),0)</f>
        <v/>
      </c>
      <c r="I416">
        <f>IFERROR(VALUE('T12 Input'!J427),0)</f>
        <v/>
      </c>
      <c r="J416">
        <f>IFERROR(VALUE('T12 Input'!K427),0)</f>
        <v/>
      </c>
      <c r="K416">
        <f>IFERROR(VALUE('T12 Input'!L427),0)</f>
        <v/>
      </c>
      <c r="L416">
        <f>IFERROR(VALUE('T12 Input'!M427),0)</f>
        <v/>
      </c>
      <c r="M416">
        <f>IFERROR(VALUE('T12 Input'!N427),0)</f>
        <v/>
      </c>
      <c r="N416">
        <f>IFERROR(INDEX(DescMap_Label,MATCH(A416,DescMap_Description,0)),"")</f>
        <v/>
      </c>
    </row>
    <row r="417" ht="15" customHeight="1" s="199">
      <c r="A417">
        <f>IFERROR(TRIM('T12 Input'!B428),)</f>
        <v/>
      </c>
      <c r="B417">
        <f>IFERROR(VALUE('T12 Input'!C428),0)</f>
        <v/>
      </c>
      <c r="C417">
        <f>IFERROR(VALUE('T12 Input'!D428),0)</f>
        <v/>
      </c>
      <c r="D417">
        <f>IFERROR(VALUE('T12 Input'!E428),0)</f>
        <v/>
      </c>
      <c r="E417">
        <f>IFERROR(VALUE('T12 Input'!F428),0)</f>
        <v/>
      </c>
      <c r="F417">
        <f>IFERROR(VALUE('T12 Input'!G428),0)</f>
        <v/>
      </c>
      <c r="G417">
        <f>IFERROR(VALUE('T12 Input'!H428),0)</f>
        <v/>
      </c>
      <c r="H417">
        <f>IFERROR(VALUE('T12 Input'!I428),0)</f>
        <v/>
      </c>
      <c r="I417">
        <f>IFERROR(VALUE('T12 Input'!J428),0)</f>
        <v/>
      </c>
      <c r="J417">
        <f>IFERROR(VALUE('T12 Input'!K428),0)</f>
        <v/>
      </c>
      <c r="K417">
        <f>IFERROR(VALUE('T12 Input'!L428),0)</f>
        <v/>
      </c>
      <c r="L417">
        <f>IFERROR(VALUE('T12 Input'!M428),0)</f>
        <v/>
      </c>
      <c r="M417">
        <f>IFERROR(VALUE('T12 Input'!N428),0)</f>
        <v/>
      </c>
      <c r="N417">
        <f>IFERROR(INDEX(DescMap_Label,MATCH(A417,DescMap_Description,0)),"")</f>
        <v/>
      </c>
    </row>
    <row r="418" ht="15" customHeight="1" s="199">
      <c r="A418">
        <f>IFERROR(TRIM('T12 Input'!B429),)</f>
        <v/>
      </c>
      <c r="B418">
        <f>IFERROR(VALUE('T12 Input'!C429),0)</f>
        <v/>
      </c>
      <c r="C418">
        <f>IFERROR(VALUE('T12 Input'!D429),0)</f>
        <v/>
      </c>
      <c r="D418">
        <f>IFERROR(VALUE('T12 Input'!E429),0)</f>
        <v/>
      </c>
      <c r="E418">
        <f>IFERROR(VALUE('T12 Input'!F429),0)</f>
        <v/>
      </c>
      <c r="F418">
        <f>IFERROR(VALUE('T12 Input'!G429),0)</f>
        <v/>
      </c>
      <c r="G418">
        <f>IFERROR(VALUE('T12 Input'!H429),0)</f>
        <v/>
      </c>
      <c r="H418">
        <f>IFERROR(VALUE('T12 Input'!I429),0)</f>
        <v/>
      </c>
      <c r="I418">
        <f>IFERROR(VALUE('T12 Input'!J429),0)</f>
        <v/>
      </c>
      <c r="J418">
        <f>IFERROR(VALUE('T12 Input'!K429),0)</f>
        <v/>
      </c>
      <c r="K418">
        <f>IFERROR(VALUE('T12 Input'!L429),0)</f>
        <v/>
      </c>
      <c r="L418">
        <f>IFERROR(VALUE('T12 Input'!M429),0)</f>
        <v/>
      </c>
      <c r="M418">
        <f>IFERROR(VALUE('T12 Input'!N429),0)</f>
        <v/>
      </c>
      <c r="N418">
        <f>IFERROR(INDEX(DescMap_Label,MATCH(A418,DescMap_Description,0)),"")</f>
        <v/>
      </c>
    </row>
    <row r="419" ht="15" customHeight="1" s="199">
      <c r="A419">
        <f>IFERROR(TRIM('T12 Input'!B430),)</f>
        <v/>
      </c>
      <c r="B419">
        <f>IFERROR(VALUE('T12 Input'!C430),0)</f>
        <v/>
      </c>
      <c r="C419">
        <f>IFERROR(VALUE('T12 Input'!D430),0)</f>
        <v/>
      </c>
      <c r="D419">
        <f>IFERROR(VALUE('T12 Input'!E430),0)</f>
        <v/>
      </c>
      <c r="E419">
        <f>IFERROR(VALUE('T12 Input'!F430),0)</f>
        <v/>
      </c>
      <c r="F419">
        <f>IFERROR(VALUE('T12 Input'!G430),0)</f>
        <v/>
      </c>
      <c r="G419">
        <f>IFERROR(VALUE('T12 Input'!H430),0)</f>
        <v/>
      </c>
      <c r="H419">
        <f>IFERROR(VALUE('T12 Input'!I430),0)</f>
        <v/>
      </c>
      <c r="I419">
        <f>IFERROR(VALUE('T12 Input'!J430),0)</f>
        <v/>
      </c>
      <c r="J419">
        <f>IFERROR(VALUE('T12 Input'!K430),0)</f>
        <v/>
      </c>
      <c r="K419">
        <f>IFERROR(VALUE('T12 Input'!L430),0)</f>
        <v/>
      </c>
      <c r="L419">
        <f>IFERROR(VALUE('T12 Input'!M430),0)</f>
        <v/>
      </c>
      <c r="M419">
        <f>IFERROR(VALUE('T12 Input'!N430),0)</f>
        <v/>
      </c>
      <c r="N419">
        <f>IFERROR(INDEX(DescMap_Label,MATCH(A419,DescMap_Description,0)),"")</f>
        <v/>
      </c>
    </row>
    <row r="420" ht="15" customHeight="1" s="199">
      <c r="A420">
        <f>IFERROR(TRIM('T12 Input'!B431),)</f>
        <v/>
      </c>
      <c r="B420">
        <f>IFERROR(VALUE('T12 Input'!C431),0)</f>
        <v/>
      </c>
      <c r="C420">
        <f>IFERROR(VALUE('T12 Input'!D431),0)</f>
        <v/>
      </c>
      <c r="D420">
        <f>IFERROR(VALUE('T12 Input'!E431),0)</f>
        <v/>
      </c>
      <c r="E420">
        <f>IFERROR(VALUE('T12 Input'!F431),0)</f>
        <v/>
      </c>
      <c r="F420">
        <f>IFERROR(VALUE('T12 Input'!G431),0)</f>
        <v/>
      </c>
      <c r="G420">
        <f>IFERROR(VALUE('T12 Input'!H431),0)</f>
        <v/>
      </c>
      <c r="H420">
        <f>IFERROR(VALUE('T12 Input'!I431),0)</f>
        <v/>
      </c>
      <c r="I420">
        <f>IFERROR(VALUE('T12 Input'!J431),0)</f>
        <v/>
      </c>
      <c r="J420">
        <f>IFERROR(VALUE('T12 Input'!K431),0)</f>
        <v/>
      </c>
      <c r="K420">
        <f>IFERROR(VALUE('T12 Input'!L431),0)</f>
        <v/>
      </c>
      <c r="L420">
        <f>IFERROR(VALUE('T12 Input'!M431),0)</f>
        <v/>
      </c>
      <c r="M420">
        <f>IFERROR(VALUE('T12 Input'!N431),0)</f>
        <v/>
      </c>
      <c r="N420">
        <f>IFERROR(INDEX(DescMap_Label,MATCH(A420,DescMap_Description,0)),"")</f>
        <v/>
      </c>
    </row>
    <row r="421" ht="15" customHeight="1" s="199">
      <c r="A421">
        <f>IFERROR(TRIM('T12 Input'!B432),)</f>
        <v/>
      </c>
      <c r="B421">
        <f>IFERROR(VALUE('T12 Input'!C432),0)</f>
        <v/>
      </c>
      <c r="C421">
        <f>IFERROR(VALUE('T12 Input'!D432),0)</f>
        <v/>
      </c>
      <c r="D421">
        <f>IFERROR(VALUE('T12 Input'!E432),0)</f>
        <v/>
      </c>
      <c r="E421">
        <f>IFERROR(VALUE('T12 Input'!F432),0)</f>
        <v/>
      </c>
      <c r="F421">
        <f>IFERROR(VALUE('T12 Input'!G432),0)</f>
        <v/>
      </c>
      <c r="G421">
        <f>IFERROR(VALUE('T12 Input'!H432),0)</f>
        <v/>
      </c>
      <c r="H421">
        <f>IFERROR(VALUE('T12 Input'!I432),0)</f>
        <v/>
      </c>
      <c r="I421">
        <f>IFERROR(VALUE('T12 Input'!J432),0)</f>
        <v/>
      </c>
      <c r="J421">
        <f>IFERROR(VALUE('T12 Input'!K432),0)</f>
        <v/>
      </c>
      <c r="K421">
        <f>IFERROR(VALUE('T12 Input'!L432),0)</f>
        <v/>
      </c>
      <c r="L421">
        <f>IFERROR(VALUE('T12 Input'!M432),0)</f>
        <v/>
      </c>
      <c r="M421">
        <f>IFERROR(VALUE('T12 Input'!N432),0)</f>
        <v/>
      </c>
      <c r="N421">
        <f>IFERROR(INDEX(DescMap_Label,MATCH(A421,DescMap_Description,0)),"")</f>
        <v/>
      </c>
    </row>
    <row r="422" ht="15" customHeight="1" s="199">
      <c r="A422">
        <f>IFERROR(TRIM('T12 Input'!B433),)</f>
        <v/>
      </c>
      <c r="B422">
        <f>IFERROR(VALUE('T12 Input'!C433),0)</f>
        <v/>
      </c>
      <c r="C422">
        <f>IFERROR(VALUE('T12 Input'!D433),0)</f>
        <v/>
      </c>
      <c r="D422">
        <f>IFERROR(VALUE('T12 Input'!E433),0)</f>
        <v/>
      </c>
      <c r="E422">
        <f>IFERROR(VALUE('T12 Input'!F433),0)</f>
        <v/>
      </c>
      <c r="F422">
        <f>IFERROR(VALUE('T12 Input'!G433),0)</f>
        <v/>
      </c>
      <c r="G422">
        <f>IFERROR(VALUE('T12 Input'!H433),0)</f>
        <v/>
      </c>
      <c r="H422">
        <f>IFERROR(VALUE('T12 Input'!I433),0)</f>
        <v/>
      </c>
      <c r="I422">
        <f>IFERROR(VALUE('T12 Input'!J433),0)</f>
        <v/>
      </c>
      <c r="J422">
        <f>IFERROR(VALUE('T12 Input'!K433),0)</f>
        <v/>
      </c>
      <c r="K422">
        <f>IFERROR(VALUE('T12 Input'!L433),0)</f>
        <v/>
      </c>
      <c r="L422">
        <f>IFERROR(VALUE('T12 Input'!M433),0)</f>
        <v/>
      </c>
      <c r="M422">
        <f>IFERROR(VALUE('T12 Input'!N433),0)</f>
        <v/>
      </c>
      <c r="N422">
        <f>IFERROR(INDEX(DescMap_Label,MATCH(A422,DescMap_Description,0)),"")</f>
        <v/>
      </c>
    </row>
    <row r="423" ht="15" customHeight="1" s="199">
      <c r="A423">
        <f>IFERROR(TRIM('T12 Input'!B434),)</f>
        <v/>
      </c>
      <c r="B423">
        <f>IFERROR(VALUE('T12 Input'!C434),0)</f>
        <v/>
      </c>
      <c r="C423">
        <f>IFERROR(VALUE('T12 Input'!D434),0)</f>
        <v/>
      </c>
      <c r="D423">
        <f>IFERROR(VALUE('T12 Input'!E434),0)</f>
        <v/>
      </c>
      <c r="E423">
        <f>IFERROR(VALUE('T12 Input'!F434),0)</f>
        <v/>
      </c>
      <c r="F423">
        <f>IFERROR(VALUE('T12 Input'!G434),0)</f>
        <v/>
      </c>
      <c r="G423">
        <f>IFERROR(VALUE('T12 Input'!H434),0)</f>
        <v/>
      </c>
      <c r="H423">
        <f>IFERROR(VALUE('T12 Input'!I434),0)</f>
        <v/>
      </c>
      <c r="I423">
        <f>IFERROR(VALUE('T12 Input'!J434),0)</f>
        <v/>
      </c>
      <c r="J423">
        <f>IFERROR(VALUE('T12 Input'!K434),0)</f>
        <v/>
      </c>
      <c r="K423">
        <f>IFERROR(VALUE('T12 Input'!L434),0)</f>
        <v/>
      </c>
      <c r="L423">
        <f>IFERROR(VALUE('T12 Input'!M434),0)</f>
        <v/>
      </c>
      <c r="M423">
        <f>IFERROR(VALUE('T12 Input'!N434),0)</f>
        <v/>
      </c>
      <c r="N423">
        <f>IFERROR(INDEX(DescMap_Label,MATCH(A423,DescMap_Description,0)),"")</f>
        <v/>
      </c>
    </row>
    <row r="424" ht="15" customHeight="1" s="199">
      <c r="A424">
        <f>IFERROR(TRIM('T12 Input'!B435),)</f>
        <v/>
      </c>
      <c r="B424">
        <f>IFERROR(VALUE('T12 Input'!C435),0)</f>
        <v/>
      </c>
      <c r="C424">
        <f>IFERROR(VALUE('T12 Input'!D435),0)</f>
        <v/>
      </c>
      <c r="D424">
        <f>IFERROR(VALUE('T12 Input'!E435),0)</f>
        <v/>
      </c>
      <c r="E424">
        <f>IFERROR(VALUE('T12 Input'!F435),0)</f>
        <v/>
      </c>
      <c r="F424">
        <f>IFERROR(VALUE('T12 Input'!G435),0)</f>
        <v/>
      </c>
      <c r="G424">
        <f>IFERROR(VALUE('T12 Input'!H435),0)</f>
        <v/>
      </c>
      <c r="H424">
        <f>IFERROR(VALUE('T12 Input'!I435),0)</f>
        <v/>
      </c>
      <c r="I424">
        <f>IFERROR(VALUE('T12 Input'!J435),0)</f>
        <v/>
      </c>
      <c r="J424">
        <f>IFERROR(VALUE('T12 Input'!K435),0)</f>
        <v/>
      </c>
      <c r="K424">
        <f>IFERROR(VALUE('T12 Input'!L435),0)</f>
        <v/>
      </c>
      <c r="L424">
        <f>IFERROR(VALUE('T12 Input'!M435),0)</f>
        <v/>
      </c>
      <c r="M424">
        <f>IFERROR(VALUE('T12 Input'!N435),0)</f>
        <v/>
      </c>
      <c r="N424">
        <f>IFERROR(INDEX(DescMap_Label,MATCH(A424,DescMap_Description,0)),"")</f>
        <v/>
      </c>
    </row>
    <row r="425" ht="15" customHeight="1" s="199">
      <c r="A425">
        <f>IFERROR(TRIM('T12 Input'!B436),)</f>
        <v/>
      </c>
      <c r="B425">
        <f>IFERROR(VALUE('T12 Input'!C436),0)</f>
        <v/>
      </c>
      <c r="C425">
        <f>IFERROR(VALUE('T12 Input'!D436),0)</f>
        <v/>
      </c>
      <c r="D425">
        <f>IFERROR(VALUE('T12 Input'!E436),0)</f>
        <v/>
      </c>
      <c r="E425">
        <f>IFERROR(VALUE('T12 Input'!F436),0)</f>
        <v/>
      </c>
      <c r="F425">
        <f>IFERROR(VALUE('T12 Input'!G436),0)</f>
        <v/>
      </c>
      <c r="G425">
        <f>IFERROR(VALUE('T12 Input'!H436),0)</f>
        <v/>
      </c>
      <c r="H425">
        <f>IFERROR(VALUE('T12 Input'!I436),0)</f>
        <v/>
      </c>
      <c r="I425">
        <f>IFERROR(VALUE('T12 Input'!J436),0)</f>
        <v/>
      </c>
      <c r="J425">
        <f>IFERROR(VALUE('T12 Input'!K436),0)</f>
        <v/>
      </c>
      <c r="K425">
        <f>IFERROR(VALUE('T12 Input'!L436),0)</f>
        <v/>
      </c>
      <c r="L425">
        <f>IFERROR(VALUE('T12 Input'!M436),0)</f>
        <v/>
      </c>
      <c r="M425">
        <f>IFERROR(VALUE('T12 Input'!N436),0)</f>
        <v/>
      </c>
      <c r="N425">
        <f>IFERROR(INDEX(DescMap_Label,MATCH(A425,DescMap_Description,0)),"")</f>
        <v/>
      </c>
    </row>
    <row r="426" ht="15" customHeight="1" s="199">
      <c r="A426">
        <f>IFERROR(TRIM('T12 Input'!B437),)</f>
        <v/>
      </c>
      <c r="B426">
        <f>IFERROR(VALUE('T12 Input'!C437),0)</f>
        <v/>
      </c>
      <c r="C426">
        <f>IFERROR(VALUE('T12 Input'!D437),0)</f>
        <v/>
      </c>
      <c r="D426">
        <f>IFERROR(VALUE('T12 Input'!E437),0)</f>
        <v/>
      </c>
      <c r="E426">
        <f>IFERROR(VALUE('T12 Input'!F437),0)</f>
        <v/>
      </c>
      <c r="F426">
        <f>IFERROR(VALUE('T12 Input'!G437),0)</f>
        <v/>
      </c>
      <c r="G426">
        <f>IFERROR(VALUE('T12 Input'!H437),0)</f>
        <v/>
      </c>
      <c r="H426">
        <f>IFERROR(VALUE('T12 Input'!I437),0)</f>
        <v/>
      </c>
      <c r="I426">
        <f>IFERROR(VALUE('T12 Input'!J437),0)</f>
        <v/>
      </c>
      <c r="J426">
        <f>IFERROR(VALUE('T12 Input'!K437),0)</f>
        <v/>
      </c>
      <c r="K426">
        <f>IFERROR(VALUE('T12 Input'!L437),0)</f>
        <v/>
      </c>
      <c r="L426">
        <f>IFERROR(VALUE('T12 Input'!M437),0)</f>
        <v/>
      </c>
      <c r="M426">
        <f>IFERROR(VALUE('T12 Input'!N437),0)</f>
        <v/>
      </c>
      <c r="N426">
        <f>IFERROR(INDEX(DescMap_Label,MATCH(A426,DescMap_Description,0)),"")</f>
        <v/>
      </c>
    </row>
    <row r="427" ht="15" customHeight="1" s="199">
      <c r="A427">
        <f>IFERROR(TRIM('T12 Input'!B438),)</f>
        <v/>
      </c>
      <c r="B427">
        <f>IFERROR(VALUE('T12 Input'!C438),0)</f>
        <v/>
      </c>
      <c r="C427">
        <f>IFERROR(VALUE('T12 Input'!D438),0)</f>
        <v/>
      </c>
      <c r="D427">
        <f>IFERROR(VALUE('T12 Input'!E438),0)</f>
        <v/>
      </c>
      <c r="E427">
        <f>IFERROR(VALUE('T12 Input'!F438),0)</f>
        <v/>
      </c>
      <c r="F427">
        <f>IFERROR(VALUE('T12 Input'!G438),0)</f>
        <v/>
      </c>
      <c r="G427">
        <f>IFERROR(VALUE('T12 Input'!H438),0)</f>
        <v/>
      </c>
      <c r="H427">
        <f>IFERROR(VALUE('T12 Input'!I438),0)</f>
        <v/>
      </c>
      <c r="I427">
        <f>IFERROR(VALUE('T12 Input'!J438),0)</f>
        <v/>
      </c>
      <c r="J427">
        <f>IFERROR(VALUE('T12 Input'!K438),0)</f>
        <v/>
      </c>
      <c r="K427">
        <f>IFERROR(VALUE('T12 Input'!L438),0)</f>
        <v/>
      </c>
      <c r="L427">
        <f>IFERROR(VALUE('T12 Input'!M438),0)</f>
        <v/>
      </c>
      <c r="M427">
        <f>IFERROR(VALUE('T12 Input'!N438),0)</f>
        <v/>
      </c>
      <c r="N427">
        <f>IFERROR(INDEX(DescMap_Label,MATCH(A427,DescMap_Description,0)),"")</f>
        <v/>
      </c>
    </row>
    <row r="428" ht="15" customHeight="1" s="199">
      <c r="A428">
        <f>IFERROR(TRIM('T12 Input'!B439),)</f>
        <v/>
      </c>
      <c r="B428">
        <f>IFERROR(VALUE('T12 Input'!C439),0)</f>
        <v/>
      </c>
      <c r="C428">
        <f>IFERROR(VALUE('T12 Input'!D439),0)</f>
        <v/>
      </c>
      <c r="D428">
        <f>IFERROR(VALUE('T12 Input'!E439),0)</f>
        <v/>
      </c>
      <c r="E428">
        <f>IFERROR(VALUE('T12 Input'!F439),0)</f>
        <v/>
      </c>
      <c r="F428">
        <f>IFERROR(VALUE('T12 Input'!G439),0)</f>
        <v/>
      </c>
      <c r="G428">
        <f>IFERROR(VALUE('T12 Input'!H439),0)</f>
        <v/>
      </c>
      <c r="H428">
        <f>IFERROR(VALUE('T12 Input'!I439),0)</f>
        <v/>
      </c>
      <c r="I428">
        <f>IFERROR(VALUE('T12 Input'!J439),0)</f>
        <v/>
      </c>
      <c r="J428">
        <f>IFERROR(VALUE('T12 Input'!K439),0)</f>
        <v/>
      </c>
      <c r="K428">
        <f>IFERROR(VALUE('T12 Input'!L439),0)</f>
        <v/>
      </c>
      <c r="L428">
        <f>IFERROR(VALUE('T12 Input'!M439),0)</f>
        <v/>
      </c>
      <c r="M428">
        <f>IFERROR(VALUE('T12 Input'!N439),0)</f>
        <v/>
      </c>
      <c r="N428">
        <f>IFERROR(INDEX(DescMap_Label,MATCH(A428,DescMap_Description,0)),"")</f>
        <v/>
      </c>
    </row>
    <row r="429" ht="15" customHeight="1" s="199">
      <c r="A429">
        <f>IFERROR(TRIM('T12 Input'!B440),)</f>
        <v/>
      </c>
      <c r="B429">
        <f>IFERROR(VALUE('T12 Input'!C440),0)</f>
        <v/>
      </c>
      <c r="C429">
        <f>IFERROR(VALUE('T12 Input'!D440),0)</f>
        <v/>
      </c>
      <c r="D429">
        <f>IFERROR(VALUE('T12 Input'!E440),0)</f>
        <v/>
      </c>
      <c r="E429">
        <f>IFERROR(VALUE('T12 Input'!F440),0)</f>
        <v/>
      </c>
      <c r="F429">
        <f>IFERROR(VALUE('T12 Input'!G440),0)</f>
        <v/>
      </c>
      <c r="G429">
        <f>IFERROR(VALUE('T12 Input'!H440),0)</f>
        <v/>
      </c>
      <c r="H429">
        <f>IFERROR(VALUE('T12 Input'!I440),0)</f>
        <v/>
      </c>
      <c r="I429">
        <f>IFERROR(VALUE('T12 Input'!J440),0)</f>
        <v/>
      </c>
      <c r="J429">
        <f>IFERROR(VALUE('T12 Input'!K440),0)</f>
        <v/>
      </c>
      <c r="K429">
        <f>IFERROR(VALUE('T12 Input'!L440),0)</f>
        <v/>
      </c>
      <c r="L429">
        <f>IFERROR(VALUE('T12 Input'!M440),0)</f>
        <v/>
      </c>
      <c r="M429">
        <f>IFERROR(VALUE('T12 Input'!N440),0)</f>
        <v/>
      </c>
      <c r="N429">
        <f>IFERROR(INDEX(DescMap_Label,MATCH(A429,DescMap_Description,0)),"")</f>
        <v/>
      </c>
    </row>
    <row r="430" ht="15" customHeight="1" s="199">
      <c r="A430">
        <f>IFERROR(TRIM('T12 Input'!B441),)</f>
        <v/>
      </c>
      <c r="B430">
        <f>IFERROR(VALUE('T12 Input'!C441),0)</f>
        <v/>
      </c>
      <c r="C430">
        <f>IFERROR(VALUE('T12 Input'!D441),0)</f>
        <v/>
      </c>
      <c r="D430">
        <f>IFERROR(VALUE('T12 Input'!E441),0)</f>
        <v/>
      </c>
      <c r="E430">
        <f>IFERROR(VALUE('T12 Input'!F441),0)</f>
        <v/>
      </c>
      <c r="F430">
        <f>IFERROR(VALUE('T12 Input'!G441),0)</f>
        <v/>
      </c>
      <c r="G430">
        <f>IFERROR(VALUE('T12 Input'!H441),0)</f>
        <v/>
      </c>
      <c r="H430">
        <f>IFERROR(VALUE('T12 Input'!I441),0)</f>
        <v/>
      </c>
      <c r="I430">
        <f>IFERROR(VALUE('T12 Input'!J441),0)</f>
        <v/>
      </c>
      <c r="J430">
        <f>IFERROR(VALUE('T12 Input'!K441),0)</f>
        <v/>
      </c>
      <c r="K430">
        <f>IFERROR(VALUE('T12 Input'!L441),0)</f>
        <v/>
      </c>
      <c r="L430">
        <f>IFERROR(VALUE('T12 Input'!M441),0)</f>
        <v/>
      </c>
      <c r="M430">
        <f>IFERROR(VALUE('T12 Input'!N441),0)</f>
        <v/>
      </c>
      <c r="N430">
        <f>IFERROR(INDEX(DescMap_Label,MATCH(A430,DescMap_Description,0)),"")</f>
        <v/>
      </c>
    </row>
    <row r="431" ht="15" customHeight="1" s="199">
      <c r="A431">
        <f>IFERROR(TRIM('T12 Input'!B442),)</f>
        <v/>
      </c>
      <c r="B431">
        <f>IFERROR(VALUE('T12 Input'!C442),0)</f>
        <v/>
      </c>
      <c r="C431">
        <f>IFERROR(VALUE('T12 Input'!D442),0)</f>
        <v/>
      </c>
      <c r="D431">
        <f>IFERROR(VALUE('T12 Input'!E442),0)</f>
        <v/>
      </c>
      <c r="E431">
        <f>IFERROR(VALUE('T12 Input'!F442),0)</f>
        <v/>
      </c>
      <c r="F431">
        <f>IFERROR(VALUE('T12 Input'!G442),0)</f>
        <v/>
      </c>
      <c r="G431">
        <f>IFERROR(VALUE('T12 Input'!H442),0)</f>
        <v/>
      </c>
      <c r="H431">
        <f>IFERROR(VALUE('T12 Input'!I442),0)</f>
        <v/>
      </c>
      <c r="I431">
        <f>IFERROR(VALUE('T12 Input'!J442),0)</f>
        <v/>
      </c>
      <c r="J431">
        <f>IFERROR(VALUE('T12 Input'!K442),0)</f>
        <v/>
      </c>
      <c r="K431">
        <f>IFERROR(VALUE('T12 Input'!L442),0)</f>
        <v/>
      </c>
      <c r="L431">
        <f>IFERROR(VALUE('T12 Input'!M442),0)</f>
        <v/>
      </c>
      <c r="M431">
        <f>IFERROR(VALUE('T12 Input'!N442),0)</f>
        <v/>
      </c>
      <c r="N431">
        <f>IFERROR(INDEX(DescMap_Label,MATCH(A431,DescMap_Description,0)),"")</f>
        <v/>
      </c>
    </row>
    <row r="432" ht="15" customHeight="1" s="199">
      <c r="A432">
        <f>IFERROR(TRIM('T12 Input'!B443),)</f>
        <v/>
      </c>
      <c r="B432">
        <f>IFERROR(VALUE('T12 Input'!C443),0)</f>
        <v/>
      </c>
      <c r="C432">
        <f>IFERROR(VALUE('T12 Input'!D443),0)</f>
        <v/>
      </c>
      <c r="D432">
        <f>IFERROR(VALUE('T12 Input'!E443),0)</f>
        <v/>
      </c>
      <c r="E432">
        <f>IFERROR(VALUE('T12 Input'!F443),0)</f>
        <v/>
      </c>
      <c r="F432">
        <f>IFERROR(VALUE('T12 Input'!G443),0)</f>
        <v/>
      </c>
      <c r="G432">
        <f>IFERROR(VALUE('T12 Input'!H443),0)</f>
        <v/>
      </c>
      <c r="H432">
        <f>IFERROR(VALUE('T12 Input'!I443),0)</f>
        <v/>
      </c>
      <c r="I432">
        <f>IFERROR(VALUE('T12 Input'!J443),0)</f>
        <v/>
      </c>
      <c r="J432">
        <f>IFERROR(VALUE('T12 Input'!K443),0)</f>
        <v/>
      </c>
      <c r="K432">
        <f>IFERROR(VALUE('T12 Input'!L443),0)</f>
        <v/>
      </c>
      <c r="L432">
        <f>IFERROR(VALUE('T12 Input'!M443),0)</f>
        <v/>
      </c>
      <c r="M432">
        <f>IFERROR(VALUE('T12 Input'!N443),0)</f>
        <v/>
      </c>
      <c r="N432">
        <f>IFERROR(INDEX(DescMap_Label,MATCH(A432,DescMap_Description,0)),"")</f>
        <v/>
      </c>
    </row>
    <row r="433" ht="15" customHeight="1" s="199">
      <c r="A433">
        <f>IFERROR(TRIM('T12 Input'!B444),)</f>
        <v/>
      </c>
      <c r="B433">
        <f>IFERROR(VALUE('T12 Input'!C444),0)</f>
        <v/>
      </c>
      <c r="C433">
        <f>IFERROR(VALUE('T12 Input'!D444),0)</f>
        <v/>
      </c>
      <c r="D433">
        <f>IFERROR(VALUE('T12 Input'!E444),0)</f>
        <v/>
      </c>
      <c r="E433">
        <f>IFERROR(VALUE('T12 Input'!F444),0)</f>
        <v/>
      </c>
      <c r="F433">
        <f>IFERROR(VALUE('T12 Input'!G444),0)</f>
        <v/>
      </c>
      <c r="G433">
        <f>IFERROR(VALUE('T12 Input'!H444),0)</f>
        <v/>
      </c>
      <c r="H433">
        <f>IFERROR(VALUE('T12 Input'!I444),0)</f>
        <v/>
      </c>
      <c r="I433">
        <f>IFERROR(VALUE('T12 Input'!J444),0)</f>
        <v/>
      </c>
      <c r="J433">
        <f>IFERROR(VALUE('T12 Input'!K444),0)</f>
        <v/>
      </c>
      <c r="K433">
        <f>IFERROR(VALUE('T12 Input'!L444),0)</f>
        <v/>
      </c>
      <c r="L433">
        <f>IFERROR(VALUE('T12 Input'!M444),0)</f>
        <v/>
      </c>
      <c r="M433">
        <f>IFERROR(VALUE('T12 Input'!N444),0)</f>
        <v/>
      </c>
      <c r="N433">
        <f>IFERROR(INDEX(DescMap_Label,MATCH(A433,DescMap_Description,0)),"")</f>
        <v/>
      </c>
    </row>
    <row r="434" ht="15" customHeight="1" s="199">
      <c r="A434">
        <f>IFERROR(TRIM('T12 Input'!B445),)</f>
        <v/>
      </c>
      <c r="B434">
        <f>IFERROR(VALUE('T12 Input'!C445),0)</f>
        <v/>
      </c>
      <c r="C434">
        <f>IFERROR(VALUE('T12 Input'!D445),0)</f>
        <v/>
      </c>
      <c r="D434">
        <f>IFERROR(VALUE('T12 Input'!E445),0)</f>
        <v/>
      </c>
      <c r="E434">
        <f>IFERROR(VALUE('T12 Input'!F445),0)</f>
        <v/>
      </c>
      <c r="F434">
        <f>IFERROR(VALUE('T12 Input'!G445),0)</f>
        <v/>
      </c>
      <c r="G434">
        <f>IFERROR(VALUE('T12 Input'!H445),0)</f>
        <v/>
      </c>
      <c r="H434">
        <f>IFERROR(VALUE('T12 Input'!I445),0)</f>
        <v/>
      </c>
      <c r="I434">
        <f>IFERROR(VALUE('T12 Input'!J445),0)</f>
        <v/>
      </c>
      <c r="J434">
        <f>IFERROR(VALUE('T12 Input'!K445),0)</f>
        <v/>
      </c>
      <c r="K434">
        <f>IFERROR(VALUE('T12 Input'!L445),0)</f>
        <v/>
      </c>
      <c r="L434">
        <f>IFERROR(VALUE('T12 Input'!M445),0)</f>
        <v/>
      </c>
      <c r="M434">
        <f>IFERROR(VALUE('T12 Input'!N445),0)</f>
        <v/>
      </c>
      <c r="N434">
        <f>IFERROR(INDEX(DescMap_Label,MATCH(A434,DescMap_Description,0)),"")</f>
        <v/>
      </c>
    </row>
    <row r="435" ht="15" customHeight="1" s="199">
      <c r="A435">
        <f>IFERROR(TRIM('T12 Input'!B446),)</f>
        <v/>
      </c>
      <c r="B435">
        <f>IFERROR(VALUE('T12 Input'!C446),0)</f>
        <v/>
      </c>
      <c r="C435">
        <f>IFERROR(VALUE('T12 Input'!D446),0)</f>
        <v/>
      </c>
      <c r="D435">
        <f>IFERROR(VALUE('T12 Input'!E446),0)</f>
        <v/>
      </c>
      <c r="E435">
        <f>IFERROR(VALUE('T12 Input'!F446),0)</f>
        <v/>
      </c>
      <c r="F435">
        <f>IFERROR(VALUE('T12 Input'!G446),0)</f>
        <v/>
      </c>
      <c r="G435">
        <f>IFERROR(VALUE('T12 Input'!H446),0)</f>
        <v/>
      </c>
      <c r="H435">
        <f>IFERROR(VALUE('T12 Input'!I446),0)</f>
        <v/>
      </c>
      <c r="I435">
        <f>IFERROR(VALUE('T12 Input'!J446),0)</f>
        <v/>
      </c>
      <c r="J435">
        <f>IFERROR(VALUE('T12 Input'!K446),0)</f>
        <v/>
      </c>
      <c r="K435">
        <f>IFERROR(VALUE('T12 Input'!L446),0)</f>
        <v/>
      </c>
      <c r="L435">
        <f>IFERROR(VALUE('T12 Input'!M446),0)</f>
        <v/>
      </c>
      <c r="M435">
        <f>IFERROR(VALUE('T12 Input'!N446),0)</f>
        <v/>
      </c>
      <c r="N435">
        <f>IFERROR(INDEX(DescMap_Label,MATCH(A435,DescMap_Description,0)),"")</f>
        <v/>
      </c>
    </row>
    <row r="436" ht="15" customHeight="1" s="199">
      <c r="A436">
        <f>IFERROR(TRIM('T12 Input'!B447),)</f>
        <v/>
      </c>
      <c r="B436">
        <f>IFERROR(VALUE('T12 Input'!C447),0)</f>
        <v/>
      </c>
      <c r="C436">
        <f>IFERROR(VALUE('T12 Input'!D447),0)</f>
        <v/>
      </c>
      <c r="D436">
        <f>IFERROR(VALUE('T12 Input'!E447),0)</f>
        <v/>
      </c>
      <c r="E436">
        <f>IFERROR(VALUE('T12 Input'!F447),0)</f>
        <v/>
      </c>
      <c r="F436">
        <f>IFERROR(VALUE('T12 Input'!G447),0)</f>
        <v/>
      </c>
      <c r="G436">
        <f>IFERROR(VALUE('T12 Input'!H447),0)</f>
        <v/>
      </c>
      <c r="H436">
        <f>IFERROR(VALUE('T12 Input'!I447),0)</f>
        <v/>
      </c>
      <c r="I436">
        <f>IFERROR(VALUE('T12 Input'!J447),0)</f>
        <v/>
      </c>
      <c r="J436">
        <f>IFERROR(VALUE('T12 Input'!K447),0)</f>
        <v/>
      </c>
      <c r="K436">
        <f>IFERROR(VALUE('T12 Input'!L447),0)</f>
        <v/>
      </c>
      <c r="L436">
        <f>IFERROR(VALUE('T12 Input'!M447),0)</f>
        <v/>
      </c>
      <c r="M436">
        <f>IFERROR(VALUE('T12 Input'!N447),0)</f>
        <v/>
      </c>
      <c r="N436">
        <f>IFERROR(INDEX(DescMap_Label,MATCH(A436,DescMap_Description,0)),"")</f>
        <v/>
      </c>
    </row>
    <row r="437" ht="15" customHeight="1" s="199">
      <c r="A437">
        <f>IFERROR(TRIM('T12 Input'!B448),)</f>
        <v/>
      </c>
      <c r="B437">
        <f>IFERROR(VALUE('T12 Input'!C448),0)</f>
        <v/>
      </c>
      <c r="C437">
        <f>IFERROR(VALUE('T12 Input'!D448),0)</f>
        <v/>
      </c>
      <c r="D437">
        <f>IFERROR(VALUE('T12 Input'!E448),0)</f>
        <v/>
      </c>
      <c r="E437">
        <f>IFERROR(VALUE('T12 Input'!F448),0)</f>
        <v/>
      </c>
      <c r="F437">
        <f>IFERROR(VALUE('T12 Input'!G448),0)</f>
        <v/>
      </c>
      <c r="G437">
        <f>IFERROR(VALUE('T12 Input'!H448),0)</f>
        <v/>
      </c>
      <c r="H437">
        <f>IFERROR(VALUE('T12 Input'!I448),0)</f>
        <v/>
      </c>
      <c r="I437">
        <f>IFERROR(VALUE('T12 Input'!J448),0)</f>
        <v/>
      </c>
      <c r="J437">
        <f>IFERROR(VALUE('T12 Input'!K448),0)</f>
        <v/>
      </c>
      <c r="K437">
        <f>IFERROR(VALUE('T12 Input'!L448),0)</f>
        <v/>
      </c>
      <c r="L437">
        <f>IFERROR(VALUE('T12 Input'!M448),0)</f>
        <v/>
      </c>
      <c r="M437">
        <f>IFERROR(VALUE('T12 Input'!N448),0)</f>
        <v/>
      </c>
      <c r="N437">
        <f>IFERROR(INDEX(DescMap_Label,MATCH(A437,DescMap_Description,0)),"")</f>
        <v/>
      </c>
    </row>
    <row r="438" ht="15" customHeight="1" s="199">
      <c r="A438">
        <f>IFERROR(TRIM('T12 Input'!B449),)</f>
        <v/>
      </c>
      <c r="B438">
        <f>IFERROR(VALUE('T12 Input'!C449),0)</f>
        <v/>
      </c>
      <c r="C438">
        <f>IFERROR(VALUE('T12 Input'!D449),0)</f>
        <v/>
      </c>
      <c r="D438">
        <f>IFERROR(VALUE('T12 Input'!E449),0)</f>
        <v/>
      </c>
      <c r="E438">
        <f>IFERROR(VALUE('T12 Input'!F449),0)</f>
        <v/>
      </c>
      <c r="F438">
        <f>IFERROR(VALUE('T12 Input'!G449),0)</f>
        <v/>
      </c>
      <c r="G438">
        <f>IFERROR(VALUE('T12 Input'!H449),0)</f>
        <v/>
      </c>
      <c r="H438">
        <f>IFERROR(VALUE('T12 Input'!I449),0)</f>
        <v/>
      </c>
      <c r="I438">
        <f>IFERROR(VALUE('T12 Input'!J449),0)</f>
        <v/>
      </c>
      <c r="J438">
        <f>IFERROR(VALUE('T12 Input'!K449),0)</f>
        <v/>
      </c>
      <c r="K438">
        <f>IFERROR(VALUE('T12 Input'!L449),0)</f>
        <v/>
      </c>
      <c r="L438">
        <f>IFERROR(VALUE('T12 Input'!M449),0)</f>
        <v/>
      </c>
      <c r="M438">
        <f>IFERROR(VALUE('T12 Input'!N449),0)</f>
        <v/>
      </c>
      <c r="N438">
        <f>IFERROR(INDEX(DescMap_Label,MATCH(A438,DescMap_Description,0)),"")</f>
        <v/>
      </c>
    </row>
    <row r="439" ht="15" customHeight="1" s="199">
      <c r="A439">
        <f>IFERROR(TRIM('T12 Input'!B450),)</f>
        <v/>
      </c>
      <c r="B439">
        <f>IFERROR(VALUE('T12 Input'!C450),0)</f>
        <v/>
      </c>
      <c r="C439">
        <f>IFERROR(VALUE('T12 Input'!D450),0)</f>
        <v/>
      </c>
      <c r="D439">
        <f>IFERROR(VALUE('T12 Input'!E450),0)</f>
        <v/>
      </c>
      <c r="E439">
        <f>IFERROR(VALUE('T12 Input'!F450),0)</f>
        <v/>
      </c>
      <c r="F439">
        <f>IFERROR(VALUE('T12 Input'!G450),0)</f>
        <v/>
      </c>
      <c r="G439">
        <f>IFERROR(VALUE('T12 Input'!H450),0)</f>
        <v/>
      </c>
      <c r="H439">
        <f>IFERROR(VALUE('T12 Input'!I450),0)</f>
        <v/>
      </c>
      <c r="I439">
        <f>IFERROR(VALUE('T12 Input'!J450),0)</f>
        <v/>
      </c>
      <c r="J439">
        <f>IFERROR(VALUE('T12 Input'!K450),0)</f>
        <v/>
      </c>
      <c r="K439">
        <f>IFERROR(VALUE('T12 Input'!L450),0)</f>
        <v/>
      </c>
      <c r="L439">
        <f>IFERROR(VALUE('T12 Input'!M450),0)</f>
        <v/>
      </c>
      <c r="M439">
        <f>IFERROR(VALUE('T12 Input'!N450),0)</f>
        <v/>
      </c>
      <c r="N439">
        <f>IFERROR(INDEX(DescMap_Label,MATCH(A439,DescMap_Description,0)),"")</f>
        <v/>
      </c>
    </row>
    <row r="440" ht="15" customHeight="1" s="199">
      <c r="A440">
        <f>IFERROR(TRIM('T12 Input'!B451),)</f>
        <v/>
      </c>
      <c r="B440">
        <f>IFERROR(VALUE('T12 Input'!C451),0)</f>
        <v/>
      </c>
      <c r="C440">
        <f>IFERROR(VALUE('T12 Input'!D451),0)</f>
        <v/>
      </c>
      <c r="D440">
        <f>IFERROR(VALUE('T12 Input'!E451),0)</f>
        <v/>
      </c>
      <c r="E440">
        <f>IFERROR(VALUE('T12 Input'!F451),0)</f>
        <v/>
      </c>
      <c r="F440">
        <f>IFERROR(VALUE('T12 Input'!G451),0)</f>
        <v/>
      </c>
      <c r="G440">
        <f>IFERROR(VALUE('T12 Input'!H451),0)</f>
        <v/>
      </c>
      <c r="H440">
        <f>IFERROR(VALUE('T12 Input'!I451),0)</f>
        <v/>
      </c>
      <c r="I440">
        <f>IFERROR(VALUE('T12 Input'!J451),0)</f>
        <v/>
      </c>
      <c r="J440">
        <f>IFERROR(VALUE('T12 Input'!K451),0)</f>
        <v/>
      </c>
      <c r="K440">
        <f>IFERROR(VALUE('T12 Input'!L451),0)</f>
        <v/>
      </c>
      <c r="L440">
        <f>IFERROR(VALUE('T12 Input'!M451),0)</f>
        <v/>
      </c>
      <c r="M440">
        <f>IFERROR(VALUE('T12 Input'!N451),0)</f>
        <v/>
      </c>
      <c r="N440">
        <f>IFERROR(INDEX(DescMap_Label,MATCH(A440,DescMap_Description,0)),"")</f>
        <v/>
      </c>
    </row>
    <row r="441" ht="15" customHeight="1" s="199">
      <c r="A441">
        <f>IFERROR(TRIM('T12 Input'!B452),)</f>
        <v/>
      </c>
      <c r="B441">
        <f>IFERROR(VALUE('T12 Input'!C452),0)</f>
        <v/>
      </c>
      <c r="C441">
        <f>IFERROR(VALUE('T12 Input'!D452),0)</f>
        <v/>
      </c>
      <c r="D441">
        <f>IFERROR(VALUE('T12 Input'!E452),0)</f>
        <v/>
      </c>
      <c r="E441">
        <f>IFERROR(VALUE('T12 Input'!F452),0)</f>
        <v/>
      </c>
      <c r="F441">
        <f>IFERROR(VALUE('T12 Input'!G452),0)</f>
        <v/>
      </c>
      <c r="G441">
        <f>IFERROR(VALUE('T12 Input'!H452),0)</f>
        <v/>
      </c>
      <c r="H441">
        <f>IFERROR(VALUE('T12 Input'!I452),0)</f>
        <v/>
      </c>
      <c r="I441">
        <f>IFERROR(VALUE('T12 Input'!J452),0)</f>
        <v/>
      </c>
      <c r="J441">
        <f>IFERROR(VALUE('T12 Input'!K452),0)</f>
        <v/>
      </c>
      <c r="K441">
        <f>IFERROR(VALUE('T12 Input'!L452),0)</f>
        <v/>
      </c>
      <c r="L441">
        <f>IFERROR(VALUE('T12 Input'!M452),0)</f>
        <v/>
      </c>
      <c r="M441">
        <f>IFERROR(VALUE('T12 Input'!N452),0)</f>
        <v/>
      </c>
      <c r="N441">
        <f>IFERROR(INDEX(DescMap_Label,MATCH(A441,DescMap_Description,0)),"")</f>
        <v/>
      </c>
    </row>
    <row r="442" ht="15" customHeight="1" s="199">
      <c r="A442">
        <f>IFERROR(TRIM('T12 Input'!B453),)</f>
        <v/>
      </c>
      <c r="B442">
        <f>IFERROR(VALUE('T12 Input'!C453),0)</f>
        <v/>
      </c>
      <c r="C442">
        <f>IFERROR(VALUE('T12 Input'!D453),0)</f>
        <v/>
      </c>
      <c r="D442">
        <f>IFERROR(VALUE('T12 Input'!E453),0)</f>
        <v/>
      </c>
      <c r="E442">
        <f>IFERROR(VALUE('T12 Input'!F453),0)</f>
        <v/>
      </c>
      <c r="F442">
        <f>IFERROR(VALUE('T12 Input'!G453),0)</f>
        <v/>
      </c>
      <c r="G442">
        <f>IFERROR(VALUE('T12 Input'!H453),0)</f>
        <v/>
      </c>
      <c r="H442">
        <f>IFERROR(VALUE('T12 Input'!I453),0)</f>
        <v/>
      </c>
      <c r="I442">
        <f>IFERROR(VALUE('T12 Input'!J453),0)</f>
        <v/>
      </c>
      <c r="J442">
        <f>IFERROR(VALUE('T12 Input'!K453),0)</f>
        <v/>
      </c>
      <c r="K442">
        <f>IFERROR(VALUE('T12 Input'!L453),0)</f>
        <v/>
      </c>
      <c r="L442">
        <f>IFERROR(VALUE('T12 Input'!M453),0)</f>
        <v/>
      </c>
      <c r="M442">
        <f>IFERROR(VALUE('T12 Input'!N453),0)</f>
        <v/>
      </c>
      <c r="N442">
        <f>IFERROR(INDEX(DescMap_Label,MATCH(A442,DescMap_Description,0)),"")</f>
        <v/>
      </c>
    </row>
    <row r="443" ht="15" customHeight="1" s="199">
      <c r="A443">
        <f>IFERROR(TRIM('T12 Input'!B454),)</f>
        <v/>
      </c>
      <c r="B443">
        <f>IFERROR(VALUE('T12 Input'!C454),0)</f>
        <v/>
      </c>
      <c r="C443">
        <f>IFERROR(VALUE('T12 Input'!D454),0)</f>
        <v/>
      </c>
      <c r="D443">
        <f>IFERROR(VALUE('T12 Input'!E454),0)</f>
        <v/>
      </c>
      <c r="E443">
        <f>IFERROR(VALUE('T12 Input'!F454),0)</f>
        <v/>
      </c>
      <c r="F443">
        <f>IFERROR(VALUE('T12 Input'!G454),0)</f>
        <v/>
      </c>
      <c r="G443">
        <f>IFERROR(VALUE('T12 Input'!H454),0)</f>
        <v/>
      </c>
      <c r="H443">
        <f>IFERROR(VALUE('T12 Input'!I454),0)</f>
        <v/>
      </c>
      <c r="I443">
        <f>IFERROR(VALUE('T12 Input'!J454),0)</f>
        <v/>
      </c>
      <c r="J443">
        <f>IFERROR(VALUE('T12 Input'!K454),0)</f>
        <v/>
      </c>
      <c r="K443">
        <f>IFERROR(VALUE('T12 Input'!L454),0)</f>
        <v/>
      </c>
      <c r="L443">
        <f>IFERROR(VALUE('T12 Input'!M454),0)</f>
        <v/>
      </c>
      <c r="M443">
        <f>IFERROR(VALUE('T12 Input'!N454),0)</f>
        <v/>
      </c>
      <c r="N443">
        <f>IFERROR(INDEX(DescMap_Label,MATCH(A443,DescMap_Description,0)),"")</f>
        <v/>
      </c>
    </row>
    <row r="444" ht="15" customHeight="1" s="199">
      <c r="A444">
        <f>IFERROR(TRIM('T12 Input'!B455),)</f>
        <v/>
      </c>
      <c r="B444">
        <f>IFERROR(VALUE('T12 Input'!C455),0)</f>
        <v/>
      </c>
      <c r="C444">
        <f>IFERROR(VALUE('T12 Input'!D455),0)</f>
        <v/>
      </c>
      <c r="D444">
        <f>IFERROR(VALUE('T12 Input'!E455),0)</f>
        <v/>
      </c>
      <c r="E444">
        <f>IFERROR(VALUE('T12 Input'!F455),0)</f>
        <v/>
      </c>
      <c r="F444">
        <f>IFERROR(VALUE('T12 Input'!G455),0)</f>
        <v/>
      </c>
      <c r="G444">
        <f>IFERROR(VALUE('T12 Input'!H455),0)</f>
        <v/>
      </c>
      <c r="H444">
        <f>IFERROR(VALUE('T12 Input'!I455),0)</f>
        <v/>
      </c>
      <c r="I444">
        <f>IFERROR(VALUE('T12 Input'!J455),0)</f>
        <v/>
      </c>
      <c r="J444">
        <f>IFERROR(VALUE('T12 Input'!K455),0)</f>
        <v/>
      </c>
      <c r="K444">
        <f>IFERROR(VALUE('T12 Input'!L455),0)</f>
        <v/>
      </c>
      <c r="L444">
        <f>IFERROR(VALUE('T12 Input'!M455),0)</f>
        <v/>
      </c>
      <c r="M444">
        <f>IFERROR(VALUE('T12 Input'!N455),0)</f>
        <v/>
      </c>
      <c r="N444">
        <f>IFERROR(INDEX(DescMap_Label,MATCH(A444,DescMap_Description,0)),"")</f>
        <v/>
      </c>
    </row>
    <row r="445" ht="15" customHeight="1" s="199">
      <c r="A445">
        <f>IFERROR(TRIM('T12 Input'!B456),)</f>
        <v/>
      </c>
      <c r="B445">
        <f>IFERROR(VALUE('T12 Input'!C456),0)</f>
        <v/>
      </c>
      <c r="C445">
        <f>IFERROR(VALUE('T12 Input'!D456),0)</f>
        <v/>
      </c>
      <c r="D445">
        <f>IFERROR(VALUE('T12 Input'!E456),0)</f>
        <v/>
      </c>
      <c r="E445">
        <f>IFERROR(VALUE('T12 Input'!F456),0)</f>
        <v/>
      </c>
      <c r="F445">
        <f>IFERROR(VALUE('T12 Input'!G456),0)</f>
        <v/>
      </c>
      <c r="G445">
        <f>IFERROR(VALUE('T12 Input'!H456),0)</f>
        <v/>
      </c>
      <c r="H445">
        <f>IFERROR(VALUE('T12 Input'!I456),0)</f>
        <v/>
      </c>
      <c r="I445">
        <f>IFERROR(VALUE('T12 Input'!J456),0)</f>
        <v/>
      </c>
      <c r="J445">
        <f>IFERROR(VALUE('T12 Input'!K456),0)</f>
        <v/>
      </c>
      <c r="K445">
        <f>IFERROR(VALUE('T12 Input'!L456),0)</f>
        <v/>
      </c>
      <c r="L445">
        <f>IFERROR(VALUE('T12 Input'!M456),0)</f>
        <v/>
      </c>
      <c r="M445">
        <f>IFERROR(VALUE('T12 Input'!N456),0)</f>
        <v/>
      </c>
      <c r="N445">
        <f>IFERROR(INDEX(DescMap_Label,MATCH(A445,DescMap_Description,0)),"")</f>
        <v/>
      </c>
    </row>
    <row r="446" ht="15" customHeight="1" s="199">
      <c r="A446">
        <f>IFERROR(TRIM('T12 Input'!B457),)</f>
        <v/>
      </c>
      <c r="B446">
        <f>IFERROR(VALUE('T12 Input'!C457),0)</f>
        <v/>
      </c>
      <c r="C446">
        <f>IFERROR(VALUE('T12 Input'!D457),0)</f>
        <v/>
      </c>
      <c r="D446">
        <f>IFERROR(VALUE('T12 Input'!E457),0)</f>
        <v/>
      </c>
      <c r="E446">
        <f>IFERROR(VALUE('T12 Input'!F457),0)</f>
        <v/>
      </c>
      <c r="F446">
        <f>IFERROR(VALUE('T12 Input'!G457),0)</f>
        <v/>
      </c>
      <c r="G446">
        <f>IFERROR(VALUE('T12 Input'!H457),0)</f>
        <v/>
      </c>
      <c r="H446">
        <f>IFERROR(VALUE('T12 Input'!I457),0)</f>
        <v/>
      </c>
      <c r="I446">
        <f>IFERROR(VALUE('T12 Input'!J457),0)</f>
        <v/>
      </c>
      <c r="J446">
        <f>IFERROR(VALUE('T12 Input'!K457),0)</f>
        <v/>
      </c>
      <c r="K446">
        <f>IFERROR(VALUE('T12 Input'!L457),0)</f>
        <v/>
      </c>
      <c r="L446">
        <f>IFERROR(VALUE('T12 Input'!M457),0)</f>
        <v/>
      </c>
      <c r="M446">
        <f>IFERROR(VALUE('T12 Input'!N457),0)</f>
        <v/>
      </c>
      <c r="N446">
        <f>IFERROR(INDEX(DescMap_Label,MATCH(A446,DescMap_Description,0)),"")</f>
        <v/>
      </c>
    </row>
    <row r="447" ht="15" customHeight="1" s="199">
      <c r="A447">
        <f>IFERROR(TRIM('T12 Input'!B458),)</f>
        <v/>
      </c>
      <c r="B447">
        <f>IFERROR(VALUE('T12 Input'!C458),0)</f>
        <v/>
      </c>
      <c r="C447">
        <f>IFERROR(VALUE('T12 Input'!D458),0)</f>
        <v/>
      </c>
      <c r="D447">
        <f>IFERROR(VALUE('T12 Input'!E458),0)</f>
        <v/>
      </c>
      <c r="E447">
        <f>IFERROR(VALUE('T12 Input'!F458),0)</f>
        <v/>
      </c>
      <c r="F447">
        <f>IFERROR(VALUE('T12 Input'!G458),0)</f>
        <v/>
      </c>
      <c r="G447">
        <f>IFERROR(VALUE('T12 Input'!H458),0)</f>
        <v/>
      </c>
      <c r="H447">
        <f>IFERROR(VALUE('T12 Input'!I458),0)</f>
        <v/>
      </c>
      <c r="I447">
        <f>IFERROR(VALUE('T12 Input'!J458),0)</f>
        <v/>
      </c>
      <c r="J447">
        <f>IFERROR(VALUE('T12 Input'!K458),0)</f>
        <v/>
      </c>
      <c r="K447">
        <f>IFERROR(VALUE('T12 Input'!L458),0)</f>
        <v/>
      </c>
      <c r="L447">
        <f>IFERROR(VALUE('T12 Input'!M458),0)</f>
        <v/>
      </c>
      <c r="M447">
        <f>IFERROR(VALUE('T12 Input'!N458),0)</f>
        <v/>
      </c>
      <c r="N447">
        <f>IFERROR(INDEX(DescMap_Label,MATCH(A447,DescMap_Description,0)),"")</f>
        <v/>
      </c>
    </row>
    <row r="448" ht="15" customHeight="1" s="199">
      <c r="A448">
        <f>IFERROR(TRIM('T12 Input'!B459),)</f>
        <v/>
      </c>
      <c r="B448">
        <f>IFERROR(VALUE('T12 Input'!C459),0)</f>
        <v/>
      </c>
      <c r="C448">
        <f>IFERROR(VALUE('T12 Input'!D459),0)</f>
        <v/>
      </c>
      <c r="D448">
        <f>IFERROR(VALUE('T12 Input'!E459),0)</f>
        <v/>
      </c>
      <c r="E448">
        <f>IFERROR(VALUE('T12 Input'!F459),0)</f>
        <v/>
      </c>
      <c r="F448">
        <f>IFERROR(VALUE('T12 Input'!G459),0)</f>
        <v/>
      </c>
      <c r="G448">
        <f>IFERROR(VALUE('T12 Input'!H459),0)</f>
        <v/>
      </c>
      <c r="H448">
        <f>IFERROR(VALUE('T12 Input'!I459),0)</f>
        <v/>
      </c>
      <c r="I448">
        <f>IFERROR(VALUE('T12 Input'!J459),0)</f>
        <v/>
      </c>
      <c r="J448">
        <f>IFERROR(VALUE('T12 Input'!K459),0)</f>
        <v/>
      </c>
      <c r="K448">
        <f>IFERROR(VALUE('T12 Input'!L459),0)</f>
        <v/>
      </c>
      <c r="L448">
        <f>IFERROR(VALUE('T12 Input'!M459),0)</f>
        <v/>
      </c>
      <c r="M448">
        <f>IFERROR(VALUE('T12 Input'!N459),0)</f>
        <v/>
      </c>
      <c r="N448">
        <f>IFERROR(INDEX(DescMap_Label,MATCH(A448,DescMap_Description,0)),"")</f>
        <v/>
      </c>
    </row>
    <row r="449" ht="15" customHeight="1" s="199">
      <c r="A449">
        <f>IFERROR(TRIM('T12 Input'!B460),)</f>
        <v/>
      </c>
      <c r="B449">
        <f>IFERROR(VALUE('T12 Input'!C460),0)</f>
        <v/>
      </c>
      <c r="C449">
        <f>IFERROR(VALUE('T12 Input'!D460),0)</f>
        <v/>
      </c>
      <c r="D449">
        <f>IFERROR(VALUE('T12 Input'!E460),0)</f>
        <v/>
      </c>
      <c r="E449">
        <f>IFERROR(VALUE('T12 Input'!F460),0)</f>
        <v/>
      </c>
      <c r="F449">
        <f>IFERROR(VALUE('T12 Input'!G460),0)</f>
        <v/>
      </c>
      <c r="G449">
        <f>IFERROR(VALUE('T12 Input'!H460),0)</f>
        <v/>
      </c>
      <c r="H449">
        <f>IFERROR(VALUE('T12 Input'!I460),0)</f>
        <v/>
      </c>
      <c r="I449">
        <f>IFERROR(VALUE('T12 Input'!J460),0)</f>
        <v/>
      </c>
      <c r="J449">
        <f>IFERROR(VALUE('T12 Input'!K460),0)</f>
        <v/>
      </c>
      <c r="K449">
        <f>IFERROR(VALUE('T12 Input'!L460),0)</f>
        <v/>
      </c>
      <c r="L449">
        <f>IFERROR(VALUE('T12 Input'!M460),0)</f>
        <v/>
      </c>
      <c r="M449">
        <f>IFERROR(VALUE('T12 Input'!N460),0)</f>
        <v/>
      </c>
      <c r="N449">
        <f>IFERROR(INDEX(DescMap_Label,MATCH(A449,DescMap_Description,0)),"")</f>
        <v/>
      </c>
    </row>
    <row r="450" ht="15" customHeight="1" s="199">
      <c r="A450">
        <f>IFERROR(TRIM('T12 Input'!B461),)</f>
        <v/>
      </c>
      <c r="B450">
        <f>IFERROR(VALUE('T12 Input'!C461),0)</f>
        <v/>
      </c>
      <c r="C450">
        <f>IFERROR(VALUE('T12 Input'!D461),0)</f>
        <v/>
      </c>
      <c r="D450">
        <f>IFERROR(VALUE('T12 Input'!E461),0)</f>
        <v/>
      </c>
      <c r="E450">
        <f>IFERROR(VALUE('T12 Input'!F461),0)</f>
        <v/>
      </c>
      <c r="F450">
        <f>IFERROR(VALUE('T12 Input'!G461),0)</f>
        <v/>
      </c>
      <c r="G450">
        <f>IFERROR(VALUE('T12 Input'!H461),0)</f>
        <v/>
      </c>
      <c r="H450">
        <f>IFERROR(VALUE('T12 Input'!I461),0)</f>
        <v/>
      </c>
      <c r="I450">
        <f>IFERROR(VALUE('T12 Input'!J461),0)</f>
        <v/>
      </c>
      <c r="J450">
        <f>IFERROR(VALUE('T12 Input'!K461),0)</f>
        <v/>
      </c>
      <c r="K450">
        <f>IFERROR(VALUE('T12 Input'!L461),0)</f>
        <v/>
      </c>
      <c r="L450">
        <f>IFERROR(VALUE('T12 Input'!M461),0)</f>
        <v/>
      </c>
      <c r="M450">
        <f>IFERROR(VALUE('T12 Input'!N461),0)</f>
        <v/>
      </c>
      <c r="N450">
        <f>IFERROR(INDEX(DescMap_Label,MATCH(A450,DescMap_Description,0)),"")</f>
        <v/>
      </c>
    </row>
    <row r="451" ht="15" customHeight="1" s="199">
      <c r="A451">
        <f>IFERROR(TRIM('T12 Input'!B462),)</f>
        <v/>
      </c>
      <c r="B451">
        <f>IFERROR(VALUE('T12 Input'!C462),0)</f>
        <v/>
      </c>
      <c r="C451">
        <f>IFERROR(VALUE('T12 Input'!D462),0)</f>
        <v/>
      </c>
      <c r="D451">
        <f>IFERROR(VALUE('T12 Input'!E462),0)</f>
        <v/>
      </c>
      <c r="E451">
        <f>IFERROR(VALUE('T12 Input'!F462),0)</f>
        <v/>
      </c>
      <c r="F451">
        <f>IFERROR(VALUE('T12 Input'!G462),0)</f>
        <v/>
      </c>
      <c r="G451">
        <f>IFERROR(VALUE('T12 Input'!H462),0)</f>
        <v/>
      </c>
      <c r="H451">
        <f>IFERROR(VALUE('T12 Input'!I462),0)</f>
        <v/>
      </c>
      <c r="I451">
        <f>IFERROR(VALUE('T12 Input'!J462),0)</f>
        <v/>
      </c>
      <c r="J451">
        <f>IFERROR(VALUE('T12 Input'!K462),0)</f>
        <v/>
      </c>
      <c r="K451">
        <f>IFERROR(VALUE('T12 Input'!L462),0)</f>
        <v/>
      </c>
      <c r="L451">
        <f>IFERROR(VALUE('T12 Input'!M462),0)</f>
        <v/>
      </c>
      <c r="M451">
        <f>IFERROR(VALUE('T12 Input'!N462),0)</f>
        <v/>
      </c>
      <c r="N451">
        <f>IFERROR(INDEX(DescMap_Label,MATCH(A451,DescMap_Description,0)),"")</f>
        <v/>
      </c>
    </row>
    <row r="452" ht="15" customHeight="1" s="199">
      <c r="A452">
        <f>IFERROR(TRIM('T12 Input'!B463),)</f>
        <v/>
      </c>
      <c r="B452">
        <f>IFERROR(VALUE('T12 Input'!C463),0)</f>
        <v/>
      </c>
      <c r="C452">
        <f>IFERROR(VALUE('T12 Input'!D463),0)</f>
        <v/>
      </c>
      <c r="D452">
        <f>IFERROR(VALUE('T12 Input'!E463),0)</f>
        <v/>
      </c>
      <c r="E452">
        <f>IFERROR(VALUE('T12 Input'!F463),0)</f>
        <v/>
      </c>
      <c r="F452">
        <f>IFERROR(VALUE('T12 Input'!G463),0)</f>
        <v/>
      </c>
      <c r="G452">
        <f>IFERROR(VALUE('T12 Input'!H463),0)</f>
        <v/>
      </c>
      <c r="H452">
        <f>IFERROR(VALUE('T12 Input'!I463),0)</f>
        <v/>
      </c>
      <c r="I452">
        <f>IFERROR(VALUE('T12 Input'!J463),0)</f>
        <v/>
      </c>
      <c r="J452">
        <f>IFERROR(VALUE('T12 Input'!K463),0)</f>
        <v/>
      </c>
      <c r="K452">
        <f>IFERROR(VALUE('T12 Input'!L463),0)</f>
        <v/>
      </c>
      <c r="L452">
        <f>IFERROR(VALUE('T12 Input'!M463),0)</f>
        <v/>
      </c>
      <c r="M452">
        <f>IFERROR(VALUE('T12 Input'!N463),0)</f>
        <v/>
      </c>
      <c r="N452">
        <f>IFERROR(INDEX(DescMap_Label,MATCH(A452,DescMap_Description,0)),"")</f>
        <v/>
      </c>
    </row>
    <row r="453" ht="15" customHeight="1" s="199">
      <c r="A453">
        <f>IFERROR(TRIM('T12 Input'!B464),)</f>
        <v/>
      </c>
      <c r="B453">
        <f>IFERROR(VALUE('T12 Input'!C464),0)</f>
        <v/>
      </c>
      <c r="C453">
        <f>IFERROR(VALUE('T12 Input'!D464),0)</f>
        <v/>
      </c>
      <c r="D453">
        <f>IFERROR(VALUE('T12 Input'!E464),0)</f>
        <v/>
      </c>
      <c r="E453">
        <f>IFERROR(VALUE('T12 Input'!F464),0)</f>
        <v/>
      </c>
      <c r="F453">
        <f>IFERROR(VALUE('T12 Input'!G464),0)</f>
        <v/>
      </c>
      <c r="G453">
        <f>IFERROR(VALUE('T12 Input'!H464),0)</f>
        <v/>
      </c>
      <c r="H453">
        <f>IFERROR(VALUE('T12 Input'!I464),0)</f>
        <v/>
      </c>
      <c r="I453">
        <f>IFERROR(VALUE('T12 Input'!J464),0)</f>
        <v/>
      </c>
      <c r="J453">
        <f>IFERROR(VALUE('T12 Input'!K464),0)</f>
        <v/>
      </c>
      <c r="K453">
        <f>IFERROR(VALUE('T12 Input'!L464),0)</f>
        <v/>
      </c>
      <c r="L453">
        <f>IFERROR(VALUE('T12 Input'!M464),0)</f>
        <v/>
      </c>
      <c r="M453">
        <f>IFERROR(VALUE('T12 Input'!N464),0)</f>
        <v/>
      </c>
      <c r="N453">
        <f>IFERROR(INDEX(DescMap_Label,MATCH(A453,DescMap_Description,0)),"")</f>
        <v/>
      </c>
    </row>
    <row r="454" ht="15" customHeight="1" s="199">
      <c r="A454">
        <f>IFERROR(TRIM('T12 Input'!B465),)</f>
        <v/>
      </c>
      <c r="B454">
        <f>IFERROR(VALUE('T12 Input'!C465),0)</f>
        <v/>
      </c>
      <c r="C454">
        <f>IFERROR(VALUE('T12 Input'!D465),0)</f>
        <v/>
      </c>
      <c r="D454">
        <f>IFERROR(VALUE('T12 Input'!E465),0)</f>
        <v/>
      </c>
      <c r="E454">
        <f>IFERROR(VALUE('T12 Input'!F465),0)</f>
        <v/>
      </c>
      <c r="F454">
        <f>IFERROR(VALUE('T12 Input'!G465),0)</f>
        <v/>
      </c>
      <c r="G454">
        <f>IFERROR(VALUE('T12 Input'!H465),0)</f>
        <v/>
      </c>
      <c r="H454">
        <f>IFERROR(VALUE('T12 Input'!I465),0)</f>
        <v/>
      </c>
      <c r="I454">
        <f>IFERROR(VALUE('T12 Input'!J465),0)</f>
        <v/>
      </c>
      <c r="J454">
        <f>IFERROR(VALUE('T12 Input'!K465),0)</f>
        <v/>
      </c>
      <c r="K454">
        <f>IFERROR(VALUE('T12 Input'!L465),0)</f>
        <v/>
      </c>
      <c r="L454">
        <f>IFERROR(VALUE('T12 Input'!M465),0)</f>
        <v/>
      </c>
      <c r="M454">
        <f>IFERROR(VALUE('T12 Input'!N465),0)</f>
        <v/>
      </c>
      <c r="N454">
        <f>IFERROR(INDEX(DescMap_Label,MATCH(A454,DescMap_Description,0)),"")</f>
        <v/>
      </c>
    </row>
    <row r="455" ht="15" customHeight="1" s="199">
      <c r="A455">
        <f>IFERROR(TRIM('T12 Input'!B466),)</f>
        <v/>
      </c>
      <c r="B455">
        <f>IFERROR(VALUE('T12 Input'!C466),0)</f>
        <v/>
      </c>
      <c r="C455">
        <f>IFERROR(VALUE('T12 Input'!D466),0)</f>
        <v/>
      </c>
      <c r="D455">
        <f>IFERROR(VALUE('T12 Input'!E466),0)</f>
        <v/>
      </c>
      <c r="E455">
        <f>IFERROR(VALUE('T12 Input'!F466),0)</f>
        <v/>
      </c>
      <c r="F455">
        <f>IFERROR(VALUE('T12 Input'!G466),0)</f>
        <v/>
      </c>
      <c r="G455">
        <f>IFERROR(VALUE('T12 Input'!H466),0)</f>
        <v/>
      </c>
      <c r="H455">
        <f>IFERROR(VALUE('T12 Input'!I466),0)</f>
        <v/>
      </c>
      <c r="I455">
        <f>IFERROR(VALUE('T12 Input'!J466),0)</f>
        <v/>
      </c>
      <c r="J455">
        <f>IFERROR(VALUE('T12 Input'!K466),0)</f>
        <v/>
      </c>
      <c r="K455">
        <f>IFERROR(VALUE('T12 Input'!L466),0)</f>
        <v/>
      </c>
      <c r="L455">
        <f>IFERROR(VALUE('T12 Input'!M466),0)</f>
        <v/>
      </c>
      <c r="M455">
        <f>IFERROR(VALUE('T12 Input'!N466),0)</f>
        <v/>
      </c>
      <c r="N455">
        <f>IFERROR(INDEX(DescMap_Label,MATCH(A455,DescMap_Description,0)),"")</f>
        <v/>
      </c>
    </row>
    <row r="456" ht="15" customHeight="1" s="199">
      <c r="A456">
        <f>IFERROR(TRIM('T12 Input'!B467),)</f>
        <v/>
      </c>
      <c r="B456">
        <f>IFERROR(VALUE('T12 Input'!C467),0)</f>
        <v/>
      </c>
      <c r="C456">
        <f>IFERROR(VALUE('T12 Input'!D467),0)</f>
        <v/>
      </c>
      <c r="D456">
        <f>IFERROR(VALUE('T12 Input'!E467),0)</f>
        <v/>
      </c>
      <c r="E456">
        <f>IFERROR(VALUE('T12 Input'!F467),0)</f>
        <v/>
      </c>
      <c r="F456">
        <f>IFERROR(VALUE('T12 Input'!G467),0)</f>
        <v/>
      </c>
      <c r="G456">
        <f>IFERROR(VALUE('T12 Input'!H467),0)</f>
        <v/>
      </c>
      <c r="H456">
        <f>IFERROR(VALUE('T12 Input'!I467),0)</f>
        <v/>
      </c>
      <c r="I456">
        <f>IFERROR(VALUE('T12 Input'!J467),0)</f>
        <v/>
      </c>
      <c r="J456">
        <f>IFERROR(VALUE('T12 Input'!K467),0)</f>
        <v/>
      </c>
      <c r="K456">
        <f>IFERROR(VALUE('T12 Input'!L467),0)</f>
        <v/>
      </c>
      <c r="L456">
        <f>IFERROR(VALUE('T12 Input'!M467),0)</f>
        <v/>
      </c>
      <c r="M456">
        <f>IFERROR(VALUE('T12 Input'!N467),0)</f>
        <v/>
      </c>
      <c r="N456">
        <f>IFERROR(INDEX(DescMap_Label,MATCH(A456,DescMap_Description,0)),"")</f>
        <v/>
      </c>
    </row>
    <row r="457" ht="15" customHeight="1" s="199">
      <c r="A457">
        <f>IFERROR(TRIM('T12 Input'!B468),)</f>
        <v/>
      </c>
      <c r="B457">
        <f>IFERROR(VALUE('T12 Input'!C468),0)</f>
        <v/>
      </c>
      <c r="C457">
        <f>IFERROR(VALUE('T12 Input'!D468),0)</f>
        <v/>
      </c>
      <c r="D457">
        <f>IFERROR(VALUE('T12 Input'!E468),0)</f>
        <v/>
      </c>
      <c r="E457">
        <f>IFERROR(VALUE('T12 Input'!F468),0)</f>
        <v/>
      </c>
      <c r="F457">
        <f>IFERROR(VALUE('T12 Input'!G468),0)</f>
        <v/>
      </c>
      <c r="G457">
        <f>IFERROR(VALUE('T12 Input'!H468),0)</f>
        <v/>
      </c>
      <c r="H457">
        <f>IFERROR(VALUE('T12 Input'!I468),0)</f>
        <v/>
      </c>
      <c r="I457">
        <f>IFERROR(VALUE('T12 Input'!J468),0)</f>
        <v/>
      </c>
      <c r="J457">
        <f>IFERROR(VALUE('T12 Input'!K468),0)</f>
        <v/>
      </c>
      <c r="K457">
        <f>IFERROR(VALUE('T12 Input'!L468),0)</f>
        <v/>
      </c>
      <c r="L457">
        <f>IFERROR(VALUE('T12 Input'!M468),0)</f>
        <v/>
      </c>
      <c r="M457">
        <f>IFERROR(VALUE('T12 Input'!N468),0)</f>
        <v/>
      </c>
      <c r="N457">
        <f>IFERROR(INDEX(DescMap_Label,MATCH(A457,DescMap_Description,0)),"")</f>
        <v/>
      </c>
    </row>
    <row r="458" ht="15" customHeight="1" s="199">
      <c r="A458">
        <f>IFERROR(TRIM('T12 Input'!B469),)</f>
        <v/>
      </c>
      <c r="B458">
        <f>IFERROR(VALUE('T12 Input'!C469),0)</f>
        <v/>
      </c>
      <c r="C458">
        <f>IFERROR(VALUE('T12 Input'!D469),0)</f>
        <v/>
      </c>
      <c r="D458">
        <f>IFERROR(VALUE('T12 Input'!E469),0)</f>
        <v/>
      </c>
      <c r="E458">
        <f>IFERROR(VALUE('T12 Input'!F469),0)</f>
        <v/>
      </c>
      <c r="F458">
        <f>IFERROR(VALUE('T12 Input'!G469),0)</f>
        <v/>
      </c>
      <c r="G458">
        <f>IFERROR(VALUE('T12 Input'!H469),0)</f>
        <v/>
      </c>
      <c r="H458">
        <f>IFERROR(VALUE('T12 Input'!I469),0)</f>
        <v/>
      </c>
      <c r="I458">
        <f>IFERROR(VALUE('T12 Input'!J469),0)</f>
        <v/>
      </c>
      <c r="J458">
        <f>IFERROR(VALUE('T12 Input'!K469),0)</f>
        <v/>
      </c>
      <c r="K458">
        <f>IFERROR(VALUE('T12 Input'!L469),0)</f>
        <v/>
      </c>
      <c r="L458">
        <f>IFERROR(VALUE('T12 Input'!M469),0)</f>
        <v/>
      </c>
      <c r="M458">
        <f>IFERROR(VALUE('T12 Input'!N469),0)</f>
        <v/>
      </c>
      <c r="N458">
        <f>IFERROR(INDEX(DescMap_Label,MATCH(A458,DescMap_Description,0)),"")</f>
        <v/>
      </c>
    </row>
    <row r="459" ht="15" customHeight="1" s="199">
      <c r="A459">
        <f>IFERROR(TRIM('T12 Input'!B470),)</f>
        <v/>
      </c>
      <c r="B459">
        <f>IFERROR(VALUE('T12 Input'!C470),0)</f>
        <v/>
      </c>
      <c r="C459">
        <f>IFERROR(VALUE('T12 Input'!D470),0)</f>
        <v/>
      </c>
      <c r="D459">
        <f>IFERROR(VALUE('T12 Input'!E470),0)</f>
        <v/>
      </c>
      <c r="E459">
        <f>IFERROR(VALUE('T12 Input'!F470),0)</f>
        <v/>
      </c>
      <c r="F459">
        <f>IFERROR(VALUE('T12 Input'!G470),0)</f>
        <v/>
      </c>
      <c r="G459">
        <f>IFERROR(VALUE('T12 Input'!H470),0)</f>
        <v/>
      </c>
      <c r="H459">
        <f>IFERROR(VALUE('T12 Input'!I470),0)</f>
        <v/>
      </c>
      <c r="I459">
        <f>IFERROR(VALUE('T12 Input'!J470),0)</f>
        <v/>
      </c>
      <c r="J459">
        <f>IFERROR(VALUE('T12 Input'!K470),0)</f>
        <v/>
      </c>
      <c r="K459">
        <f>IFERROR(VALUE('T12 Input'!L470),0)</f>
        <v/>
      </c>
      <c r="L459">
        <f>IFERROR(VALUE('T12 Input'!M470),0)</f>
        <v/>
      </c>
      <c r="M459">
        <f>IFERROR(VALUE('T12 Input'!N470),0)</f>
        <v/>
      </c>
      <c r="N459">
        <f>IFERROR(INDEX(DescMap_Label,MATCH(A459,DescMap_Description,0)),"")</f>
        <v/>
      </c>
    </row>
    <row r="460" ht="15" customHeight="1" s="199">
      <c r="A460">
        <f>IFERROR(TRIM('T12 Input'!B471),)</f>
        <v/>
      </c>
      <c r="B460">
        <f>IFERROR(VALUE('T12 Input'!C471),0)</f>
        <v/>
      </c>
      <c r="C460">
        <f>IFERROR(VALUE('T12 Input'!D471),0)</f>
        <v/>
      </c>
      <c r="D460">
        <f>IFERROR(VALUE('T12 Input'!E471),0)</f>
        <v/>
      </c>
      <c r="E460">
        <f>IFERROR(VALUE('T12 Input'!F471),0)</f>
        <v/>
      </c>
      <c r="F460">
        <f>IFERROR(VALUE('T12 Input'!G471),0)</f>
        <v/>
      </c>
      <c r="G460">
        <f>IFERROR(VALUE('T12 Input'!H471),0)</f>
        <v/>
      </c>
      <c r="H460">
        <f>IFERROR(VALUE('T12 Input'!I471),0)</f>
        <v/>
      </c>
      <c r="I460">
        <f>IFERROR(VALUE('T12 Input'!J471),0)</f>
        <v/>
      </c>
      <c r="J460">
        <f>IFERROR(VALUE('T12 Input'!K471),0)</f>
        <v/>
      </c>
      <c r="K460">
        <f>IFERROR(VALUE('T12 Input'!L471),0)</f>
        <v/>
      </c>
      <c r="L460">
        <f>IFERROR(VALUE('T12 Input'!M471),0)</f>
        <v/>
      </c>
      <c r="M460">
        <f>IFERROR(VALUE('T12 Input'!N471),0)</f>
        <v/>
      </c>
      <c r="N460">
        <f>IFERROR(INDEX(DescMap_Label,MATCH(A460,DescMap_Description,0)),"")</f>
        <v/>
      </c>
    </row>
    <row r="461" ht="15" customHeight="1" s="199">
      <c r="A461">
        <f>IFERROR(TRIM('T12 Input'!B472),)</f>
        <v/>
      </c>
      <c r="B461">
        <f>IFERROR(VALUE('T12 Input'!C472),0)</f>
        <v/>
      </c>
      <c r="C461">
        <f>IFERROR(VALUE('T12 Input'!D472),0)</f>
        <v/>
      </c>
      <c r="D461">
        <f>IFERROR(VALUE('T12 Input'!E472),0)</f>
        <v/>
      </c>
      <c r="E461">
        <f>IFERROR(VALUE('T12 Input'!F472),0)</f>
        <v/>
      </c>
      <c r="F461">
        <f>IFERROR(VALUE('T12 Input'!G472),0)</f>
        <v/>
      </c>
      <c r="G461">
        <f>IFERROR(VALUE('T12 Input'!H472),0)</f>
        <v/>
      </c>
      <c r="H461">
        <f>IFERROR(VALUE('T12 Input'!I472),0)</f>
        <v/>
      </c>
      <c r="I461">
        <f>IFERROR(VALUE('T12 Input'!J472),0)</f>
        <v/>
      </c>
      <c r="J461">
        <f>IFERROR(VALUE('T12 Input'!K472),0)</f>
        <v/>
      </c>
      <c r="K461">
        <f>IFERROR(VALUE('T12 Input'!L472),0)</f>
        <v/>
      </c>
      <c r="L461">
        <f>IFERROR(VALUE('T12 Input'!M472),0)</f>
        <v/>
      </c>
      <c r="M461">
        <f>IFERROR(VALUE('T12 Input'!N472),0)</f>
        <v/>
      </c>
      <c r="N461">
        <f>IFERROR(INDEX(DescMap_Label,MATCH(A461,DescMap_Description,0)),"")</f>
        <v/>
      </c>
    </row>
    <row r="462" ht="15" customHeight="1" s="199">
      <c r="A462">
        <f>IFERROR(TRIM('T12 Input'!B473),)</f>
        <v/>
      </c>
      <c r="B462">
        <f>IFERROR(VALUE('T12 Input'!C473),0)</f>
        <v/>
      </c>
      <c r="C462">
        <f>IFERROR(VALUE('T12 Input'!D473),0)</f>
        <v/>
      </c>
      <c r="D462">
        <f>IFERROR(VALUE('T12 Input'!E473),0)</f>
        <v/>
      </c>
      <c r="E462">
        <f>IFERROR(VALUE('T12 Input'!F473),0)</f>
        <v/>
      </c>
      <c r="F462">
        <f>IFERROR(VALUE('T12 Input'!G473),0)</f>
        <v/>
      </c>
      <c r="G462">
        <f>IFERROR(VALUE('T12 Input'!H473),0)</f>
        <v/>
      </c>
      <c r="H462">
        <f>IFERROR(VALUE('T12 Input'!I473),0)</f>
        <v/>
      </c>
      <c r="I462">
        <f>IFERROR(VALUE('T12 Input'!J473),0)</f>
        <v/>
      </c>
      <c r="J462">
        <f>IFERROR(VALUE('T12 Input'!K473),0)</f>
        <v/>
      </c>
      <c r="K462">
        <f>IFERROR(VALUE('T12 Input'!L473),0)</f>
        <v/>
      </c>
      <c r="L462">
        <f>IFERROR(VALUE('T12 Input'!M473),0)</f>
        <v/>
      </c>
      <c r="M462">
        <f>IFERROR(VALUE('T12 Input'!N473),0)</f>
        <v/>
      </c>
      <c r="N462">
        <f>IFERROR(INDEX(DescMap_Label,MATCH(A462,DescMap_Description,0)),"")</f>
        <v/>
      </c>
    </row>
    <row r="463" ht="15" customHeight="1" s="199">
      <c r="A463">
        <f>IFERROR(TRIM('T12 Input'!B474),)</f>
        <v/>
      </c>
      <c r="B463">
        <f>IFERROR(VALUE('T12 Input'!C474),0)</f>
        <v/>
      </c>
      <c r="C463">
        <f>IFERROR(VALUE('T12 Input'!D474),0)</f>
        <v/>
      </c>
      <c r="D463">
        <f>IFERROR(VALUE('T12 Input'!E474),0)</f>
        <v/>
      </c>
      <c r="E463">
        <f>IFERROR(VALUE('T12 Input'!F474),0)</f>
        <v/>
      </c>
      <c r="F463">
        <f>IFERROR(VALUE('T12 Input'!G474),0)</f>
        <v/>
      </c>
      <c r="G463">
        <f>IFERROR(VALUE('T12 Input'!H474),0)</f>
        <v/>
      </c>
      <c r="H463">
        <f>IFERROR(VALUE('T12 Input'!I474),0)</f>
        <v/>
      </c>
      <c r="I463">
        <f>IFERROR(VALUE('T12 Input'!J474),0)</f>
        <v/>
      </c>
      <c r="J463">
        <f>IFERROR(VALUE('T12 Input'!K474),0)</f>
        <v/>
      </c>
      <c r="K463">
        <f>IFERROR(VALUE('T12 Input'!L474),0)</f>
        <v/>
      </c>
      <c r="L463">
        <f>IFERROR(VALUE('T12 Input'!M474),0)</f>
        <v/>
      </c>
      <c r="M463">
        <f>IFERROR(VALUE('T12 Input'!N474),0)</f>
        <v/>
      </c>
      <c r="N463">
        <f>IFERROR(INDEX(DescMap_Label,MATCH(A463,DescMap_Description,0)),"")</f>
        <v/>
      </c>
    </row>
    <row r="464" ht="15" customHeight="1" s="199">
      <c r="A464">
        <f>IFERROR(TRIM('T12 Input'!B475),)</f>
        <v/>
      </c>
      <c r="B464">
        <f>IFERROR(VALUE('T12 Input'!C475),0)</f>
        <v/>
      </c>
      <c r="C464">
        <f>IFERROR(VALUE('T12 Input'!D475),0)</f>
        <v/>
      </c>
      <c r="D464">
        <f>IFERROR(VALUE('T12 Input'!E475),0)</f>
        <v/>
      </c>
      <c r="E464">
        <f>IFERROR(VALUE('T12 Input'!F475),0)</f>
        <v/>
      </c>
      <c r="F464">
        <f>IFERROR(VALUE('T12 Input'!G475),0)</f>
        <v/>
      </c>
      <c r="G464">
        <f>IFERROR(VALUE('T12 Input'!H475),0)</f>
        <v/>
      </c>
      <c r="H464">
        <f>IFERROR(VALUE('T12 Input'!I475),0)</f>
        <v/>
      </c>
      <c r="I464">
        <f>IFERROR(VALUE('T12 Input'!J475),0)</f>
        <v/>
      </c>
      <c r="J464">
        <f>IFERROR(VALUE('T12 Input'!K475),0)</f>
        <v/>
      </c>
      <c r="K464">
        <f>IFERROR(VALUE('T12 Input'!L475),0)</f>
        <v/>
      </c>
      <c r="L464">
        <f>IFERROR(VALUE('T12 Input'!M475),0)</f>
        <v/>
      </c>
      <c r="M464">
        <f>IFERROR(VALUE('T12 Input'!N475),0)</f>
        <v/>
      </c>
      <c r="N464">
        <f>IFERROR(INDEX(DescMap_Label,MATCH(A464,DescMap_Description,0)),"")</f>
        <v/>
      </c>
    </row>
    <row r="465" ht="15" customHeight="1" s="199">
      <c r="A465">
        <f>IFERROR(TRIM('T12 Input'!B476),)</f>
        <v/>
      </c>
      <c r="B465">
        <f>IFERROR(VALUE('T12 Input'!C476),0)</f>
        <v/>
      </c>
      <c r="C465">
        <f>IFERROR(VALUE('T12 Input'!D476),0)</f>
        <v/>
      </c>
      <c r="D465">
        <f>IFERROR(VALUE('T12 Input'!E476),0)</f>
        <v/>
      </c>
      <c r="E465">
        <f>IFERROR(VALUE('T12 Input'!F476),0)</f>
        <v/>
      </c>
      <c r="F465">
        <f>IFERROR(VALUE('T12 Input'!G476),0)</f>
        <v/>
      </c>
      <c r="G465">
        <f>IFERROR(VALUE('T12 Input'!H476),0)</f>
        <v/>
      </c>
      <c r="H465">
        <f>IFERROR(VALUE('T12 Input'!I476),0)</f>
        <v/>
      </c>
      <c r="I465">
        <f>IFERROR(VALUE('T12 Input'!J476),0)</f>
        <v/>
      </c>
      <c r="J465">
        <f>IFERROR(VALUE('T12 Input'!K476),0)</f>
        <v/>
      </c>
      <c r="K465">
        <f>IFERROR(VALUE('T12 Input'!L476),0)</f>
        <v/>
      </c>
      <c r="L465">
        <f>IFERROR(VALUE('T12 Input'!M476),0)</f>
        <v/>
      </c>
      <c r="M465">
        <f>IFERROR(VALUE('T12 Input'!N476),0)</f>
        <v/>
      </c>
      <c r="N465">
        <f>IFERROR(INDEX(DescMap_Label,MATCH(A465,DescMap_Description,0)),"")</f>
        <v/>
      </c>
    </row>
    <row r="466" ht="15" customHeight="1" s="199">
      <c r="A466">
        <f>IFERROR(TRIM('T12 Input'!B477),)</f>
        <v/>
      </c>
      <c r="B466">
        <f>IFERROR(VALUE('T12 Input'!C477),0)</f>
        <v/>
      </c>
      <c r="C466">
        <f>IFERROR(VALUE('T12 Input'!D477),0)</f>
        <v/>
      </c>
      <c r="D466">
        <f>IFERROR(VALUE('T12 Input'!E477),0)</f>
        <v/>
      </c>
      <c r="E466">
        <f>IFERROR(VALUE('T12 Input'!F477),0)</f>
        <v/>
      </c>
      <c r="F466">
        <f>IFERROR(VALUE('T12 Input'!G477),0)</f>
        <v/>
      </c>
      <c r="G466">
        <f>IFERROR(VALUE('T12 Input'!H477),0)</f>
        <v/>
      </c>
      <c r="H466">
        <f>IFERROR(VALUE('T12 Input'!I477),0)</f>
        <v/>
      </c>
      <c r="I466">
        <f>IFERROR(VALUE('T12 Input'!J477),0)</f>
        <v/>
      </c>
      <c r="J466">
        <f>IFERROR(VALUE('T12 Input'!K477),0)</f>
        <v/>
      </c>
      <c r="K466">
        <f>IFERROR(VALUE('T12 Input'!L477),0)</f>
        <v/>
      </c>
      <c r="L466">
        <f>IFERROR(VALUE('T12 Input'!M477),0)</f>
        <v/>
      </c>
      <c r="M466">
        <f>IFERROR(VALUE('T12 Input'!N477),0)</f>
        <v/>
      </c>
      <c r="N466">
        <f>IFERROR(INDEX(DescMap_Label,MATCH(A466,DescMap_Description,0)),"")</f>
        <v/>
      </c>
    </row>
    <row r="467" ht="15" customHeight="1" s="199">
      <c r="A467">
        <f>IFERROR(TRIM('T12 Input'!B478),)</f>
        <v/>
      </c>
      <c r="B467">
        <f>IFERROR(VALUE('T12 Input'!C478),0)</f>
        <v/>
      </c>
      <c r="C467">
        <f>IFERROR(VALUE('T12 Input'!D478),0)</f>
        <v/>
      </c>
      <c r="D467">
        <f>IFERROR(VALUE('T12 Input'!E478),0)</f>
        <v/>
      </c>
      <c r="E467">
        <f>IFERROR(VALUE('T12 Input'!F478),0)</f>
        <v/>
      </c>
      <c r="F467">
        <f>IFERROR(VALUE('T12 Input'!G478),0)</f>
        <v/>
      </c>
      <c r="G467">
        <f>IFERROR(VALUE('T12 Input'!H478),0)</f>
        <v/>
      </c>
      <c r="H467">
        <f>IFERROR(VALUE('T12 Input'!I478),0)</f>
        <v/>
      </c>
      <c r="I467">
        <f>IFERROR(VALUE('T12 Input'!J478),0)</f>
        <v/>
      </c>
      <c r="J467">
        <f>IFERROR(VALUE('T12 Input'!K478),0)</f>
        <v/>
      </c>
      <c r="K467">
        <f>IFERROR(VALUE('T12 Input'!L478),0)</f>
        <v/>
      </c>
      <c r="L467">
        <f>IFERROR(VALUE('T12 Input'!M478),0)</f>
        <v/>
      </c>
      <c r="M467">
        <f>IFERROR(VALUE('T12 Input'!N478),0)</f>
        <v/>
      </c>
      <c r="N467">
        <f>IFERROR(INDEX(DescMap_Label,MATCH(A467,DescMap_Description,0)),"")</f>
        <v/>
      </c>
    </row>
    <row r="468" ht="15" customHeight="1" s="199">
      <c r="A468">
        <f>IFERROR(TRIM('T12 Input'!B479),)</f>
        <v/>
      </c>
      <c r="B468">
        <f>IFERROR(VALUE('T12 Input'!C479),0)</f>
        <v/>
      </c>
      <c r="C468">
        <f>IFERROR(VALUE('T12 Input'!D479),0)</f>
        <v/>
      </c>
      <c r="D468">
        <f>IFERROR(VALUE('T12 Input'!E479),0)</f>
        <v/>
      </c>
      <c r="E468">
        <f>IFERROR(VALUE('T12 Input'!F479),0)</f>
        <v/>
      </c>
      <c r="F468">
        <f>IFERROR(VALUE('T12 Input'!G479),0)</f>
        <v/>
      </c>
      <c r="G468">
        <f>IFERROR(VALUE('T12 Input'!H479),0)</f>
        <v/>
      </c>
      <c r="H468">
        <f>IFERROR(VALUE('T12 Input'!I479),0)</f>
        <v/>
      </c>
      <c r="I468">
        <f>IFERROR(VALUE('T12 Input'!J479),0)</f>
        <v/>
      </c>
      <c r="J468">
        <f>IFERROR(VALUE('T12 Input'!K479),0)</f>
        <v/>
      </c>
      <c r="K468">
        <f>IFERROR(VALUE('T12 Input'!L479),0)</f>
        <v/>
      </c>
      <c r="L468">
        <f>IFERROR(VALUE('T12 Input'!M479),0)</f>
        <v/>
      </c>
      <c r="M468">
        <f>IFERROR(VALUE('T12 Input'!N479),0)</f>
        <v/>
      </c>
      <c r="N468">
        <f>IFERROR(INDEX(DescMap_Label,MATCH(A468,DescMap_Description,0)),"")</f>
        <v/>
      </c>
    </row>
    <row r="469" ht="15" customHeight="1" s="199">
      <c r="A469">
        <f>IFERROR(TRIM('T12 Input'!B480),)</f>
        <v/>
      </c>
      <c r="B469">
        <f>IFERROR(VALUE('T12 Input'!C480),0)</f>
        <v/>
      </c>
      <c r="C469">
        <f>IFERROR(VALUE('T12 Input'!D480),0)</f>
        <v/>
      </c>
      <c r="D469">
        <f>IFERROR(VALUE('T12 Input'!E480),0)</f>
        <v/>
      </c>
      <c r="E469">
        <f>IFERROR(VALUE('T12 Input'!F480),0)</f>
        <v/>
      </c>
      <c r="F469">
        <f>IFERROR(VALUE('T12 Input'!G480),0)</f>
        <v/>
      </c>
      <c r="G469">
        <f>IFERROR(VALUE('T12 Input'!H480),0)</f>
        <v/>
      </c>
      <c r="H469">
        <f>IFERROR(VALUE('T12 Input'!I480),0)</f>
        <v/>
      </c>
      <c r="I469">
        <f>IFERROR(VALUE('T12 Input'!J480),0)</f>
        <v/>
      </c>
      <c r="J469">
        <f>IFERROR(VALUE('T12 Input'!K480),0)</f>
        <v/>
      </c>
      <c r="K469">
        <f>IFERROR(VALUE('T12 Input'!L480),0)</f>
        <v/>
      </c>
      <c r="L469">
        <f>IFERROR(VALUE('T12 Input'!M480),0)</f>
        <v/>
      </c>
      <c r="M469">
        <f>IFERROR(VALUE('T12 Input'!N480),0)</f>
        <v/>
      </c>
      <c r="N469">
        <f>IFERROR(INDEX(DescMap_Label,MATCH(A469,DescMap_Description,0)),"")</f>
        <v/>
      </c>
    </row>
    <row r="470" ht="15" customHeight="1" s="199">
      <c r="A470">
        <f>IFERROR(TRIM('T12 Input'!B481),)</f>
        <v/>
      </c>
      <c r="B470">
        <f>IFERROR(VALUE('T12 Input'!C481),0)</f>
        <v/>
      </c>
      <c r="C470">
        <f>IFERROR(VALUE('T12 Input'!D481),0)</f>
        <v/>
      </c>
      <c r="D470">
        <f>IFERROR(VALUE('T12 Input'!E481),0)</f>
        <v/>
      </c>
      <c r="E470">
        <f>IFERROR(VALUE('T12 Input'!F481),0)</f>
        <v/>
      </c>
      <c r="F470">
        <f>IFERROR(VALUE('T12 Input'!G481),0)</f>
        <v/>
      </c>
      <c r="G470">
        <f>IFERROR(VALUE('T12 Input'!H481),0)</f>
        <v/>
      </c>
      <c r="H470">
        <f>IFERROR(VALUE('T12 Input'!I481),0)</f>
        <v/>
      </c>
      <c r="I470">
        <f>IFERROR(VALUE('T12 Input'!J481),0)</f>
        <v/>
      </c>
      <c r="J470">
        <f>IFERROR(VALUE('T12 Input'!K481),0)</f>
        <v/>
      </c>
      <c r="K470">
        <f>IFERROR(VALUE('T12 Input'!L481),0)</f>
        <v/>
      </c>
      <c r="L470">
        <f>IFERROR(VALUE('T12 Input'!M481),0)</f>
        <v/>
      </c>
      <c r="M470">
        <f>IFERROR(VALUE('T12 Input'!N481),0)</f>
        <v/>
      </c>
      <c r="N470">
        <f>IFERROR(INDEX(DescMap_Label,MATCH(A470,DescMap_Description,0)),"")</f>
        <v/>
      </c>
    </row>
    <row r="471" ht="15" customHeight="1" s="199">
      <c r="A471">
        <f>IFERROR(TRIM('T12 Input'!B482),)</f>
        <v/>
      </c>
      <c r="B471">
        <f>IFERROR(VALUE('T12 Input'!C482),0)</f>
        <v/>
      </c>
      <c r="C471">
        <f>IFERROR(VALUE('T12 Input'!D482),0)</f>
        <v/>
      </c>
      <c r="D471">
        <f>IFERROR(VALUE('T12 Input'!E482),0)</f>
        <v/>
      </c>
      <c r="E471">
        <f>IFERROR(VALUE('T12 Input'!F482),0)</f>
        <v/>
      </c>
      <c r="F471">
        <f>IFERROR(VALUE('T12 Input'!G482),0)</f>
        <v/>
      </c>
      <c r="G471">
        <f>IFERROR(VALUE('T12 Input'!H482),0)</f>
        <v/>
      </c>
      <c r="H471">
        <f>IFERROR(VALUE('T12 Input'!I482),0)</f>
        <v/>
      </c>
      <c r="I471">
        <f>IFERROR(VALUE('T12 Input'!J482),0)</f>
        <v/>
      </c>
      <c r="J471">
        <f>IFERROR(VALUE('T12 Input'!K482),0)</f>
        <v/>
      </c>
      <c r="K471">
        <f>IFERROR(VALUE('T12 Input'!L482),0)</f>
        <v/>
      </c>
      <c r="L471">
        <f>IFERROR(VALUE('T12 Input'!M482),0)</f>
        <v/>
      </c>
      <c r="M471">
        <f>IFERROR(VALUE('T12 Input'!N482),0)</f>
        <v/>
      </c>
      <c r="N471">
        <f>IFERROR(INDEX(DescMap_Label,MATCH(A471,DescMap_Description,0)),"")</f>
        <v/>
      </c>
    </row>
    <row r="472" ht="15" customHeight="1" s="199">
      <c r="A472">
        <f>IFERROR(TRIM('T12 Input'!B483),)</f>
        <v/>
      </c>
      <c r="B472">
        <f>IFERROR(VALUE('T12 Input'!C483),0)</f>
        <v/>
      </c>
      <c r="C472">
        <f>IFERROR(VALUE('T12 Input'!D483),0)</f>
        <v/>
      </c>
      <c r="D472">
        <f>IFERROR(VALUE('T12 Input'!E483),0)</f>
        <v/>
      </c>
      <c r="E472">
        <f>IFERROR(VALUE('T12 Input'!F483),0)</f>
        <v/>
      </c>
      <c r="F472">
        <f>IFERROR(VALUE('T12 Input'!G483),0)</f>
        <v/>
      </c>
      <c r="G472">
        <f>IFERROR(VALUE('T12 Input'!H483),0)</f>
        <v/>
      </c>
      <c r="H472">
        <f>IFERROR(VALUE('T12 Input'!I483),0)</f>
        <v/>
      </c>
      <c r="I472">
        <f>IFERROR(VALUE('T12 Input'!J483),0)</f>
        <v/>
      </c>
      <c r="J472">
        <f>IFERROR(VALUE('T12 Input'!K483),0)</f>
        <v/>
      </c>
      <c r="K472">
        <f>IFERROR(VALUE('T12 Input'!L483),0)</f>
        <v/>
      </c>
      <c r="L472">
        <f>IFERROR(VALUE('T12 Input'!M483),0)</f>
        <v/>
      </c>
      <c r="M472">
        <f>IFERROR(VALUE('T12 Input'!N483),0)</f>
        <v/>
      </c>
      <c r="N472">
        <f>IFERROR(INDEX(DescMap_Label,MATCH(A472,DescMap_Description,0)),"")</f>
        <v/>
      </c>
    </row>
    <row r="473" ht="15" customHeight="1" s="199">
      <c r="A473">
        <f>IFERROR(TRIM('T12 Input'!B484),)</f>
        <v/>
      </c>
      <c r="B473">
        <f>IFERROR(VALUE('T12 Input'!C484),0)</f>
        <v/>
      </c>
      <c r="C473">
        <f>IFERROR(VALUE('T12 Input'!D484),0)</f>
        <v/>
      </c>
      <c r="D473">
        <f>IFERROR(VALUE('T12 Input'!E484),0)</f>
        <v/>
      </c>
      <c r="E473">
        <f>IFERROR(VALUE('T12 Input'!F484),0)</f>
        <v/>
      </c>
      <c r="F473">
        <f>IFERROR(VALUE('T12 Input'!G484),0)</f>
        <v/>
      </c>
      <c r="G473">
        <f>IFERROR(VALUE('T12 Input'!H484),0)</f>
        <v/>
      </c>
      <c r="H473">
        <f>IFERROR(VALUE('T12 Input'!I484),0)</f>
        <v/>
      </c>
      <c r="I473">
        <f>IFERROR(VALUE('T12 Input'!J484),0)</f>
        <v/>
      </c>
      <c r="J473">
        <f>IFERROR(VALUE('T12 Input'!K484),0)</f>
        <v/>
      </c>
      <c r="K473">
        <f>IFERROR(VALUE('T12 Input'!L484),0)</f>
        <v/>
      </c>
      <c r="L473">
        <f>IFERROR(VALUE('T12 Input'!M484),0)</f>
        <v/>
      </c>
      <c r="M473">
        <f>IFERROR(VALUE('T12 Input'!N484),0)</f>
        <v/>
      </c>
      <c r="N473">
        <f>IFERROR(INDEX(DescMap_Label,MATCH(A473,DescMap_Description,0)),"")</f>
        <v/>
      </c>
    </row>
    <row r="474" ht="15" customHeight="1" s="199">
      <c r="A474">
        <f>IFERROR(TRIM('T12 Input'!B485),)</f>
        <v/>
      </c>
      <c r="B474">
        <f>IFERROR(VALUE('T12 Input'!C485),0)</f>
        <v/>
      </c>
      <c r="C474">
        <f>IFERROR(VALUE('T12 Input'!D485),0)</f>
        <v/>
      </c>
      <c r="D474">
        <f>IFERROR(VALUE('T12 Input'!E485),0)</f>
        <v/>
      </c>
      <c r="E474">
        <f>IFERROR(VALUE('T12 Input'!F485),0)</f>
        <v/>
      </c>
      <c r="F474">
        <f>IFERROR(VALUE('T12 Input'!G485),0)</f>
        <v/>
      </c>
      <c r="G474">
        <f>IFERROR(VALUE('T12 Input'!H485),0)</f>
        <v/>
      </c>
      <c r="H474">
        <f>IFERROR(VALUE('T12 Input'!I485),0)</f>
        <v/>
      </c>
      <c r="I474">
        <f>IFERROR(VALUE('T12 Input'!J485),0)</f>
        <v/>
      </c>
      <c r="J474">
        <f>IFERROR(VALUE('T12 Input'!K485),0)</f>
        <v/>
      </c>
      <c r="K474">
        <f>IFERROR(VALUE('T12 Input'!L485),0)</f>
        <v/>
      </c>
      <c r="L474">
        <f>IFERROR(VALUE('T12 Input'!M485),0)</f>
        <v/>
      </c>
      <c r="M474">
        <f>IFERROR(VALUE('T12 Input'!N485),0)</f>
        <v/>
      </c>
      <c r="N474">
        <f>IFERROR(INDEX(DescMap_Label,MATCH(A474,DescMap_Description,0)),"")</f>
        <v/>
      </c>
    </row>
    <row r="475" ht="15" customHeight="1" s="199">
      <c r="A475">
        <f>IFERROR(TRIM('T12 Input'!B486),)</f>
        <v/>
      </c>
      <c r="B475">
        <f>IFERROR(VALUE('T12 Input'!C486),0)</f>
        <v/>
      </c>
      <c r="C475">
        <f>IFERROR(VALUE('T12 Input'!D486),0)</f>
        <v/>
      </c>
      <c r="D475">
        <f>IFERROR(VALUE('T12 Input'!E486),0)</f>
        <v/>
      </c>
      <c r="E475">
        <f>IFERROR(VALUE('T12 Input'!F486),0)</f>
        <v/>
      </c>
      <c r="F475">
        <f>IFERROR(VALUE('T12 Input'!G486),0)</f>
        <v/>
      </c>
      <c r="G475">
        <f>IFERROR(VALUE('T12 Input'!H486),0)</f>
        <v/>
      </c>
      <c r="H475">
        <f>IFERROR(VALUE('T12 Input'!I486),0)</f>
        <v/>
      </c>
      <c r="I475">
        <f>IFERROR(VALUE('T12 Input'!J486),0)</f>
        <v/>
      </c>
      <c r="J475">
        <f>IFERROR(VALUE('T12 Input'!K486),0)</f>
        <v/>
      </c>
      <c r="K475">
        <f>IFERROR(VALUE('T12 Input'!L486),0)</f>
        <v/>
      </c>
      <c r="L475">
        <f>IFERROR(VALUE('T12 Input'!M486),0)</f>
        <v/>
      </c>
      <c r="M475">
        <f>IFERROR(VALUE('T12 Input'!N486),0)</f>
        <v/>
      </c>
      <c r="N475">
        <f>IFERROR(INDEX(DescMap_Label,MATCH(A475,DescMap_Description,0)),"")</f>
        <v/>
      </c>
    </row>
    <row r="476" ht="15" customHeight="1" s="199">
      <c r="A476">
        <f>IFERROR(TRIM('T12 Input'!B487),)</f>
        <v/>
      </c>
      <c r="B476">
        <f>IFERROR(VALUE('T12 Input'!C487),0)</f>
        <v/>
      </c>
      <c r="C476">
        <f>IFERROR(VALUE('T12 Input'!D487),0)</f>
        <v/>
      </c>
      <c r="D476">
        <f>IFERROR(VALUE('T12 Input'!E487),0)</f>
        <v/>
      </c>
      <c r="E476">
        <f>IFERROR(VALUE('T12 Input'!F487),0)</f>
        <v/>
      </c>
      <c r="F476">
        <f>IFERROR(VALUE('T12 Input'!G487),0)</f>
        <v/>
      </c>
      <c r="G476">
        <f>IFERROR(VALUE('T12 Input'!H487),0)</f>
        <v/>
      </c>
      <c r="H476">
        <f>IFERROR(VALUE('T12 Input'!I487),0)</f>
        <v/>
      </c>
      <c r="I476">
        <f>IFERROR(VALUE('T12 Input'!J487),0)</f>
        <v/>
      </c>
      <c r="J476">
        <f>IFERROR(VALUE('T12 Input'!K487),0)</f>
        <v/>
      </c>
      <c r="K476">
        <f>IFERROR(VALUE('T12 Input'!L487),0)</f>
        <v/>
      </c>
      <c r="L476">
        <f>IFERROR(VALUE('T12 Input'!M487),0)</f>
        <v/>
      </c>
      <c r="M476">
        <f>IFERROR(VALUE('T12 Input'!N487),0)</f>
        <v/>
      </c>
      <c r="N476">
        <f>IFERROR(INDEX(DescMap_Label,MATCH(A476,DescMap_Description,0)),"")</f>
        <v/>
      </c>
    </row>
    <row r="477" ht="15" customHeight="1" s="199">
      <c r="A477">
        <f>IFERROR(TRIM('T12 Input'!B488),)</f>
        <v/>
      </c>
      <c r="B477">
        <f>IFERROR(VALUE('T12 Input'!C488),0)</f>
        <v/>
      </c>
      <c r="C477">
        <f>IFERROR(VALUE('T12 Input'!D488),0)</f>
        <v/>
      </c>
      <c r="D477">
        <f>IFERROR(VALUE('T12 Input'!E488),0)</f>
        <v/>
      </c>
      <c r="E477">
        <f>IFERROR(VALUE('T12 Input'!F488),0)</f>
        <v/>
      </c>
      <c r="F477">
        <f>IFERROR(VALUE('T12 Input'!G488),0)</f>
        <v/>
      </c>
      <c r="G477">
        <f>IFERROR(VALUE('T12 Input'!H488),0)</f>
        <v/>
      </c>
      <c r="H477">
        <f>IFERROR(VALUE('T12 Input'!I488),0)</f>
        <v/>
      </c>
      <c r="I477">
        <f>IFERROR(VALUE('T12 Input'!J488),0)</f>
        <v/>
      </c>
      <c r="J477">
        <f>IFERROR(VALUE('T12 Input'!K488),0)</f>
        <v/>
      </c>
      <c r="K477">
        <f>IFERROR(VALUE('T12 Input'!L488),0)</f>
        <v/>
      </c>
      <c r="L477">
        <f>IFERROR(VALUE('T12 Input'!M488),0)</f>
        <v/>
      </c>
      <c r="M477">
        <f>IFERROR(VALUE('T12 Input'!N488),0)</f>
        <v/>
      </c>
      <c r="N477">
        <f>IFERROR(INDEX(DescMap_Label,MATCH(A477,DescMap_Description,0)),"")</f>
        <v/>
      </c>
    </row>
    <row r="478" ht="15" customHeight="1" s="199">
      <c r="A478">
        <f>IFERROR(TRIM('T12 Input'!B489),)</f>
        <v/>
      </c>
      <c r="B478">
        <f>IFERROR(VALUE('T12 Input'!C489),0)</f>
        <v/>
      </c>
      <c r="C478">
        <f>IFERROR(VALUE('T12 Input'!D489),0)</f>
        <v/>
      </c>
      <c r="D478">
        <f>IFERROR(VALUE('T12 Input'!E489),0)</f>
        <v/>
      </c>
      <c r="E478">
        <f>IFERROR(VALUE('T12 Input'!F489),0)</f>
        <v/>
      </c>
      <c r="F478">
        <f>IFERROR(VALUE('T12 Input'!G489),0)</f>
        <v/>
      </c>
      <c r="G478">
        <f>IFERROR(VALUE('T12 Input'!H489),0)</f>
        <v/>
      </c>
      <c r="H478">
        <f>IFERROR(VALUE('T12 Input'!I489),0)</f>
        <v/>
      </c>
      <c r="I478">
        <f>IFERROR(VALUE('T12 Input'!J489),0)</f>
        <v/>
      </c>
      <c r="J478">
        <f>IFERROR(VALUE('T12 Input'!K489),0)</f>
        <v/>
      </c>
      <c r="K478">
        <f>IFERROR(VALUE('T12 Input'!L489),0)</f>
        <v/>
      </c>
      <c r="L478">
        <f>IFERROR(VALUE('T12 Input'!M489),0)</f>
        <v/>
      </c>
      <c r="M478">
        <f>IFERROR(VALUE('T12 Input'!N489),0)</f>
        <v/>
      </c>
      <c r="N478">
        <f>IFERROR(INDEX(DescMap_Label,MATCH(A478,DescMap_Description,0)),"")</f>
        <v/>
      </c>
    </row>
    <row r="479" ht="15" customHeight="1" s="199">
      <c r="A479">
        <f>IFERROR(TRIM('T12 Input'!B490),)</f>
        <v/>
      </c>
      <c r="B479">
        <f>IFERROR(VALUE('T12 Input'!C490),0)</f>
        <v/>
      </c>
      <c r="C479">
        <f>IFERROR(VALUE('T12 Input'!D490),0)</f>
        <v/>
      </c>
      <c r="D479">
        <f>IFERROR(VALUE('T12 Input'!E490),0)</f>
        <v/>
      </c>
      <c r="E479">
        <f>IFERROR(VALUE('T12 Input'!F490),0)</f>
        <v/>
      </c>
      <c r="F479">
        <f>IFERROR(VALUE('T12 Input'!G490),0)</f>
        <v/>
      </c>
      <c r="G479">
        <f>IFERROR(VALUE('T12 Input'!H490),0)</f>
        <v/>
      </c>
      <c r="H479">
        <f>IFERROR(VALUE('T12 Input'!I490),0)</f>
        <v/>
      </c>
      <c r="I479">
        <f>IFERROR(VALUE('T12 Input'!J490),0)</f>
        <v/>
      </c>
      <c r="J479">
        <f>IFERROR(VALUE('T12 Input'!K490),0)</f>
        <v/>
      </c>
      <c r="K479">
        <f>IFERROR(VALUE('T12 Input'!L490),0)</f>
        <v/>
      </c>
      <c r="L479">
        <f>IFERROR(VALUE('T12 Input'!M490),0)</f>
        <v/>
      </c>
      <c r="M479">
        <f>IFERROR(VALUE('T12 Input'!N490),0)</f>
        <v/>
      </c>
      <c r="N479">
        <f>IFERROR(INDEX(DescMap_Label,MATCH(A479,DescMap_Description,0)),"")</f>
        <v/>
      </c>
    </row>
    <row r="480" ht="15" customHeight="1" s="199">
      <c r="A480">
        <f>IFERROR(TRIM('T12 Input'!B491),)</f>
        <v/>
      </c>
      <c r="B480">
        <f>IFERROR(VALUE('T12 Input'!C491),0)</f>
        <v/>
      </c>
      <c r="C480">
        <f>IFERROR(VALUE('T12 Input'!D491),0)</f>
        <v/>
      </c>
      <c r="D480">
        <f>IFERROR(VALUE('T12 Input'!E491),0)</f>
        <v/>
      </c>
      <c r="E480">
        <f>IFERROR(VALUE('T12 Input'!F491),0)</f>
        <v/>
      </c>
      <c r="F480">
        <f>IFERROR(VALUE('T12 Input'!G491),0)</f>
        <v/>
      </c>
      <c r="G480">
        <f>IFERROR(VALUE('T12 Input'!H491),0)</f>
        <v/>
      </c>
      <c r="H480">
        <f>IFERROR(VALUE('T12 Input'!I491),0)</f>
        <v/>
      </c>
      <c r="I480">
        <f>IFERROR(VALUE('T12 Input'!J491),0)</f>
        <v/>
      </c>
      <c r="J480">
        <f>IFERROR(VALUE('T12 Input'!K491),0)</f>
        <v/>
      </c>
      <c r="K480">
        <f>IFERROR(VALUE('T12 Input'!L491),0)</f>
        <v/>
      </c>
      <c r="L480">
        <f>IFERROR(VALUE('T12 Input'!M491),0)</f>
        <v/>
      </c>
      <c r="M480">
        <f>IFERROR(VALUE('T12 Input'!N491),0)</f>
        <v/>
      </c>
      <c r="N480">
        <f>IFERROR(INDEX(DescMap_Label,MATCH(A480,DescMap_Description,0)),"")</f>
        <v/>
      </c>
    </row>
    <row r="481" ht="15" customHeight="1" s="199">
      <c r="A481">
        <f>IFERROR(TRIM('T12 Input'!B492),)</f>
        <v/>
      </c>
      <c r="B481">
        <f>IFERROR(VALUE('T12 Input'!C492),0)</f>
        <v/>
      </c>
      <c r="C481">
        <f>IFERROR(VALUE('T12 Input'!D492),0)</f>
        <v/>
      </c>
      <c r="D481">
        <f>IFERROR(VALUE('T12 Input'!E492),0)</f>
        <v/>
      </c>
      <c r="E481">
        <f>IFERROR(VALUE('T12 Input'!F492),0)</f>
        <v/>
      </c>
      <c r="F481">
        <f>IFERROR(VALUE('T12 Input'!G492),0)</f>
        <v/>
      </c>
      <c r="G481">
        <f>IFERROR(VALUE('T12 Input'!H492),0)</f>
        <v/>
      </c>
      <c r="H481">
        <f>IFERROR(VALUE('T12 Input'!I492),0)</f>
        <v/>
      </c>
      <c r="I481">
        <f>IFERROR(VALUE('T12 Input'!J492),0)</f>
        <v/>
      </c>
      <c r="J481">
        <f>IFERROR(VALUE('T12 Input'!K492),0)</f>
        <v/>
      </c>
      <c r="K481">
        <f>IFERROR(VALUE('T12 Input'!L492),0)</f>
        <v/>
      </c>
      <c r="L481">
        <f>IFERROR(VALUE('T12 Input'!M492),0)</f>
        <v/>
      </c>
      <c r="M481">
        <f>IFERROR(VALUE('T12 Input'!N492),0)</f>
        <v/>
      </c>
      <c r="N481">
        <f>IFERROR(INDEX(DescMap_Label,MATCH(A481,DescMap_Description,0)),"")</f>
        <v/>
      </c>
    </row>
    <row r="482" ht="15" customHeight="1" s="199">
      <c r="A482">
        <f>IFERROR(TRIM('T12 Input'!B493),)</f>
        <v/>
      </c>
      <c r="B482">
        <f>IFERROR(VALUE('T12 Input'!C493),0)</f>
        <v/>
      </c>
      <c r="C482">
        <f>IFERROR(VALUE('T12 Input'!D493),0)</f>
        <v/>
      </c>
      <c r="D482">
        <f>IFERROR(VALUE('T12 Input'!E493),0)</f>
        <v/>
      </c>
      <c r="E482">
        <f>IFERROR(VALUE('T12 Input'!F493),0)</f>
        <v/>
      </c>
      <c r="F482">
        <f>IFERROR(VALUE('T12 Input'!G493),0)</f>
        <v/>
      </c>
      <c r="G482">
        <f>IFERROR(VALUE('T12 Input'!H493),0)</f>
        <v/>
      </c>
      <c r="H482">
        <f>IFERROR(VALUE('T12 Input'!I493),0)</f>
        <v/>
      </c>
      <c r="I482">
        <f>IFERROR(VALUE('T12 Input'!J493),0)</f>
        <v/>
      </c>
      <c r="J482">
        <f>IFERROR(VALUE('T12 Input'!K493),0)</f>
        <v/>
      </c>
      <c r="K482">
        <f>IFERROR(VALUE('T12 Input'!L493),0)</f>
        <v/>
      </c>
      <c r="L482">
        <f>IFERROR(VALUE('T12 Input'!M493),0)</f>
        <v/>
      </c>
      <c r="M482">
        <f>IFERROR(VALUE('T12 Input'!N493),0)</f>
        <v/>
      </c>
      <c r="N482">
        <f>IFERROR(INDEX(DescMap_Label,MATCH(A482,DescMap_Description,0)),"")</f>
        <v/>
      </c>
    </row>
    <row r="483" ht="15" customHeight="1" s="199">
      <c r="A483">
        <f>IFERROR(TRIM('T12 Input'!B494),)</f>
        <v/>
      </c>
      <c r="B483">
        <f>IFERROR(VALUE('T12 Input'!C494),0)</f>
        <v/>
      </c>
      <c r="C483">
        <f>IFERROR(VALUE('T12 Input'!D494),0)</f>
        <v/>
      </c>
      <c r="D483">
        <f>IFERROR(VALUE('T12 Input'!E494),0)</f>
        <v/>
      </c>
      <c r="E483">
        <f>IFERROR(VALUE('T12 Input'!F494),0)</f>
        <v/>
      </c>
      <c r="F483">
        <f>IFERROR(VALUE('T12 Input'!G494),0)</f>
        <v/>
      </c>
      <c r="G483">
        <f>IFERROR(VALUE('T12 Input'!H494),0)</f>
        <v/>
      </c>
      <c r="H483">
        <f>IFERROR(VALUE('T12 Input'!I494),0)</f>
        <v/>
      </c>
      <c r="I483">
        <f>IFERROR(VALUE('T12 Input'!J494),0)</f>
        <v/>
      </c>
      <c r="J483">
        <f>IFERROR(VALUE('T12 Input'!K494),0)</f>
        <v/>
      </c>
      <c r="K483">
        <f>IFERROR(VALUE('T12 Input'!L494),0)</f>
        <v/>
      </c>
      <c r="L483">
        <f>IFERROR(VALUE('T12 Input'!M494),0)</f>
        <v/>
      </c>
      <c r="M483">
        <f>IFERROR(VALUE('T12 Input'!N494),0)</f>
        <v/>
      </c>
      <c r="N483">
        <f>IFERROR(INDEX(DescMap_Label,MATCH(A483,DescMap_Description,0)),"")</f>
        <v/>
      </c>
    </row>
    <row r="484" ht="15" customHeight="1" s="199">
      <c r="A484">
        <f>IFERROR(TRIM('T12 Input'!B495),)</f>
        <v/>
      </c>
      <c r="B484">
        <f>IFERROR(VALUE('T12 Input'!C495),0)</f>
        <v/>
      </c>
      <c r="C484">
        <f>IFERROR(VALUE('T12 Input'!D495),0)</f>
        <v/>
      </c>
      <c r="D484">
        <f>IFERROR(VALUE('T12 Input'!E495),0)</f>
        <v/>
      </c>
      <c r="E484">
        <f>IFERROR(VALUE('T12 Input'!F495),0)</f>
        <v/>
      </c>
      <c r="F484">
        <f>IFERROR(VALUE('T12 Input'!G495),0)</f>
        <v/>
      </c>
      <c r="G484">
        <f>IFERROR(VALUE('T12 Input'!H495),0)</f>
        <v/>
      </c>
      <c r="H484">
        <f>IFERROR(VALUE('T12 Input'!I495),0)</f>
        <v/>
      </c>
      <c r="I484">
        <f>IFERROR(VALUE('T12 Input'!J495),0)</f>
        <v/>
      </c>
      <c r="J484">
        <f>IFERROR(VALUE('T12 Input'!K495),0)</f>
        <v/>
      </c>
      <c r="K484">
        <f>IFERROR(VALUE('T12 Input'!L495),0)</f>
        <v/>
      </c>
      <c r="L484">
        <f>IFERROR(VALUE('T12 Input'!M495),0)</f>
        <v/>
      </c>
      <c r="M484">
        <f>IFERROR(VALUE('T12 Input'!N495),0)</f>
        <v/>
      </c>
      <c r="N484">
        <f>IFERROR(INDEX(DescMap_Label,MATCH(A484,DescMap_Description,0)),"")</f>
        <v/>
      </c>
    </row>
    <row r="485" ht="15" customHeight="1" s="199">
      <c r="A485">
        <f>IFERROR(TRIM('T12 Input'!B496),)</f>
        <v/>
      </c>
      <c r="B485">
        <f>IFERROR(VALUE('T12 Input'!C496),0)</f>
        <v/>
      </c>
      <c r="C485">
        <f>IFERROR(VALUE('T12 Input'!D496),0)</f>
        <v/>
      </c>
      <c r="D485">
        <f>IFERROR(VALUE('T12 Input'!E496),0)</f>
        <v/>
      </c>
      <c r="E485">
        <f>IFERROR(VALUE('T12 Input'!F496),0)</f>
        <v/>
      </c>
      <c r="F485">
        <f>IFERROR(VALUE('T12 Input'!G496),0)</f>
        <v/>
      </c>
      <c r="G485">
        <f>IFERROR(VALUE('T12 Input'!H496),0)</f>
        <v/>
      </c>
      <c r="H485">
        <f>IFERROR(VALUE('T12 Input'!I496),0)</f>
        <v/>
      </c>
      <c r="I485">
        <f>IFERROR(VALUE('T12 Input'!J496),0)</f>
        <v/>
      </c>
      <c r="J485">
        <f>IFERROR(VALUE('T12 Input'!K496),0)</f>
        <v/>
      </c>
      <c r="K485">
        <f>IFERROR(VALUE('T12 Input'!L496),0)</f>
        <v/>
      </c>
      <c r="L485">
        <f>IFERROR(VALUE('T12 Input'!M496),0)</f>
        <v/>
      </c>
      <c r="M485">
        <f>IFERROR(VALUE('T12 Input'!N496),0)</f>
        <v/>
      </c>
      <c r="N485">
        <f>IFERROR(INDEX(DescMap_Label,MATCH(A485,DescMap_Description,0)),"")</f>
        <v/>
      </c>
    </row>
    <row r="486" ht="15" customHeight="1" s="199">
      <c r="A486">
        <f>IFERROR(TRIM('T12 Input'!B497),)</f>
        <v/>
      </c>
      <c r="B486">
        <f>IFERROR(VALUE('T12 Input'!C497),0)</f>
        <v/>
      </c>
      <c r="C486">
        <f>IFERROR(VALUE('T12 Input'!D497),0)</f>
        <v/>
      </c>
      <c r="D486">
        <f>IFERROR(VALUE('T12 Input'!E497),0)</f>
        <v/>
      </c>
      <c r="E486">
        <f>IFERROR(VALUE('T12 Input'!F497),0)</f>
        <v/>
      </c>
      <c r="F486">
        <f>IFERROR(VALUE('T12 Input'!G497),0)</f>
        <v/>
      </c>
      <c r="G486">
        <f>IFERROR(VALUE('T12 Input'!H497),0)</f>
        <v/>
      </c>
      <c r="H486">
        <f>IFERROR(VALUE('T12 Input'!I497),0)</f>
        <v/>
      </c>
      <c r="I486">
        <f>IFERROR(VALUE('T12 Input'!J497),0)</f>
        <v/>
      </c>
      <c r="J486">
        <f>IFERROR(VALUE('T12 Input'!K497),0)</f>
        <v/>
      </c>
      <c r="K486">
        <f>IFERROR(VALUE('T12 Input'!L497),0)</f>
        <v/>
      </c>
      <c r="L486">
        <f>IFERROR(VALUE('T12 Input'!M497),0)</f>
        <v/>
      </c>
      <c r="M486">
        <f>IFERROR(VALUE('T12 Input'!N497),0)</f>
        <v/>
      </c>
      <c r="N486">
        <f>IFERROR(INDEX(DescMap_Label,MATCH(A486,DescMap_Description,0)),"")</f>
        <v/>
      </c>
    </row>
    <row r="487" ht="15" customHeight="1" s="199">
      <c r="A487">
        <f>IFERROR(TRIM('T12 Input'!B498),)</f>
        <v/>
      </c>
      <c r="B487">
        <f>IFERROR(VALUE('T12 Input'!C498),0)</f>
        <v/>
      </c>
      <c r="C487">
        <f>IFERROR(VALUE('T12 Input'!D498),0)</f>
        <v/>
      </c>
      <c r="D487">
        <f>IFERROR(VALUE('T12 Input'!E498),0)</f>
        <v/>
      </c>
      <c r="E487">
        <f>IFERROR(VALUE('T12 Input'!F498),0)</f>
        <v/>
      </c>
      <c r="F487">
        <f>IFERROR(VALUE('T12 Input'!G498),0)</f>
        <v/>
      </c>
      <c r="G487">
        <f>IFERROR(VALUE('T12 Input'!H498),0)</f>
        <v/>
      </c>
      <c r="H487">
        <f>IFERROR(VALUE('T12 Input'!I498),0)</f>
        <v/>
      </c>
      <c r="I487">
        <f>IFERROR(VALUE('T12 Input'!J498),0)</f>
        <v/>
      </c>
      <c r="J487">
        <f>IFERROR(VALUE('T12 Input'!K498),0)</f>
        <v/>
      </c>
      <c r="K487">
        <f>IFERROR(VALUE('T12 Input'!L498),0)</f>
        <v/>
      </c>
      <c r="L487">
        <f>IFERROR(VALUE('T12 Input'!M498),0)</f>
        <v/>
      </c>
      <c r="M487">
        <f>IFERROR(VALUE('T12 Input'!N498),0)</f>
        <v/>
      </c>
      <c r="N487">
        <f>IFERROR(INDEX(DescMap_Label,MATCH(A487,DescMap_Description,0)),"")</f>
        <v/>
      </c>
    </row>
    <row r="488" ht="15" customHeight="1" s="199">
      <c r="A488">
        <f>IFERROR(TRIM('T12 Input'!B499),)</f>
        <v/>
      </c>
      <c r="B488">
        <f>IFERROR(VALUE('T12 Input'!C499),0)</f>
        <v/>
      </c>
      <c r="C488">
        <f>IFERROR(VALUE('T12 Input'!D499),0)</f>
        <v/>
      </c>
      <c r="D488">
        <f>IFERROR(VALUE('T12 Input'!E499),0)</f>
        <v/>
      </c>
      <c r="E488">
        <f>IFERROR(VALUE('T12 Input'!F499),0)</f>
        <v/>
      </c>
      <c r="F488">
        <f>IFERROR(VALUE('T12 Input'!G499),0)</f>
        <v/>
      </c>
      <c r="G488">
        <f>IFERROR(VALUE('T12 Input'!H499),0)</f>
        <v/>
      </c>
      <c r="H488">
        <f>IFERROR(VALUE('T12 Input'!I499),0)</f>
        <v/>
      </c>
      <c r="I488">
        <f>IFERROR(VALUE('T12 Input'!J499),0)</f>
        <v/>
      </c>
      <c r="J488">
        <f>IFERROR(VALUE('T12 Input'!K499),0)</f>
        <v/>
      </c>
      <c r="K488">
        <f>IFERROR(VALUE('T12 Input'!L499),0)</f>
        <v/>
      </c>
      <c r="L488">
        <f>IFERROR(VALUE('T12 Input'!M499),0)</f>
        <v/>
      </c>
      <c r="M488">
        <f>IFERROR(VALUE('T12 Input'!N499),0)</f>
        <v/>
      </c>
      <c r="N488">
        <f>IFERROR(INDEX(DescMap_Label,MATCH(A488,DescMap_Description,0)),"")</f>
        <v/>
      </c>
    </row>
    <row r="489" ht="15" customHeight="1" s="199">
      <c r="A489">
        <f>IFERROR(TRIM('T12 Input'!B500),)</f>
        <v/>
      </c>
      <c r="B489">
        <f>IFERROR(VALUE('T12 Input'!C500),0)</f>
        <v/>
      </c>
      <c r="C489">
        <f>IFERROR(VALUE('T12 Input'!D500),0)</f>
        <v/>
      </c>
      <c r="D489">
        <f>IFERROR(VALUE('T12 Input'!E500),0)</f>
        <v/>
      </c>
      <c r="E489">
        <f>IFERROR(VALUE('T12 Input'!F500),0)</f>
        <v/>
      </c>
      <c r="F489">
        <f>IFERROR(VALUE('T12 Input'!G500),0)</f>
        <v/>
      </c>
      <c r="G489">
        <f>IFERROR(VALUE('T12 Input'!H500),0)</f>
        <v/>
      </c>
      <c r="H489">
        <f>IFERROR(VALUE('T12 Input'!I500),0)</f>
        <v/>
      </c>
      <c r="I489">
        <f>IFERROR(VALUE('T12 Input'!J500),0)</f>
        <v/>
      </c>
      <c r="J489">
        <f>IFERROR(VALUE('T12 Input'!K500),0)</f>
        <v/>
      </c>
      <c r="K489">
        <f>IFERROR(VALUE('T12 Input'!L500),0)</f>
        <v/>
      </c>
      <c r="L489">
        <f>IFERROR(VALUE('T12 Input'!M500),0)</f>
        <v/>
      </c>
      <c r="M489">
        <f>IFERROR(VALUE('T12 Input'!N500),0)</f>
        <v/>
      </c>
      <c r="N489">
        <f>IFERROR(INDEX(DescMap_Label,MATCH(A489,DescMap_Description,0)),"")</f>
        <v/>
      </c>
    </row>
    <row r="490" ht="15" customHeight="1" s="199">
      <c r="A490">
        <f>IFERROR(TRIM('T12 Input'!B501),)</f>
        <v/>
      </c>
      <c r="B490">
        <f>IFERROR(VALUE('T12 Input'!C501),0)</f>
        <v/>
      </c>
      <c r="C490">
        <f>IFERROR(VALUE('T12 Input'!D501),0)</f>
        <v/>
      </c>
      <c r="D490">
        <f>IFERROR(VALUE('T12 Input'!E501),0)</f>
        <v/>
      </c>
      <c r="E490">
        <f>IFERROR(VALUE('T12 Input'!F501),0)</f>
        <v/>
      </c>
      <c r="F490">
        <f>IFERROR(VALUE('T12 Input'!G501),0)</f>
        <v/>
      </c>
      <c r="G490">
        <f>IFERROR(VALUE('T12 Input'!H501),0)</f>
        <v/>
      </c>
      <c r="H490">
        <f>IFERROR(VALUE('T12 Input'!I501),0)</f>
        <v/>
      </c>
      <c r="I490">
        <f>IFERROR(VALUE('T12 Input'!J501),0)</f>
        <v/>
      </c>
      <c r="J490">
        <f>IFERROR(VALUE('T12 Input'!K501),0)</f>
        <v/>
      </c>
      <c r="K490">
        <f>IFERROR(VALUE('T12 Input'!L501),0)</f>
        <v/>
      </c>
      <c r="L490">
        <f>IFERROR(VALUE('T12 Input'!M501),0)</f>
        <v/>
      </c>
      <c r="M490">
        <f>IFERROR(VALUE('T12 Input'!N501),0)</f>
        <v/>
      </c>
      <c r="N490">
        <f>IFERROR(INDEX(DescMap_Label,MATCH(A490,DescMap_Description,0)),"")</f>
        <v/>
      </c>
    </row>
    <row r="491" ht="15" customHeight="1" s="199">
      <c r="A491">
        <f>IFERROR(TRIM('T12 Input'!B502),)</f>
        <v/>
      </c>
      <c r="B491">
        <f>IFERROR(VALUE('T12 Input'!C502),0)</f>
        <v/>
      </c>
      <c r="C491">
        <f>IFERROR(VALUE('T12 Input'!D502),0)</f>
        <v/>
      </c>
      <c r="D491">
        <f>IFERROR(VALUE('T12 Input'!E502),0)</f>
        <v/>
      </c>
      <c r="E491">
        <f>IFERROR(VALUE('T12 Input'!F502),0)</f>
        <v/>
      </c>
      <c r="F491">
        <f>IFERROR(VALUE('T12 Input'!G502),0)</f>
        <v/>
      </c>
      <c r="G491">
        <f>IFERROR(VALUE('T12 Input'!H502),0)</f>
        <v/>
      </c>
      <c r="H491">
        <f>IFERROR(VALUE('T12 Input'!I502),0)</f>
        <v/>
      </c>
      <c r="I491">
        <f>IFERROR(VALUE('T12 Input'!J502),0)</f>
        <v/>
      </c>
      <c r="J491">
        <f>IFERROR(VALUE('T12 Input'!K502),0)</f>
        <v/>
      </c>
      <c r="K491">
        <f>IFERROR(VALUE('T12 Input'!L502),0)</f>
        <v/>
      </c>
      <c r="L491">
        <f>IFERROR(VALUE('T12 Input'!M502),0)</f>
        <v/>
      </c>
      <c r="M491">
        <f>IFERROR(VALUE('T12 Input'!N502),0)</f>
        <v/>
      </c>
      <c r="N491">
        <f>IFERROR(INDEX(DescMap_Label,MATCH(A491,DescMap_Description,0)),"")</f>
        <v/>
      </c>
    </row>
    <row r="492" ht="15" customHeight="1" s="199">
      <c r="A492">
        <f>IFERROR(TRIM('T12 Input'!B503),)</f>
        <v/>
      </c>
      <c r="B492">
        <f>IFERROR(VALUE('T12 Input'!C503),0)</f>
        <v/>
      </c>
      <c r="C492">
        <f>IFERROR(VALUE('T12 Input'!D503),0)</f>
        <v/>
      </c>
      <c r="D492">
        <f>IFERROR(VALUE('T12 Input'!E503),0)</f>
        <v/>
      </c>
      <c r="E492">
        <f>IFERROR(VALUE('T12 Input'!F503),0)</f>
        <v/>
      </c>
      <c r="F492">
        <f>IFERROR(VALUE('T12 Input'!G503),0)</f>
        <v/>
      </c>
      <c r="G492">
        <f>IFERROR(VALUE('T12 Input'!H503),0)</f>
        <v/>
      </c>
      <c r="H492">
        <f>IFERROR(VALUE('T12 Input'!I503),0)</f>
        <v/>
      </c>
      <c r="I492">
        <f>IFERROR(VALUE('T12 Input'!J503),0)</f>
        <v/>
      </c>
      <c r="J492">
        <f>IFERROR(VALUE('T12 Input'!K503),0)</f>
        <v/>
      </c>
      <c r="K492">
        <f>IFERROR(VALUE('T12 Input'!L503),0)</f>
        <v/>
      </c>
      <c r="L492">
        <f>IFERROR(VALUE('T12 Input'!M503),0)</f>
        <v/>
      </c>
      <c r="M492">
        <f>IFERROR(VALUE('T12 Input'!N503),0)</f>
        <v/>
      </c>
      <c r="N492">
        <f>IFERROR(INDEX(DescMap_Label,MATCH(A492,DescMap_Description,0)),"")</f>
        <v/>
      </c>
    </row>
    <row r="493" ht="15" customHeight="1" s="199">
      <c r="A493">
        <f>IFERROR(TRIM('T12 Input'!B504),)</f>
        <v/>
      </c>
      <c r="B493">
        <f>IFERROR(VALUE('T12 Input'!C504),0)</f>
        <v/>
      </c>
      <c r="C493">
        <f>IFERROR(VALUE('T12 Input'!D504),0)</f>
        <v/>
      </c>
      <c r="D493">
        <f>IFERROR(VALUE('T12 Input'!E504),0)</f>
        <v/>
      </c>
      <c r="E493">
        <f>IFERROR(VALUE('T12 Input'!F504),0)</f>
        <v/>
      </c>
      <c r="F493">
        <f>IFERROR(VALUE('T12 Input'!G504),0)</f>
        <v/>
      </c>
      <c r="G493">
        <f>IFERROR(VALUE('T12 Input'!H504),0)</f>
        <v/>
      </c>
      <c r="H493">
        <f>IFERROR(VALUE('T12 Input'!I504),0)</f>
        <v/>
      </c>
      <c r="I493">
        <f>IFERROR(VALUE('T12 Input'!J504),0)</f>
        <v/>
      </c>
      <c r="J493">
        <f>IFERROR(VALUE('T12 Input'!K504),0)</f>
        <v/>
      </c>
      <c r="K493">
        <f>IFERROR(VALUE('T12 Input'!L504),0)</f>
        <v/>
      </c>
      <c r="L493">
        <f>IFERROR(VALUE('T12 Input'!M504),0)</f>
        <v/>
      </c>
      <c r="M493">
        <f>IFERROR(VALUE('T12 Input'!N504),0)</f>
        <v/>
      </c>
      <c r="N493">
        <f>IFERROR(INDEX(DescMap_Label,MATCH(A493,DescMap_Description,0)),"")</f>
        <v/>
      </c>
    </row>
    <row r="494" ht="15" customHeight="1" s="199">
      <c r="A494">
        <f>IFERROR(TRIM('T12 Input'!B505),)</f>
        <v/>
      </c>
      <c r="B494">
        <f>IFERROR(VALUE('T12 Input'!C505),0)</f>
        <v/>
      </c>
      <c r="C494">
        <f>IFERROR(VALUE('T12 Input'!D505),0)</f>
        <v/>
      </c>
      <c r="D494">
        <f>IFERROR(VALUE('T12 Input'!E505),0)</f>
        <v/>
      </c>
      <c r="E494">
        <f>IFERROR(VALUE('T12 Input'!F505),0)</f>
        <v/>
      </c>
      <c r="F494">
        <f>IFERROR(VALUE('T12 Input'!G505),0)</f>
        <v/>
      </c>
      <c r="G494">
        <f>IFERROR(VALUE('T12 Input'!H505),0)</f>
        <v/>
      </c>
      <c r="H494">
        <f>IFERROR(VALUE('T12 Input'!I505),0)</f>
        <v/>
      </c>
      <c r="I494">
        <f>IFERROR(VALUE('T12 Input'!J505),0)</f>
        <v/>
      </c>
      <c r="J494">
        <f>IFERROR(VALUE('T12 Input'!K505),0)</f>
        <v/>
      </c>
      <c r="K494">
        <f>IFERROR(VALUE('T12 Input'!L505),0)</f>
        <v/>
      </c>
      <c r="L494">
        <f>IFERROR(VALUE('T12 Input'!M505),0)</f>
        <v/>
      </c>
      <c r="M494">
        <f>IFERROR(VALUE('T12 Input'!N505),0)</f>
        <v/>
      </c>
      <c r="N494">
        <f>IFERROR(INDEX(DescMap_Label,MATCH(A494,DescMap_Description,0)),"")</f>
        <v/>
      </c>
    </row>
    <row r="495" ht="15" customHeight="1" s="199">
      <c r="A495">
        <f>IFERROR(TRIM('T12 Input'!B506),)</f>
        <v/>
      </c>
      <c r="B495">
        <f>IFERROR(VALUE('T12 Input'!C506),0)</f>
        <v/>
      </c>
      <c r="C495">
        <f>IFERROR(VALUE('T12 Input'!D506),0)</f>
        <v/>
      </c>
      <c r="D495">
        <f>IFERROR(VALUE('T12 Input'!E506),0)</f>
        <v/>
      </c>
      <c r="E495">
        <f>IFERROR(VALUE('T12 Input'!F506),0)</f>
        <v/>
      </c>
      <c r="F495">
        <f>IFERROR(VALUE('T12 Input'!G506),0)</f>
        <v/>
      </c>
      <c r="G495">
        <f>IFERROR(VALUE('T12 Input'!H506),0)</f>
        <v/>
      </c>
      <c r="H495">
        <f>IFERROR(VALUE('T12 Input'!I506),0)</f>
        <v/>
      </c>
      <c r="I495">
        <f>IFERROR(VALUE('T12 Input'!J506),0)</f>
        <v/>
      </c>
      <c r="J495">
        <f>IFERROR(VALUE('T12 Input'!K506),0)</f>
        <v/>
      </c>
      <c r="K495">
        <f>IFERROR(VALUE('T12 Input'!L506),0)</f>
        <v/>
      </c>
      <c r="L495">
        <f>IFERROR(VALUE('T12 Input'!M506),0)</f>
        <v/>
      </c>
      <c r="M495">
        <f>IFERROR(VALUE('T12 Input'!N506),0)</f>
        <v/>
      </c>
      <c r="N495">
        <f>IFERROR(INDEX(DescMap_Label,MATCH(A495,DescMap_Description,0)),"")</f>
        <v/>
      </c>
    </row>
    <row r="496" ht="15" customHeight="1" s="199">
      <c r="A496">
        <f>IFERROR(TRIM('T12 Input'!B507),)</f>
        <v/>
      </c>
      <c r="B496">
        <f>IFERROR(VALUE('T12 Input'!C507),0)</f>
        <v/>
      </c>
      <c r="C496">
        <f>IFERROR(VALUE('T12 Input'!D507),0)</f>
        <v/>
      </c>
      <c r="D496">
        <f>IFERROR(VALUE('T12 Input'!E507),0)</f>
        <v/>
      </c>
      <c r="E496">
        <f>IFERROR(VALUE('T12 Input'!F507),0)</f>
        <v/>
      </c>
      <c r="F496">
        <f>IFERROR(VALUE('T12 Input'!G507),0)</f>
        <v/>
      </c>
      <c r="G496">
        <f>IFERROR(VALUE('T12 Input'!H507),0)</f>
        <v/>
      </c>
      <c r="H496">
        <f>IFERROR(VALUE('T12 Input'!I507),0)</f>
        <v/>
      </c>
      <c r="I496">
        <f>IFERROR(VALUE('T12 Input'!J507),0)</f>
        <v/>
      </c>
      <c r="J496">
        <f>IFERROR(VALUE('T12 Input'!K507),0)</f>
        <v/>
      </c>
      <c r="K496">
        <f>IFERROR(VALUE('T12 Input'!L507),0)</f>
        <v/>
      </c>
      <c r="L496">
        <f>IFERROR(VALUE('T12 Input'!M507),0)</f>
        <v/>
      </c>
      <c r="M496">
        <f>IFERROR(VALUE('T12 Input'!N507),0)</f>
        <v/>
      </c>
      <c r="N496">
        <f>IFERROR(INDEX(DescMap_Label,MATCH(A496,DescMap_Description,0)),"")</f>
        <v/>
      </c>
    </row>
    <row r="497" ht="15" customHeight="1" s="199">
      <c r="A497">
        <f>IFERROR(TRIM('T12 Input'!B508),)</f>
        <v/>
      </c>
      <c r="B497">
        <f>IFERROR(VALUE('T12 Input'!C508),0)</f>
        <v/>
      </c>
      <c r="C497">
        <f>IFERROR(VALUE('T12 Input'!D508),0)</f>
        <v/>
      </c>
      <c r="D497">
        <f>IFERROR(VALUE('T12 Input'!E508),0)</f>
        <v/>
      </c>
      <c r="E497">
        <f>IFERROR(VALUE('T12 Input'!F508),0)</f>
        <v/>
      </c>
      <c r="F497">
        <f>IFERROR(VALUE('T12 Input'!G508),0)</f>
        <v/>
      </c>
      <c r="G497">
        <f>IFERROR(VALUE('T12 Input'!H508),0)</f>
        <v/>
      </c>
      <c r="H497">
        <f>IFERROR(VALUE('T12 Input'!I508),0)</f>
        <v/>
      </c>
      <c r="I497">
        <f>IFERROR(VALUE('T12 Input'!J508),0)</f>
        <v/>
      </c>
      <c r="J497">
        <f>IFERROR(VALUE('T12 Input'!K508),0)</f>
        <v/>
      </c>
      <c r="K497">
        <f>IFERROR(VALUE('T12 Input'!L508),0)</f>
        <v/>
      </c>
      <c r="L497">
        <f>IFERROR(VALUE('T12 Input'!M508),0)</f>
        <v/>
      </c>
      <c r="M497">
        <f>IFERROR(VALUE('T12 Input'!N508),0)</f>
        <v/>
      </c>
      <c r="N497">
        <f>IFERROR(INDEX(DescMap_Label,MATCH(A497,DescMap_Description,0)),"")</f>
        <v/>
      </c>
    </row>
    <row r="498" ht="15" customHeight="1" s="199">
      <c r="A498">
        <f>IFERROR(TRIM('T12 Input'!B509),)</f>
        <v/>
      </c>
      <c r="B498">
        <f>IFERROR(VALUE('T12 Input'!C509),0)</f>
        <v/>
      </c>
      <c r="C498">
        <f>IFERROR(VALUE('T12 Input'!D509),0)</f>
        <v/>
      </c>
      <c r="D498">
        <f>IFERROR(VALUE('T12 Input'!E509),0)</f>
        <v/>
      </c>
      <c r="E498">
        <f>IFERROR(VALUE('T12 Input'!F509),0)</f>
        <v/>
      </c>
      <c r="F498">
        <f>IFERROR(VALUE('T12 Input'!G509),0)</f>
        <v/>
      </c>
      <c r="G498">
        <f>IFERROR(VALUE('T12 Input'!H509),0)</f>
        <v/>
      </c>
      <c r="H498">
        <f>IFERROR(VALUE('T12 Input'!I509),0)</f>
        <v/>
      </c>
      <c r="I498">
        <f>IFERROR(VALUE('T12 Input'!J509),0)</f>
        <v/>
      </c>
      <c r="J498">
        <f>IFERROR(VALUE('T12 Input'!K509),0)</f>
        <v/>
      </c>
      <c r="K498">
        <f>IFERROR(VALUE('T12 Input'!L509),0)</f>
        <v/>
      </c>
      <c r="L498">
        <f>IFERROR(VALUE('T12 Input'!M509),0)</f>
        <v/>
      </c>
      <c r="M498">
        <f>IFERROR(VALUE('T12 Input'!N509),0)</f>
        <v/>
      </c>
      <c r="N498">
        <f>IFERROR(INDEX(DescMap_Label,MATCH(A498,DescMap_Description,0)),"")</f>
        <v/>
      </c>
    </row>
    <row r="499" ht="15" customHeight="1" s="199">
      <c r="A499">
        <f>IFERROR(TRIM('T12 Input'!B510),)</f>
        <v/>
      </c>
      <c r="B499">
        <f>IFERROR(VALUE('T12 Input'!C510),0)</f>
        <v/>
      </c>
      <c r="C499">
        <f>IFERROR(VALUE('T12 Input'!D510),0)</f>
        <v/>
      </c>
      <c r="D499">
        <f>IFERROR(VALUE('T12 Input'!E510),0)</f>
        <v/>
      </c>
      <c r="E499">
        <f>IFERROR(VALUE('T12 Input'!F510),0)</f>
        <v/>
      </c>
      <c r="F499">
        <f>IFERROR(VALUE('T12 Input'!G510),0)</f>
        <v/>
      </c>
      <c r="G499">
        <f>IFERROR(VALUE('T12 Input'!H510),0)</f>
        <v/>
      </c>
      <c r="H499">
        <f>IFERROR(VALUE('T12 Input'!I510),0)</f>
        <v/>
      </c>
      <c r="I499">
        <f>IFERROR(VALUE('T12 Input'!J510),0)</f>
        <v/>
      </c>
      <c r="J499">
        <f>IFERROR(VALUE('T12 Input'!K510),0)</f>
        <v/>
      </c>
      <c r="K499">
        <f>IFERROR(VALUE('T12 Input'!L510),0)</f>
        <v/>
      </c>
      <c r="L499">
        <f>IFERROR(VALUE('T12 Input'!M510),0)</f>
        <v/>
      </c>
      <c r="M499">
        <f>IFERROR(VALUE('T12 Input'!N510),0)</f>
        <v/>
      </c>
      <c r="N499">
        <f>IFERROR(INDEX(DescMap_Label,MATCH(A499,DescMap_Description,0)),"")</f>
        <v/>
      </c>
    </row>
    <row r="500" ht="15" customHeight="1" s="199">
      <c r="A500">
        <f>IFERROR(TRIM('T12 Input'!B511),)</f>
        <v/>
      </c>
      <c r="B500">
        <f>IFERROR(VALUE('T12 Input'!C511),0)</f>
        <v/>
      </c>
      <c r="C500">
        <f>IFERROR(VALUE('T12 Input'!D511),0)</f>
        <v/>
      </c>
      <c r="D500">
        <f>IFERROR(VALUE('T12 Input'!E511),0)</f>
        <v/>
      </c>
      <c r="E500">
        <f>IFERROR(VALUE('T12 Input'!F511),0)</f>
        <v/>
      </c>
      <c r="F500">
        <f>IFERROR(VALUE('T12 Input'!G511),0)</f>
        <v/>
      </c>
      <c r="G500">
        <f>IFERROR(VALUE('T12 Input'!H511),0)</f>
        <v/>
      </c>
      <c r="H500">
        <f>IFERROR(VALUE('T12 Input'!I511),0)</f>
        <v/>
      </c>
      <c r="I500">
        <f>IFERROR(VALUE('T12 Input'!J511),0)</f>
        <v/>
      </c>
      <c r="J500">
        <f>IFERROR(VALUE('T12 Input'!K511),0)</f>
        <v/>
      </c>
      <c r="K500">
        <f>IFERROR(VALUE('T12 Input'!L511),0)</f>
        <v/>
      </c>
      <c r="L500">
        <f>IFERROR(VALUE('T12 Input'!M511),0)</f>
        <v/>
      </c>
      <c r="M500">
        <f>IFERROR(VALUE('T12 Input'!N511),0)</f>
        <v/>
      </c>
      <c r="N500">
        <f>IFERROR(INDEX(DescMap_Label,MATCH(A500,DescMap_Description,0)),"")</f>
        <v/>
      </c>
    </row>
  </sheetData>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AZ52"/>
  <sheetViews>
    <sheetView workbookViewId="0">
      <selection activeCell="A1" sqref="A1"/>
    </sheetView>
  </sheetViews>
  <sheetFormatPr baseColWidth="8" defaultRowHeight="15"/>
  <cols>
    <col width="48" customWidth="1" style="199" min="1" max="1"/>
    <col width="32" customWidth="1" style="199" min="2" max="2"/>
    <col width="12" customWidth="1" style="199" min="3" max="3"/>
    <col width="12" customWidth="1" style="199" min="4" max="4"/>
    <col width="12" customWidth="1" style="199" min="5" max="5"/>
    <col width="24" customWidth="1" style="199" min="6" max="6"/>
  </cols>
  <sheetData>
    <row r="1">
      <c r="A1" s="208" t="inlineStr">
        <is>
          <t>Workbook Health</t>
        </is>
      </c>
      <c r="AZ1" t="inlineStr">
        <is>
          <t>Map / Validation / Diagnostics</t>
        </is>
      </c>
    </row>
    <row r="2">
      <c r="A2" s="209" t="inlineStr">
        <is>
          <t>Hidden by default. Un-hide via right-click → Unhide.</t>
        </is>
      </c>
      <c r="AZ2" t="inlineStr">
        <is>
          <t>health</t>
        </is>
      </c>
    </row>
    <row r="3">
      <c r="AZ3" t="inlineStr">
        <is>
          <t>hidden</t>
        </is>
      </c>
    </row>
    <row r="4">
      <c r="A4" s="205" t="inlineStr">
        <is>
          <t>1 · WORKBOOK MAP</t>
        </is>
      </c>
      <c r="AZ4" t="inlineStr">
        <is>
          <t>v0.2.7</t>
        </is>
      </c>
    </row>
    <row r="5">
      <c r="A5" s="210" t="inlineStr">
        <is>
          <t>Sheet</t>
        </is>
      </c>
      <c r="B5" s="210" t="inlineStr">
        <is>
          <t>Purpose</t>
        </is>
      </c>
      <c r="C5" s="210" t="inlineStr">
        <is>
          <t>Category</t>
        </is>
      </c>
      <c r="D5" s="210" t="inlineStr">
        <is>
          <t>Visibility</t>
        </is>
      </c>
      <c r="E5" s="210" t="inlineStr">
        <is>
          <t>Version</t>
        </is>
      </c>
      <c r="F5" s="210" t="inlineStr">
        <is>
          <t>Notes</t>
        </is>
      </c>
    </row>
    <row r="6">
      <c r="A6" t="inlineStr">
        <is>
          <t>Cover</t>
        </is>
      </c>
      <c r="B6">
        <f>Cover!AZ1</f>
        <v/>
      </c>
      <c r="C6">
        <f>Cover!AZ2</f>
        <v/>
      </c>
      <c r="D6">
        <f>Cover!AZ3</f>
        <v/>
      </c>
      <c r="E6">
        <f>Cover!AZ4</f>
        <v/>
      </c>
      <c r="F6">
        <f>IF(Cover!AZ5="","",Cover!AZ5)</f>
        <v/>
      </c>
    </row>
    <row r="7">
      <c r="A7" t="inlineStr">
        <is>
          <t>T12 Analytics</t>
        </is>
      </c>
      <c r="B7">
        <f>'T12 Analytics'!AZ1</f>
        <v/>
      </c>
      <c r="C7">
        <f>'T12 Analytics'!AZ2</f>
        <v/>
      </c>
      <c r="D7">
        <f>'T12 Analytics'!AZ3</f>
        <v/>
      </c>
      <c r="E7">
        <f>'T12 Analytics'!AZ4</f>
        <v/>
      </c>
      <c r="F7">
        <f>IF('T12 Analytics'!AZ5="","",'T12 Analytics'!AZ5)</f>
        <v/>
      </c>
    </row>
    <row r="8">
      <c r="A8" t="inlineStr">
        <is>
          <t>T12 Input</t>
        </is>
      </c>
      <c r="B8">
        <f>'T12 Input'!AZ1</f>
        <v/>
      </c>
      <c r="C8">
        <f>'T12 Input'!AZ2</f>
        <v/>
      </c>
      <c r="D8">
        <f>'T12 Input'!AZ3</f>
        <v/>
      </c>
      <c r="E8">
        <f>'T12 Input'!AZ4</f>
        <v/>
      </c>
      <c r="F8">
        <f>IF('T12 Input'!AZ5="","",'T12 Input'!AZ5)</f>
        <v/>
      </c>
    </row>
    <row r="9">
      <c r="A9" t="inlineStr">
        <is>
          <t>T12 Raw Data</t>
        </is>
      </c>
      <c r="B9">
        <f>'T12 Raw Data'!AZ1</f>
        <v/>
      </c>
      <c r="C9">
        <f>'T12 Raw Data'!AZ2</f>
        <v/>
      </c>
      <c r="D9">
        <f>'T12 Raw Data'!AZ3</f>
        <v/>
      </c>
      <c r="E9">
        <f>'T12 Raw Data'!AZ4</f>
        <v/>
      </c>
      <c r="F9">
        <f>IF('T12 Raw Data'!AZ5="","",'T12 Raw Data'!AZ5)</f>
        <v/>
      </c>
    </row>
    <row r="10">
      <c r="A10" t="inlineStr">
        <is>
          <t>Rent Roll Input</t>
        </is>
      </c>
      <c r="B10">
        <f>'Rent Roll Input'!AZ1</f>
        <v/>
      </c>
      <c r="C10">
        <f>'Rent Roll Input'!AZ2</f>
        <v/>
      </c>
      <c r="D10">
        <f>'Rent Roll Input'!AZ3</f>
        <v/>
      </c>
      <c r="E10">
        <f>'Rent Roll Input'!AZ4</f>
        <v/>
      </c>
      <c r="F10">
        <f>IF('Rent Roll Input'!AZ5="","",'Rent Roll Input'!AZ5)</f>
        <v/>
      </c>
    </row>
    <row r="11">
      <c r="A11" t="inlineStr">
        <is>
          <t>Rent Roll Recon</t>
        </is>
      </c>
      <c r="B11">
        <f>'Rent Roll Recon'!AZ1</f>
        <v/>
      </c>
      <c r="C11">
        <f>'Rent Roll Recon'!AZ2</f>
        <v/>
      </c>
      <c r="D11">
        <f>'Rent Roll Recon'!AZ3</f>
        <v/>
      </c>
      <c r="E11">
        <f>'Rent Roll Recon'!AZ4</f>
        <v/>
      </c>
      <c r="F11">
        <f>IF('Rent Roll Recon'!AZ5="","",'Rent Roll Recon'!AZ5)</f>
        <v/>
      </c>
    </row>
    <row r="12">
      <c r="A12" t="inlineStr">
        <is>
          <t>Monthly Trending</t>
        </is>
      </c>
      <c r="B12">
        <f>'Monthly Trending'!AZ1</f>
        <v/>
      </c>
      <c r="C12">
        <f>'Monthly Trending'!AZ2</f>
        <v/>
      </c>
      <c r="D12">
        <f>'Monthly Trending'!AZ3</f>
        <v/>
      </c>
      <c r="E12">
        <f>'Monthly Trending'!AZ4</f>
        <v/>
      </c>
      <c r="F12">
        <f>IF('Monthly Trending'!AZ5="","",'Monthly Trending'!AZ5)</f>
        <v/>
      </c>
    </row>
    <row r="13">
      <c r="A13" t="inlineStr">
        <is>
          <t>UW Output</t>
        </is>
      </c>
      <c r="B13">
        <f>'UW Output'!AZ1</f>
        <v/>
      </c>
      <c r="C13">
        <f>'UW Output'!AZ2</f>
        <v/>
      </c>
      <c r="D13">
        <f>'UW Output'!AZ3</f>
        <v/>
      </c>
      <c r="E13">
        <f>'UW Output'!AZ4</f>
        <v/>
      </c>
      <c r="F13">
        <f>IF('UW Output'!AZ5="","",'UW Output'!AZ5)</f>
        <v/>
      </c>
    </row>
    <row r="14">
      <c r="A14" t="inlineStr">
        <is>
          <t>Mapping Review</t>
        </is>
      </c>
      <c r="B14">
        <f>'Mapping Review'!AZ1</f>
        <v/>
      </c>
      <c r="C14">
        <f>'Mapping Review'!AZ2</f>
        <v/>
      </c>
      <c r="D14">
        <f>'Mapping Review'!AZ3</f>
        <v/>
      </c>
      <c r="E14">
        <f>'Mapping Review'!AZ4</f>
        <v/>
      </c>
      <c r="F14">
        <f>IF('Mapping Review'!AZ5="","",'Mapping Review'!AZ5)</f>
        <v/>
      </c>
    </row>
    <row r="15">
      <c r="A15" t="inlineStr">
        <is>
          <t>Description_Map</t>
        </is>
      </c>
      <c r="B15">
        <f>Description_Map!AZ1</f>
        <v/>
      </c>
      <c r="C15">
        <f>Description_Map!AZ2</f>
        <v/>
      </c>
      <c r="D15">
        <f>Description_Map!AZ3</f>
        <v/>
      </c>
      <c r="E15">
        <f>Description_Map!AZ4</f>
        <v/>
      </c>
      <c r="F15">
        <f>IF(Description_Map!AZ5="","",Description_Map!AZ5)</f>
        <v/>
      </c>
    </row>
    <row r="16">
      <c r="A16" t="inlineStr">
        <is>
          <t>RR_Calc</t>
        </is>
      </c>
      <c r="B16">
        <f>RR_Calc!AZ1</f>
        <v/>
      </c>
      <c r="C16">
        <f>RR_Calc!AZ2</f>
        <v/>
      </c>
      <c r="D16">
        <f>RR_Calc!AZ3</f>
        <v/>
      </c>
      <c r="E16">
        <f>RR_Calc!AZ4</f>
        <v/>
      </c>
      <c r="F16">
        <f>IF(RR_Calc!AZ5="","",RR_Calc!AZ5)</f>
        <v/>
      </c>
    </row>
    <row r="17">
      <c r="A17" t="inlineStr">
        <is>
          <t>T12_Calc</t>
        </is>
      </c>
      <c r="B17">
        <f>T12_Calc!AZ1</f>
        <v/>
      </c>
      <c r="C17">
        <f>T12_Calc!AZ2</f>
        <v/>
      </c>
      <c r="D17">
        <f>T12_Calc!AZ3</f>
        <v/>
      </c>
      <c r="E17">
        <f>T12_Calc!AZ4</f>
        <v/>
      </c>
      <c r="F17">
        <f>IF(T12_Calc!AZ5="","",T12_Calc!AZ5)</f>
        <v/>
      </c>
    </row>
    <row r="18">
      <c r="A18" t="inlineStr">
        <is>
          <t>Workbook Health</t>
        </is>
      </c>
      <c r="B18">
        <f>'Workbook Health'!AZ1</f>
        <v/>
      </c>
      <c r="C18">
        <f>'Workbook Health'!AZ2</f>
        <v/>
      </c>
      <c r="D18">
        <f>'Workbook Health'!AZ3</f>
        <v/>
      </c>
      <c r="E18">
        <f>'Workbook Health'!AZ4</f>
        <v/>
      </c>
      <c r="F18">
        <f>IF('Workbook Health'!AZ5="","",'Workbook Health'!AZ5)</f>
        <v/>
      </c>
    </row>
    <row r="19">
      <c r="A19" s="243" t="inlineStr">
        <is>
          <t>UW Export</t>
        </is>
      </c>
      <c r="B19" s="243">
        <f>'UW Export'!AZ1</f>
        <v/>
      </c>
    </row>
    <row r="21">
      <c r="A21" s="205" t="inlineStr">
        <is>
          <t>2 · VALIDATION</t>
        </is>
      </c>
    </row>
    <row r="22">
      <c r="A22" s="210" t="inlineStr">
        <is>
          <t>Check</t>
        </is>
      </c>
      <c r="B22" s="210" t="inlineStr">
        <is>
          <t>Result</t>
        </is>
      </c>
      <c r="C22" s="210" t="inlineStr">
        <is>
          <t>Status</t>
        </is>
      </c>
    </row>
    <row r="23">
      <c r="A23" t="inlineStr">
        <is>
          <t>V1 · Source $ → Operating $ leakage (±$1)</t>
        </is>
      </c>
      <c r="B23">
        <f>IFERROR(ROUND(SUM('T12 Raw Data'!F6:F60)-'T12 Analytics'!E52,2),"-")</f>
        <v/>
      </c>
      <c r="C23">
        <f>IF(ISNUMBER(B23),IF(ABS(B23)&lt;=1,"✓","⚠"),"-")</f>
        <v/>
      </c>
    </row>
    <row r="24">
      <c r="A24" t="inlineStr">
        <is>
          <t>V2 · Description_Map UNMATCHED count</t>
        </is>
      </c>
      <c r="B24">
        <f>COUNTIF(Description_Map!B:B,"UNMATCHED")</f>
        <v/>
      </c>
      <c r="C24">
        <f>IF(B24=0,"✓","⚠")</f>
        <v/>
      </c>
    </row>
    <row r="25">
      <c r="A25" t="inlineStr">
        <is>
          <t>V3 · RR period date selected</t>
        </is>
      </c>
      <c r="B25">
        <f>IF(ISNUMBER(RR_Period_Date),TEXT(RR_Period_Date,"yyyy-mm-dd"),"missing")</f>
        <v/>
      </c>
      <c r="C25">
        <f>IF(ISNUMBER(RR_Period_Date),"✓","⚠")</f>
        <v/>
      </c>
    </row>
    <row r="26">
      <c r="A26" t="inlineStr">
        <is>
          <t>V4 · T12 period date populated</t>
        </is>
      </c>
      <c r="B26">
        <f>IF(ISNUMBER(T12_Period_Date),TEXT(T12_Period_Date,"yyyy-mm-dd"),"missing")</f>
        <v/>
      </c>
      <c r="C26">
        <f>IF(ISNUMBER(T12_Period_Date),"✓","⚠")</f>
        <v/>
      </c>
    </row>
    <row r="27">
      <c r="A27" t="inlineStr">
        <is>
          <t>V5 · Property name set</t>
        </is>
      </c>
      <c r="B27">
        <f>IF(LEN(TRIM(Property_Name))&gt;0,Property_Name,"missing")</f>
        <v/>
      </c>
      <c r="C27">
        <f>IF(LEN(TRIM(Property_Name))&gt;0,"✓","⚠")</f>
        <v/>
      </c>
    </row>
    <row r="28">
      <c r="A28" t="inlineStr">
        <is>
          <t>V6 · RR Input rows populated</t>
        </is>
      </c>
      <c r="B28">
        <f>COUNTA('Rent Roll Input'!A7:A606)</f>
        <v/>
      </c>
      <c r="C28">
        <f>IF(B28&gt;0,"✓","⚠")</f>
        <v/>
      </c>
    </row>
    <row r="29">
      <c r="A29" t="inlineStr">
        <is>
          <t>V7 · T12 Input rows populated</t>
        </is>
      </c>
      <c r="B29">
        <f>COUNTA('T12 Input'!B12:B511)</f>
        <v/>
      </c>
      <c r="C29">
        <f>IF(B29&gt;0,"✓","⚠")</f>
        <v/>
      </c>
    </row>
    <row r="30">
      <c r="A30" t="inlineStr">
        <is>
          <t>V8 · T12 month coverage</t>
        </is>
      </c>
      <c r="B30">
        <f>COUNTA('T12 Input'!C11:N11)</f>
        <v/>
      </c>
      <c r="C30">
        <f>IF(B30=12,"✓","⚠")</f>
        <v/>
      </c>
    </row>
    <row r="31">
      <c r="A31" s="205" t="inlineStr">
        <is>
          <t>3 · DIAGNOSTICS</t>
        </is>
      </c>
    </row>
    <row r="32">
      <c r="A32" s="210" t="inlineStr">
        <is>
          <t>Metric</t>
        </is>
      </c>
      <c r="B32" s="210" t="inlineStr">
        <is>
          <t>Value</t>
        </is>
      </c>
    </row>
    <row r="33">
      <c r="A33" t="inlineStr">
        <is>
          <t>G1 · Total licensed beds (from UW Output)</t>
        </is>
      </c>
      <c r="B33">
        <f>'UW Output'!E73</f>
        <v/>
      </c>
    </row>
    <row r="34">
      <c r="A34" t="inlineStr">
        <is>
          <t>G2 · Total available beds (from UW Output)</t>
        </is>
      </c>
      <c r="B34">
        <f>'UW Output'!E74</f>
        <v/>
      </c>
    </row>
    <row r="35">
      <c r="A35" t="inlineStr">
        <is>
          <t>G3 · Avg occupied beds (T12)</t>
        </is>
      </c>
      <c r="B35">
        <f>'T12 Analytics'!E7</f>
        <v/>
      </c>
    </row>
    <row r="36">
      <c r="A36" t="inlineStr">
        <is>
          <t>G4 · Capacity utilization (T12 occ / available)</t>
        </is>
      </c>
      <c r="B36">
        <f>IFERROR(B35/B34,"-")</f>
        <v/>
      </c>
    </row>
    <row r="38">
      <c r="A38" t="inlineStr">
        <is>
          <t>G5 · Substrate version</t>
        </is>
      </c>
      <c r="B38">
        <f>Cover!B8</f>
        <v/>
      </c>
    </row>
    <row r="39">
      <c r="A39" t="inlineStr">
        <is>
          <t>G6 · RR Normalizer version</t>
        </is>
      </c>
      <c r="B39">
        <f>Cover!B9</f>
        <v/>
      </c>
    </row>
    <row r="40">
      <c r="A40" t="inlineStr">
        <is>
          <t>G7 · T12 Normalizer version</t>
        </is>
      </c>
      <c r="B40">
        <f>Cover!B10</f>
        <v/>
      </c>
    </row>
    <row r="42">
      <c r="A42" t="inlineStr">
        <is>
          <t>G8 · Last opened (volatile)</t>
        </is>
      </c>
      <c r="B42">
        <f>TEXT(NOW(),"yyyy-mm-dd hh:mm")</f>
        <v/>
      </c>
    </row>
    <row r="43">
      <c r="A43" s="243" t="inlineStr">
        <is>
          <t>G9 · Total outstanding AR  (Σ Rent Roll Input!X)</t>
        </is>
      </c>
      <c r="B43" s="244">
        <f>SUM('Rent Roll Input'!$X$7:$X$606)</f>
        <v/>
      </c>
    </row>
    <row r="44">
      <c r="A44" s="243" t="inlineStr">
        <is>
          <t>G10 · AR ÷ monthly EGI  (collection-velocity indicator)</t>
        </is>
      </c>
      <c r="B44" s="245">
        <f>IFERROR(B43/('Monthly Trending'!$N$26/12),0)</f>
        <v/>
      </c>
    </row>
    <row r="45">
      <c r="A45" s="237">
        <f>IF(B43=0,"",IF(B44&gt;0.05,"⚠ AR is "&amp;TEXT(B44,"0.0%")&amp;" of monthly EGI — collection risk; review aging","✓ AR within "&amp;TEXT(0.05,"0%")&amp;" of monthly EGI"))</f>
        <v/>
      </c>
    </row>
    <row r="46">
      <c r="A46" s="225" t="inlineStr">
        <is>
          <t>4 · PRE-EXPORT GATE</t>
        </is>
      </c>
    </row>
    <row r="47">
      <c r="A47" s="248" t="inlineStr">
        <is>
          <t>Pre-export check</t>
        </is>
      </c>
      <c r="B47" s="226" t="inlineStr">
        <is>
          <t>Status</t>
        </is>
      </c>
    </row>
    <row r="48">
      <c r="A48" s="249" t="inlineStr">
        <is>
          <t>P1 · RR + T12 period dates set</t>
        </is>
      </c>
      <c r="B48" s="252">
        <f>IF(AND(LEN(B25)&gt;4,LEN(B26)&gt;4,B25&lt;&gt;"-",B26&lt;&gt;"-"),"✓","⚠ Set period dates")</f>
        <v/>
      </c>
    </row>
    <row r="49">
      <c r="A49" s="249" t="inlineStr">
        <is>
          <t>P2 · Property name populated</t>
        </is>
      </c>
      <c r="B49" s="252">
        <f>IF(LEN(TRIM(IFERROR(Property_Name,"")))&gt;0,"✓","⚠ Set property name on Cover!B5")</f>
        <v/>
      </c>
    </row>
    <row r="50">
      <c r="A50" s="249" t="inlineStr">
        <is>
          <t>P3 · RR + T12 input rows present</t>
        </is>
      </c>
      <c r="B50" s="252">
        <f>IF(AND(B28&gt;0,B29&gt;0),"✓","⚠ Upload RR + T12 to populate input sheets")</f>
        <v/>
      </c>
    </row>
    <row r="51">
      <c r="A51" s="249" t="inlineStr">
        <is>
          <t>P4 · Source $ → Operating $ leakage within ±$1</t>
        </is>
      </c>
      <c r="B51" s="252">
        <f>IF(IFERROR(VALUE(SUBSTITUTE(B23,"$","")),99)&lt;=1,"✓","⚠ Investigate T12 leakage (V1)")</f>
        <v/>
      </c>
    </row>
    <row r="52">
      <c r="A52" s="253" t="inlineStr">
        <is>
          <t>READY FOR EXPORT?</t>
        </is>
      </c>
      <c r="B52" s="253">
        <f>IF(AND(B48="✓",B49="✓",B50="✓",B51="✓"),"✓ READY — UW Export tab is good to copy","⚠ NOT READY — resolve the ⚠ items above first")</f>
        <v/>
      </c>
      <c r="C52" s="196" t="n"/>
      <c r="D52" s="197" t="n"/>
    </row>
  </sheetData>
  <mergeCells count="3">
    <mergeCell ref="A45:D45"/>
    <mergeCell ref="A46:D46"/>
    <mergeCell ref="B52:D5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2026-04-10T19:56:33Z</dcterms:created>
  <dcterms:modified xsi:type="dcterms:W3CDTF">2026-05-19T17:16:37Z</dcterms:modified>
  <cp:lastModifiedBy>Erik J</cp:lastModifiedBy>
  <cp:revision>0</cp:revision>
</cp:coreProperties>
</file>